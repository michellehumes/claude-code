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Cleaning Schedule" sheetId="1" state="visible" r:id="rId1"/>
    <sheet name="Deep Cleaning Checklist" sheetId="2" state="visible" r:id="rId2"/>
    <sheet name="Declutter Tracker" sheetId="3" state="visible" r:id="rId3"/>
    <sheet name="Home Inventory" sheetId="4" state="visible" r:id="rId4"/>
    <sheet name="Home Maintenance" sheetId="5" state="visible" r:id="rId5"/>
    <sheet name="Household Budget" sheetId="6" state="visible" r:id="rId6"/>
    <sheet name="Meal Planning &amp; Groceries" sheetId="7" state="visible" r:id="rId7"/>
    <sheet name="How to Use" sheetId="8" state="visible" r:id="rId8"/>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0.00"/>
    <numFmt numFmtId="167" formatCode="0.0%"/>
  </numFmts>
  <fonts count="14">
    <font>
      <name val="Calibri"/>
      <family val="2"/>
      <color theme="1"/>
      <sz val="11"/>
      <scheme val="minor"/>
    </font>
    <font>
      <name val="Calibri"/>
      <b val="1"/>
      <color rgb="00276749"/>
      <sz val="16"/>
    </font>
    <font>
      <name val="Calibri"/>
      <b val="1"/>
      <color rgb="00C05621"/>
      <sz val="13"/>
    </font>
    <font>
      <name val="Calibri"/>
      <b val="1"/>
      <color rgb="00FFFFFF"/>
      <sz val="12"/>
    </font>
    <font>
      <name val="Calibri"/>
      <color rgb="001A202C"/>
      <sz val="11"/>
    </font>
    <font>
      <name val="Calibri"/>
      <b val="1"/>
      <color rgb="00276749"/>
      <sz val="12"/>
    </font>
    <font>
      <b val="1"/>
      <color rgb="00276749"/>
      <sz val="11"/>
    </font>
    <font>
      <name val="Calibri"/>
      <b val="1"/>
      <color rgb="00276749"/>
      <sz val="13"/>
    </font>
    <font>
      <b val="1"/>
      <color rgb="00276749"/>
      <sz val="12"/>
    </font>
    <font>
      <b val="1"/>
      <color rgb="00276749"/>
      <sz val="13"/>
    </font>
    <font>
      <b val="1"/>
      <color rgb="00C05621"/>
      <sz val="12"/>
    </font>
    <font>
      <b val="1"/>
      <color rgb="00276749"/>
      <sz val="14"/>
    </font>
    <font>
      <b val="1"/>
      <color rgb="00276749"/>
      <sz val="18"/>
    </font>
    <font>
      <color rgb="001A202C"/>
      <sz val="11"/>
    </font>
  </fonts>
  <fills count="6">
    <fill>
      <patternFill/>
    </fill>
    <fill>
      <patternFill patternType="gray125"/>
    </fill>
    <fill>
      <patternFill patternType="solid">
        <fgColor rgb="00276749"/>
        <bgColor rgb="00276749"/>
      </patternFill>
    </fill>
    <fill>
      <patternFill patternType="solid">
        <fgColor rgb="00FFFFF0"/>
        <bgColor rgb="00FFFFF0"/>
      </patternFill>
    </fill>
    <fill>
      <patternFill patternType="solid">
        <fgColor rgb="00C6F6D5"/>
        <bgColor rgb="00C6F6D5"/>
      </patternFill>
    </fill>
    <fill>
      <patternFill patternType="solid">
        <fgColor rgb="0068D391"/>
        <bgColor rgb="0068D391"/>
      </patternFill>
    </fill>
  </fills>
  <borders count="3">
    <border>
      <left/>
      <right/>
      <top/>
      <bottom/>
      <diagonal/>
    </border>
    <border>
      <left style="thin">
        <color rgb="00276749"/>
      </left>
      <right style="thin">
        <color rgb="00276749"/>
      </right>
      <top style="medium">
        <color rgb="00276749"/>
      </top>
      <bottom style="medium">
        <color rgb="00276749"/>
      </bottom>
    </border>
    <border>
      <left style="thin">
        <color rgb="0068D391"/>
      </left>
      <right style="thin">
        <color rgb="0068D391"/>
      </right>
      <top style="thin">
        <color rgb="0068D391"/>
      </top>
      <bottom style="thin">
        <color rgb="0068D391"/>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165" fontId="4" fillId="3" borderId="2" applyAlignment="1" pivotButton="0" quotePrefix="0" xfId="0">
      <alignment horizontal="center" vertical="center" wrapText="1"/>
    </xf>
    <xf numFmtId="165" fontId="4" fillId="4" borderId="2" applyAlignment="1" pivotButton="0" quotePrefix="0" xfId="0">
      <alignment horizontal="center" vertical="center" wrapText="1"/>
    </xf>
    <xf numFmtId="0" fontId="5" fillId="5" borderId="1" pivotButton="0" quotePrefix="0" xfId="0"/>
    <xf numFmtId="0" fontId="0" fillId="5" borderId="1" pivotButton="0" quotePrefix="0" xfId="0"/>
    <xf numFmtId="0" fontId="6" fillId="5" borderId="1" pivotButton="0" quotePrefix="0" xfId="0"/>
    <xf numFmtId="166" fontId="4" fillId="3" borderId="2" applyAlignment="1" pivotButton="0" quotePrefix="0" xfId="0">
      <alignment horizontal="center" vertical="center" wrapText="1"/>
    </xf>
    <xf numFmtId="166" fontId="4" fillId="4" borderId="2" applyAlignment="1" pivotButton="0" quotePrefix="0" xfId="0">
      <alignment horizontal="center" vertical="center" wrapText="1"/>
    </xf>
    <xf numFmtId="0" fontId="7" fillId="5" borderId="1" pivotButton="0" quotePrefix="0" xfId="0"/>
    <xf numFmtId="166" fontId="8" fillId="5" borderId="1" pivotButton="0" quotePrefix="0" xfId="0"/>
    <xf numFmtId="0" fontId="9" fillId="5" borderId="1" pivotButton="0" quotePrefix="0" xfId="0"/>
    <xf numFmtId="167" fontId="4" fillId="3" borderId="2" applyAlignment="1" pivotButton="0" quotePrefix="0" xfId="0">
      <alignment horizontal="center" vertical="center" wrapText="1"/>
    </xf>
    <xf numFmtId="167" fontId="4" fillId="4" borderId="2" applyAlignment="1" pivotButton="0" quotePrefix="0" xfId="0">
      <alignment horizontal="center" vertical="center" wrapText="1"/>
    </xf>
    <xf numFmtId="167" fontId="8" fillId="5" borderId="1" pivotButton="0" quotePrefix="0" xfId="0"/>
    <xf numFmtId="0" fontId="10" fillId="0" borderId="0" pivotButton="0" quotePrefix="0" xfId="0"/>
    <xf numFmtId="166" fontId="10" fillId="0" borderId="0" pivotButton="0" quotePrefix="0" xfId="0"/>
    <xf numFmtId="0" fontId="11" fillId="5" borderId="0" applyAlignment="1" pivotButton="0" quotePrefix="0" xfId="0">
      <alignment horizontal="center"/>
    </xf>
    <xf numFmtId="166" fontId="9" fillId="5" borderId="1" pivotButton="0" quotePrefix="0" xfId="0"/>
    <xf numFmtId="0" fontId="12" fillId="4" borderId="0" applyAlignment="1" pivotButton="0" quotePrefix="0" xfId="0">
      <alignment horizontal="center" vertical="center"/>
    </xf>
    <xf numFmtId="0" fontId="11" fillId="3" borderId="0" pivotButton="0" quotePrefix="0" xfId="0"/>
    <xf numFmtId="0" fontId="13" fillId="0" borderId="0" applyAlignment="1" pivotButton="0" quotePrefix="0" xfId="0">
      <alignment vertical="center" wrapText="1"/>
    </xf>
  </cellXfs>
  <cellStyles count="1">
    <cellStyle name="Normal" xfId="0" builtinId="0" hidden="0"/>
  </cellStyles>
  <dxfs count="2">
    <dxf>
      <font>
        <b val="1"/>
        <color rgb="00C53030"/>
      </font>
      <fill>
        <patternFill patternType="solid">
          <fgColor rgb="00FED7D7"/>
          <bgColor rgb="00FED7D7"/>
        </patternFill>
      </fill>
    </dxf>
    <dxf>
      <font>
        <b val="1"/>
        <color rgb="00276749"/>
      </font>
      <fill>
        <patternFill patternType="solid">
          <fgColor rgb="00C6F6D5"/>
          <bgColor rgb="00C6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76749"/>
    <outlinePr summaryBelow="1" summaryRight="1"/>
    <pageSetUpPr/>
  </sheetPr>
  <dimension ref="A1:K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 width="14" customWidth="1" min="4" max="4"/>
    <col width="14" customWidth="1" min="5" max="5"/>
    <col width="12" customWidth="1" min="6" max="6"/>
    <col width="12" customWidth="1" min="7" max="7"/>
    <col width="12" customWidth="1" min="8" max="8"/>
    <col width="32" customWidth="1" min="9" max="9"/>
    <col width="24" customWidth="1" min="10" max="10"/>
    <col width="12" customWidth="1" min="11" max="11"/>
  </cols>
  <sheetData>
    <row r="1" ht="40" customHeight="1">
      <c r="A1" s="1" t="inlineStr">
        <is>
          <t>🏠 WEEKLY CLEANING SCHEDULE 2026</t>
        </is>
      </c>
    </row>
    <row r="2" ht="28" customHeight="1">
      <c r="A2" s="2" t="inlineStr">
        <is>
          <t>Track daily cleaning tasks by room — check off as you go!</t>
        </is>
      </c>
    </row>
    <row r="4">
      <c r="A4" s="3" t="inlineStr">
        <is>
          <t>Room / Area</t>
        </is>
      </c>
      <c r="B4" s="3" t="inlineStr">
        <is>
          <t>Monday</t>
        </is>
      </c>
      <c r="C4" s="3" t="inlineStr">
        <is>
          <t>Tuesday</t>
        </is>
      </c>
      <c r="D4" s="3" t="inlineStr">
        <is>
          <t>Wednesday</t>
        </is>
      </c>
      <c r="E4" s="3" t="inlineStr">
        <is>
          <t>Thursday</t>
        </is>
      </c>
      <c r="F4" s="3" t="inlineStr">
        <is>
          <t>Friday</t>
        </is>
      </c>
      <c r="G4" s="3" t="inlineStr">
        <is>
          <t>Saturday</t>
        </is>
      </c>
      <c r="H4" s="3" t="inlineStr">
        <is>
          <t>Sunday</t>
        </is>
      </c>
      <c r="I4" s="3" t="inlineStr">
        <is>
          <t>Weekly Deep Clean Task</t>
        </is>
      </c>
      <c r="J4" s="3" t="inlineStr">
        <is>
          <t>Frequency Notes</t>
        </is>
      </c>
      <c r="K4" s="3" t="inlineStr">
        <is>
          <t>Priority</t>
        </is>
      </c>
    </row>
    <row r="5">
      <c r="A5" s="4" t="inlineStr">
        <is>
          <t>Kitchen — Counters &amp; Stovetop</t>
        </is>
      </c>
      <c r="B5" s="4" t="inlineStr">
        <is>
          <t>✓</t>
        </is>
      </c>
      <c r="C5" s="4" t="inlineStr">
        <is>
          <t>✓</t>
        </is>
      </c>
      <c r="D5" s="4" t="inlineStr"/>
      <c r="E5" s="4" t="inlineStr">
        <is>
          <t>✓</t>
        </is>
      </c>
      <c r="F5" s="4" t="inlineStr"/>
      <c r="G5" s="4" t="inlineStr">
        <is>
          <t>✓</t>
        </is>
      </c>
      <c r="H5" s="4" t="inlineStr"/>
      <c r="I5" s="4" t="inlineStr">
        <is>
          <t>Wipe counters, clean stovetop</t>
        </is>
      </c>
      <c r="J5" s="4" t="inlineStr">
        <is>
          <t>Daily wipe-down</t>
        </is>
      </c>
      <c r="K5" s="4" t="inlineStr">
        <is>
          <t>High</t>
        </is>
      </c>
    </row>
    <row r="6">
      <c r="A6" s="5" t="inlineStr">
        <is>
          <t>Kitchen — Floors</t>
        </is>
      </c>
      <c r="B6" s="5" t="inlineStr">
        <is>
          <t>✓</t>
        </is>
      </c>
      <c r="C6" s="5" t="inlineStr"/>
      <c r="D6" s="5" t="inlineStr">
        <is>
          <t>✓</t>
        </is>
      </c>
      <c r="E6" s="5" t="inlineStr"/>
      <c r="F6" s="5" t="inlineStr">
        <is>
          <t>✓</t>
        </is>
      </c>
      <c r="G6" s="5" t="inlineStr"/>
      <c r="H6" s="5" t="inlineStr"/>
      <c r="I6" s="5" t="inlineStr">
        <is>
          <t>Sweep &amp; mop floors</t>
        </is>
      </c>
      <c r="J6" s="5" t="inlineStr">
        <is>
          <t>Daily sweep, mop 2x/week</t>
        </is>
      </c>
      <c r="K6" s="5" t="inlineStr"/>
    </row>
    <row r="7">
      <c r="A7" s="4" t="inlineStr">
        <is>
          <t>Kitchen — Dishes &amp; Sink</t>
        </is>
      </c>
      <c r="B7" s="4" t="inlineStr">
        <is>
          <t>✓</t>
        </is>
      </c>
      <c r="C7" s="4" t="inlineStr">
        <is>
          <t>✓</t>
        </is>
      </c>
      <c r="D7" s="4" t="inlineStr">
        <is>
          <t>✓</t>
        </is>
      </c>
      <c r="E7" s="4" t="inlineStr">
        <is>
          <t>✓</t>
        </is>
      </c>
      <c r="F7" s="4" t="inlineStr">
        <is>
          <t>✓</t>
        </is>
      </c>
      <c r="G7" s="4" t="inlineStr"/>
      <c r="H7" s="4" t="inlineStr"/>
      <c r="I7" s="4" t="inlineStr">
        <is>
          <t>Wash dishes, scrub sink</t>
        </is>
      </c>
      <c r="J7" s="4" t="inlineStr">
        <is>
          <t>After every meal</t>
        </is>
      </c>
      <c r="K7" s="4" t="inlineStr"/>
    </row>
    <row r="8">
      <c r="A8" s="5" t="inlineStr">
        <is>
          <t>Kitchen — Appliances</t>
        </is>
      </c>
      <c r="B8" s="5" t="inlineStr"/>
      <c r="C8" s="5" t="inlineStr">
        <is>
          <t>✓</t>
        </is>
      </c>
      <c r="D8" s="5" t="inlineStr"/>
      <c r="E8" s="5" t="inlineStr">
        <is>
          <t>✓</t>
        </is>
      </c>
      <c r="F8" s="5" t="inlineStr"/>
      <c r="G8" s="5" t="inlineStr">
        <is>
          <t>✓</t>
        </is>
      </c>
      <c r="H8" s="5" t="inlineStr"/>
      <c r="I8" s="5" t="inlineStr">
        <is>
          <t>Clean microwave, wipe fridge</t>
        </is>
      </c>
      <c r="J8" s="5" t="inlineStr">
        <is>
          <t>Weekly deep clean</t>
        </is>
      </c>
      <c r="K8" s="5" t="inlineStr"/>
    </row>
    <row r="9">
      <c r="A9" s="4" t="inlineStr">
        <is>
          <t>Bathroom — Master</t>
        </is>
      </c>
      <c r="B9" s="4" t="inlineStr">
        <is>
          <t>✓</t>
        </is>
      </c>
      <c r="C9" s="4" t="inlineStr">
        <is>
          <t>✓</t>
        </is>
      </c>
      <c r="D9" s="4" t="inlineStr">
        <is>
          <t>✓</t>
        </is>
      </c>
      <c r="E9" s="4" t="inlineStr">
        <is>
          <t>✓</t>
        </is>
      </c>
      <c r="F9" s="4" t="inlineStr">
        <is>
          <t>✓</t>
        </is>
      </c>
      <c r="G9" s="4" t="inlineStr">
        <is>
          <t>✓</t>
        </is>
      </c>
      <c r="H9" s="4" t="inlineStr">
        <is>
          <t>✓</t>
        </is>
      </c>
      <c r="I9" s="4" t="inlineStr">
        <is>
          <t>Scrub toilet, clean mirror</t>
        </is>
      </c>
      <c r="J9" s="4" t="inlineStr">
        <is>
          <t>Daily quick wipe</t>
        </is>
      </c>
      <c r="K9" s="4" t="inlineStr">
        <is>
          <t>High</t>
        </is>
      </c>
    </row>
    <row r="10">
      <c r="A10" s="5" t="inlineStr">
        <is>
          <t>Bathroom — Guest</t>
        </is>
      </c>
      <c r="B10" s="5" t="inlineStr"/>
      <c r="C10" s="5" t="inlineStr"/>
      <c r="D10" s="5" t="inlineStr">
        <is>
          <t>✓</t>
        </is>
      </c>
      <c r="E10" s="5" t="inlineStr"/>
      <c r="F10" s="5" t="inlineStr"/>
      <c r="G10" s="5" t="inlineStr">
        <is>
          <t>✓</t>
        </is>
      </c>
      <c r="H10" s="5" t="inlineStr"/>
      <c r="I10" s="5" t="inlineStr">
        <is>
          <t>Wipe surfaces, restock supplies</t>
        </is>
      </c>
      <c r="J10" s="5" t="inlineStr">
        <is>
          <t>2x per week</t>
        </is>
      </c>
      <c r="K10" s="5" t="inlineStr"/>
    </row>
    <row r="11">
      <c r="A11" s="4" t="inlineStr">
        <is>
          <t>Bathroom — Kids</t>
        </is>
      </c>
      <c r="B11" s="4" t="inlineStr">
        <is>
          <t>✓</t>
        </is>
      </c>
      <c r="C11" s="4" t="inlineStr"/>
      <c r="D11" s="4" t="inlineStr"/>
      <c r="E11" s="4" t="inlineStr">
        <is>
          <t>✓</t>
        </is>
      </c>
      <c r="F11" s="4" t="inlineStr"/>
      <c r="G11" s="4" t="inlineStr"/>
      <c r="H11" s="4" t="inlineStr"/>
      <c r="I11" s="4" t="inlineStr">
        <is>
          <t>Clean tub, organize toiletries</t>
        </is>
      </c>
      <c r="J11" s="4" t="inlineStr">
        <is>
          <t>Daily pickup</t>
        </is>
      </c>
      <c r="K11" s="4" t="inlineStr"/>
    </row>
    <row r="12">
      <c r="A12" s="5" t="inlineStr">
        <is>
          <t>Master Bedroom</t>
        </is>
      </c>
      <c r="B12" s="5" t="inlineStr">
        <is>
          <t>✓</t>
        </is>
      </c>
      <c r="C12" s="5" t="inlineStr"/>
      <c r="D12" s="5" t="inlineStr">
        <is>
          <t>✓</t>
        </is>
      </c>
      <c r="E12" s="5" t="inlineStr"/>
      <c r="F12" s="5" t="inlineStr">
        <is>
          <t>✓</t>
        </is>
      </c>
      <c r="G12" s="5" t="inlineStr"/>
      <c r="H12" s="5" t="inlineStr"/>
      <c r="I12" s="5" t="inlineStr">
        <is>
          <t>Make bed, dust surfaces</t>
        </is>
      </c>
      <c r="J12" s="5" t="inlineStr">
        <is>
          <t>Daily bed-making</t>
        </is>
      </c>
      <c r="K12" s="5" t="inlineStr">
        <is>
          <t>High</t>
        </is>
      </c>
    </row>
    <row r="13">
      <c r="A13" s="4" t="inlineStr">
        <is>
          <t>Kids Bedroom 1</t>
        </is>
      </c>
      <c r="B13" s="4" t="inlineStr"/>
      <c r="C13" s="4" t="inlineStr"/>
      <c r="D13" s="4" t="inlineStr"/>
      <c r="E13" s="4" t="inlineStr"/>
      <c r="F13" s="4" t="inlineStr"/>
      <c r="G13" s="4" t="inlineStr"/>
      <c r="H13" s="4" t="inlineStr"/>
      <c r="I13" s="4" t="inlineStr">
        <is>
          <t>Pick up toys, make bed</t>
        </is>
      </c>
      <c r="J13" s="4" t="inlineStr">
        <is>
          <t>Daily routine</t>
        </is>
      </c>
      <c r="K13" s="4" t="inlineStr"/>
    </row>
    <row r="14">
      <c r="A14" s="5" t="inlineStr">
        <is>
          <t>Kids Bedroom 2</t>
        </is>
      </c>
      <c r="B14" s="5" t="inlineStr"/>
      <c r="C14" s="5" t="inlineStr"/>
      <c r="D14" s="5" t="inlineStr"/>
      <c r="E14" s="5" t="inlineStr"/>
      <c r="F14" s="5" t="inlineStr"/>
      <c r="G14" s="5" t="inlineStr"/>
      <c r="H14" s="5" t="inlineStr"/>
      <c r="I14" s="5" t="inlineStr">
        <is>
          <t>Organize desk, vacuum</t>
        </is>
      </c>
      <c r="J14" s="5" t="inlineStr">
        <is>
          <t>Every other day</t>
        </is>
      </c>
      <c r="K14" s="5" t="inlineStr"/>
    </row>
    <row r="15">
      <c r="A15" s="4" t="inlineStr">
        <is>
          <t>Guest Bedroom</t>
        </is>
      </c>
      <c r="B15" s="4" t="inlineStr"/>
      <c r="C15" s="4" t="inlineStr"/>
      <c r="D15" s="4" t="inlineStr"/>
      <c r="E15" s="4" t="inlineStr"/>
      <c r="F15" s="4" t="inlineStr"/>
      <c r="G15" s="4" t="inlineStr"/>
      <c r="H15" s="4" t="inlineStr"/>
      <c r="I15" s="4" t="inlineStr">
        <is>
          <t>Dust, change sheets if needed</t>
        </is>
      </c>
      <c r="J15" s="4" t="inlineStr">
        <is>
          <t>Before guests / monthly</t>
        </is>
      </c>
      <c r="K15" s="4" t="inlineStr">
        <is>
          <t>Medium</t>
        </is>
      </c>
    </row>
    <row r="16">
      <c r="A16" s="5" t="inlineStr">
        <is>
          <t>Living Room</t>
        </is>
      </c>
      <c r="B16" s="5" t="inlineStr"/>
      <c r="C16" s="5" t="inlineStr"/>
      <c r="D16" s="5" t="inlineStr"/>
      <c r="E16" s="5" t="inlineStr"/>
      <c r="F16" s="5" t="inlineStr"/>
      <c r="G16" s="5" t="inlineStr"/>
      <c r="H16" s="5" t="inlineStr"/>
      <c r="I16" s="5" t="inlineStr">
        <is>
          <t>Vacuum, fluff pillows, dust TV</t>
        </is>
      </c>
      <c r="J16" s="5" t="inlineStr">
        <is>
          <t>Daily tidy</t>
        </is>
      </c>
      <c r="K16" s="5" t="inlineStr"/>
    </row>
    <row r="17">
      <c r="A17" s="4" t="inlineStr">
        <is>
          <t>Dining Room</t>
        </is>
      </c>
      <c r="B17" s="4" t="inlineStr"/>
      <c r="C17" s="4" t="inlineStr"/>
      <c r="D17" s="4" t="inlineStr"/>
      <c r="E17" s="4" t="inlineStr"/>
      <c r="F17" s="4" t="inlineStr"/>
      <c r="G17" s="4" t="inlineStr"/>
      <c r="H17" s="4" t="inlineStr"/>
      <c r="I17" s="4" t="inlineStr">
        <is>
          <t>Wipe table, vacuum under chairs</t>
        </is>
      </c>
      <c r="J17" s="4" t="inlineStr">
        <is>
          <t>After meals</t>
        </is>
      </c>
      <c r="K17" s="4" t="inlineStr"/>
    </row>
    <row r="18">
      <c r="A18" s="5" t="inlineStr">
        <is>
          <t>Home Office</t>
        </is>
      </c>
      <c r="B18" s="5" t="inlineStr"/>
      <c r="C18" s="5" t="inlineStr"/>
      <c r="D18" s="5" t="inlineStr"/>
      <c r="E18" s="5" t="inlineStr"/>
      <c r="F18" s="5" t="inlineStr"/>
      <c r="G18" s="5" t="inlineStr"/>
      <c r="H18" s="5" t="inlineStr"/>
      <c r="I18" s="5" t="inlineStr">
        <is>
          <t>Organize desk, dust electronics</t>
        </is>
      </c>
      <c r="J18" s="5" t="inlineStr">
        <is>
          <t>Daily declutter</t>
        </is>
      </c>
      <c r="K18" s="5" t="inlineStr"/>
    </row>
    <row r="19">
      <c r="A19" s="4" t="inlineStr">
        <is>
          <t>Laundry Room</t>
        </is>
      </c>
      <c r="B19" s="4" t="inlineStr"/>
      <c r="C19" s="4" t="inlineStr"/>
      <c r="D19" s="4" t="inlineStr"/>
      <c r="E19" s="4" t="inlineStr"/>
      <c r="F19" s="4" t="inlineStr"/>
      <c r="G19" s="4" t="inlineStr"/>
      <c r="H19" s="4" t="inlineStr"/>
      <c r="I19" s="4" t="inlineStr">
        <is>
          <t>Run loads, clean lint trap</t>
        </is>
      </c>
      <c r="J19" s="4" t="inlineStr">
        <is>
          <t>Daily loads</t>
        </is>
      </c>
      <c r="K19" s="4" t="inlineStr"/>
    </row>
    <row r="20">
      <c r="A20" s="5" t="inlineStr">
        <is>
          <t>Hallways &amp; Stairs</t>
        </is>
      </c>
      <c r="B20" s="5" t="inlineStr"/>
      <c r="C20" s="5" t="inlineStr"/>
      <c r="D20" s="5" t="inlineStr"/>
      <c r="E20" s="5" t="inlineStr"/>
      <c r="F20" s="5" t="inlineStr"/>
      <c r="G20" s="5" t="inlineStr"/>
      <c r="H20" s="5" t="inlineStr"/>
      <c r="I20" s="5" t="inlineStr">
        <is>
          <t>Vacuum, dust railings</t>
        </is>
      </c>
      <c r="J20" s="5" t="inlineStr">
        <is>
          <t>2x per week</t>
        </is>
      </c>
      <c r="K20" s="5" t="inlineStr"/>
    </row>
    <row r="21">
      <c r="A21" s="4" t="inlineStr">
        <is>
          <t>Garage</t>
        </is>
      </c>
      <c r="B21" s="4" t="inlineStr"/>
      <c r="C21" s="4" t="inlineStr"/>
      <c r="D21" s="4" t="inlineStr"/>
      <c r="E21" s="4" t="inlineStr"/>
      <c r="F21" s="4" t="inlineStr"/>
      <c r="G21" s="4" t="inlineStr"/>
      <c r="H21" s="4" t="inlineStr"/>
      <c r="I21" s="4" t="inlineStr">
        <is>
          <t>Sweep, organize tools</t>
        </is>
      </c>
      <c r="J21" s="4" t="inlineStr">
        <is>
          <t>Weekly</t>
        </is>
      </c>
      <c r="K21" s="4" t="inlineStr"/>
    </row>
    <row r="22">
      <c r="A22" s="5" t="inlineStr">
        <is>
          <t>Front Porch / Entryway</t>
        </is>
      </c>
      <c r="B22" s="5" t="inlineStr"/>
      <c r="C22" s="5" t="inlineStr"/>
      <c r="D22" s="5" t="inlineStr"/>
      <c r="E22" s="5" t="inlineStr"/>
      <c r="F22" s="5" t="inlineStr"/>
      <c r="G22" s="5" t="inlineStr"/>
      <c r="H22" s="5" t="inlineStr"/>
      <c r="I22" s="5" t="inlineStr">
        <is>
          <t>Sweep, wipe door handle</t>
        </is>
      </c>
      <c r="J22" s="5" t="inlineStr">
        <is>
          <t>Daily</t>
        </is>
      </c>
      <c r="K22" s="5" t="inlineStr"/>
    </row>
    <row r="23">
      <c r="A23" s="4" t="inlineStr">
        <is>
          <t>Basement</t>
        </is>
      </c>
      <c r="B23" s="4" t="inlineStr"/>
      <c r="C23" s="4" t="inlineStr"/>
      <c r="D23" s="4" t="inlineStr"/>
      <c r="E23" s="4" t="inlineStr"/>
      <c r="F23" s="4" t="inlineStr"/>
      <c r="G23" s="4" t="inlineStr"/>
      <c r="H23" s="4" t="inlineStr"/>
      <c r="I23" s="4" t="inlineStr">
        <is>
          <t>Check for moisture, organize</t>
        </is>
      </c>
      <c r="J23" s="4" t="inlineStr">
        <is>
          <t>Biweekly</t>
        </is>
      </c>
      <c r="K23" s="4" t="inlineStr"/>
    </row>
    <row r="24">
      <c r="A24" s="5" t="inlineStr">
        <is>
          <t>Attic / Storage</t>
        </is>
      </c>
      <c r="B24" s="5" t="inlineStr"/>
      <c r="C24" s="5" t="inlineStr"/>
      <c r="D24" s="5" t="inlineStr"/>
      <c r="E24" s="5" t="inlineStr"/>
      <c r="F24" s="5" t="inlineStr"/>
      <c r="G24" s="5" t="inlineStr"/>
      <c r="H24" s="5" t="inlineStr"/>
      <c r="I24" s="5" t="inlineStr">
        <is>
          <t>Dust, check inventory</t>
        </is>
      </c>
      <c r="J24" s="5" t="inlineStr">
        <is>
          <t>Monthly</t>
        </is>
      </c>
      <c r="K24" s="5" t="inlineStr"/>
    </row>
  </sheetData>
  <mergeCells count="2">
    <mergeCell ref="A2:K2"/>
    <mergeCell ref="A1:K1"/>
  </mergeCells>
  <dataValidations count="2">
    <dataValidation sqref="B5 B6 B7 B8 B9 B10 B11 B12 B13 B14 B15 B16 B17 B18 B19 B20 B21 B22 B23 B24 C5 C6 C7 C8 C9 C10 C11 C12 C13 C14 C15 C16 C17 C18 C19 C20 C21 C22 C23 C24 D5 D6 D7 D8 D9 D10 D11 D12 D13 D14 D15 D16 D17 D18 D19 D20 D21 D22 D23 D24 E5 E6 E7 E8 E9 E10 E11 E12 E13 E14 E15 E16 E17 E18 E19 E20 E21 E22 E23 E24 F5 F6 F7 F8 F9 F10 F11 F12 F13 F14 F15 F16 F17 F18 F19 F20 F21 F22 F23 F24 G5 G6 G7 G8 G9 G10 G11 G12 G13 G14 G15 G16 G17 G18 G19 G20 G21 G22 G23 G24 H5 H6 H7 H8 H9 H10 H11 H12 H13 H14 H15 H16 H17 H18 H19 H20 H21 H22 H23 H24" showDropDown="0" showInputMessage="0" showErrorMessage="0" allowBlank="1" promptTitle="Task Status" prompt="Select ✓ when done" type="list">
      <formula1>"✓,"</formula1>
    </dataValidation>
    <dataValidation sqref="K5 K6 K7 K8 K9 K10 K11 K12 K13 K14 K15 K16 K17 K18 K19 K20 K21 K22 K23 K24"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tabColor rgb="0068D391"/>
    <outlinePr summaryBelow="1" summaryRight="1"/>
    <pageSetUpPr/>
  </sheetPr>
  <dimension ref="A1:H64"/>
  <sheetViews>
    <sheetView workbookViewId="0">
      <pane ySplit="4" topLeftCell="A5" activePane="bottomLeft" state="frozen"/>
      <selection pane="bottomLeft" activeCell="A1" sqref="A1"/>
    </sheetView>
  </sheetViews>
  <sheetFormatPr baseColWidth="8" defaultRowHeight="15"/>
  <cols>
    <col width="18" customWidth="1" min="1" max="1"/>
    <col width="42" customWidth="1" min="2" max="2"/>
    <col width="14" customWidth="1" min="3" max="3"/>
    <col width="14" customWidth="1" min="4" max="4"/>
    <col width="14" customWidth="1" min="5" max="5"/>
    <col width="12" customWidth="1" min="6" max="6"/>
    <col width="14" customWidth="1" min="7" max="7"/>
    <col width="24" customWidth="1" min="8" max="8"/>
  </cols>
  <sheetData>
    <row r="1" ht="40" customHeight="1">
      <c r="A1" s="1" t="inlineStr">
        <is>
          <t>🧹 DEEP CLEANING CHECKLIST</t>
        </is>
      </c>
    </row>
    <row r="2" ht="28" customHeight="1">
      <c r="A2" s="2" t="inlineStr">
        <is>
          <t>Never miss a deep-clean task — auto-calculates next due date!</t>
        </is>
      </c>
    </row>
    <row r="4">
      <c r="A4" s="3" t="inlineStr">
        <is>
          <t>Room</t>
        </is>
      </c>
      <c r="B4" s="3" t="inlineStr">
        <is>
          <t>Task</t>
        </is>
      </c>
      <c r="C4" s="3" t="inlineStr">
        <is>
          <t>Frequency</t>
        </is>
      </c>
      <c r="D4" s="3" t="inlineStr">
        <is>
          <t>Last Done</t>
        </is>
      </c>
      <c r="E4" s="3" t="inlineStr">
        <is>
          <t>Next Due</t>
        </is>
      </c>
      <c r="F4" s="3" t="inlineStr">
        <is>
          <t>Status</t>
        </is>
      </c>
      <c r="G4" s="3" t="inlineStr">
        <is>
          <t>Assigned To</t>
        </is>
      </c>
      <c r="H4" s="3" t="inlineStr">
        <is>
          <t>Notes</t>
        </is>
      </c>
    </row>
    <row r="5">
      <c r="A5" s="4" t="inlineStr">
        <is>
          <t>Kitchen</t>
        </is>
      </c>
      <c r="B5" s="4" t="inlineStr">
        <is>
          <t>Deep clean oven interior</t>
        </is>
      </c>
      <c r="C5" s="4" t="inlineStr">
        <is>
          <t>Monthly</t>
        </is>
      </c>
      <c r="D5" s="6" t="n">
        <v>46032</v>
      </c>
      <c r="E5" s="6">
        <f>IF(D5="","",D5+CHOOSE(MATCH(C5,{"Weekly","Biweekly","Monthly","Quarterly","Annually"},0),7,14,30,91,365))</f>
        <v/>
      </c>
      <c r="F5" s="4" t="inlineStr">
        <is>
          <t>Due</t>
        </is>
      </c>
      <c r="G5" s="4" t="inlineStr"/>
      <c r="H5" s="4" t="inlineStr"/>
    </row>
    <row r="6">
      <c r="A6" s="5" t="inlineStr">
        <is>
          <t>Kitchen</t>
        </is>
      </c>
      <c r="B6" s="5" t="inlineStr">
        <is>
          <t>Clean behind refrigerator</t>
        </is>
      </c>
      <c r="C6" s="5" t="inlineStr">
        <is>
          <t>Quarterly</t>
        </is>
      </c>
      <c r="D6" s="7" t="n">
        <v>46006</v>
      </c>
      <c r="E6" s="7">
        <f>IF(D6="","",D6+CHOOSE(MATCH(C6,{"Weekly","Biweekly","Monthly","Quarterly","Annually"},0),7,14,30,91,365))</f>
        <v/>
      </c>
      <c r="F6" s="5" t="inlineStr">
        <is>
          <t>Due</t>
        </is>
      </c>
      <c r="G6" s="5" t="inlineStr"/>
      <c r="H6" s="5" t="inlineStr"/>
    </row>
    <row r="7">
      <c r="A7" s="4" t="inlineStr">
        <is>
          <t>Kitchen</t>
        </is>
      </c>
      <c r="B7" s="4" t="inlineStr">
        <is>
          <t>Degrease range hood &amp; filter</t>
        </is>
      </c>
      <c r="C7" s="4" t="inlineStr">
        <is>
          <t>Monthly</t>
        </is>
      </c>
      <c r="D7" s="6" t="n">
        <v>46042</v>
      </c>
      <c r="E7" s="6">
        <f>IF(D7="","",D7+CHOOSE(MATCH(C7,{"Weekly","Biweekly","Monthly","Quarterly","Annually"},0),7,14,30,91,365))</f>
        <v/>
      </c>
      <c r="F7" s="4" t="inlineStr">
        <is>
          <t>Due</t>
        </is>
      </c>
      <c r="G7" s="4" t="inlineStr"/>
      <c r="H7" s="4" t="inlineStr"/>
    </row>
    <row r="8">
      <c r="A8" s="5" t="inlineStr">
        <is>
          <t>Kitchen</t>
        </is>
      </c>
      <c r="B8" s="5" t="inlineStr">
        <is>
          <t>Descale coffee maker &amp; kettle</t>
        </is>
      </c>
      <c r="C8" s="5" t="inlineStr">
        <is>
          <t>Monthly</t>
        </is>
      </c>
      <c r="D8" s="7" t="n">
        <v>46027</v>
      </c>
      <c r="E8" s="7">
        <f>IF(D8="","",D8+CHOOSE(MATCH(C8,{"Weekly","Biweekly","Monthly","Quarterly","Annually"},0),7,14,30,91,365))</f>
        <v/>
      </c>
      <c r="F8" s="5" t="inlineStr">
        <is>
          <t>Due</t>
        </is>
      </c>
      <c r="G8" s="5" t="inlineStr"/>
      <c r="H8" s="5" t="inlineStr"/>
    </row>
    <row r="9">
      <c r="A9" s="4" t="inlineStr">
        <is>
          <t>Kitchen</t>
        </is>
      </c>
      <c r="B9" s="4" t="inlineStr">
        <is>
          <t>Clean &amp; organize pantry</t>
        </is>
      </c>
      <c r="C9" s="4" t="inlineStr">
        <is>
          <t>Monthly</t>
        </is>
      </c>
      <c r="D9" s="6" t="n">
        <v>46037</v>
      </c>
      <c r="E9" s="6">
        <f>IF(D9="","",D9+CHOOSE(MATCH(C9,{"Weekly","Biweekly","Monthly","Quarterly","Annually"},0),7,14,30,91,365))</f>
        <v/>
      </c>
      <c r="F9" s="4" t="inlineStr">
        <is>
          <t>Due</t>
        </is>
      </c>
      <c r="G9" s="4" t="inlineStr"/>
      <c r="H9" s="4" t="inlineStr"/>
    </row>
    <row r="10">
      <c r="A10" s="5" t="inlineStr">
        <is>
          <t>Kitchen</t>
        </is>
      </c>
      <c r="B10" s="5" t="inlineStr">
        <is>
          <t>Sanitize trash cans</t>
        </is>
      </c>
      <c r="C10" s="5" t="inlineStr">
        <is>
          <t>Biweekly</t>
        </is>
      </c>
      <c r="D10" s="7" t="n">
        <v>46047</v>
      </c>
      <c r="E10" s="7">
        <f>IF(D10="","",D10+CHOOSE(MATCH(C10,{"Weekly","Biweekly","Monthly","Quarterly","Annually"},0),7,14,30,91,365))</f>
        <v/>
      </c>
      <c r="F10" s="5" t="inlineStr">
        <is>
          <t>Due</t>
        </is>
      </c>
      <c r="G10" s="5" t="inlineStr"/>
      <c r="H10" s="5" t="inlineStr"/>
    </row>
    <row r="11">
      <c r="A11" s="4" t="inlineStr">
        <is>
          <t>Kitchen</t>
        </is>
      </c>
      <c r="B11" s="4" t="inlineStr">
        <is>
          <t>Deep clean dishwasher</t>
        </is>
      </c>
      <c r="C11" s="4" t="inlineStr">
        <is>
          <t>Monthly</t>
        </is>
      </c>
      <c r="D11" s="6" t="n">
        <v>46030</v>
      </c>
      <c r="E11" s="6">
        <f>IF(D11="","",D11+CHOOSE(MATCH(C11,{"Weekly","Biweekly","Monthly","Quarterly","Annually"},0),7,14,30,91,365))</f>
        <v/>
      </c>
      <c r="F11" s="4" t="inlineStr">
        <is>
          <t>Due</t>
        </is>
      </c>
      <c r="G11" s="4" t="inlineStr"/>
      <c r="H11" s="4" t="inlineStr"/>
    </row>
    <row r="12">
      <c r="A12" s="5" t="inlineStr">
        <is>
          <t>Kitchen</t>
        </is>
      </c>
      <c r="B12" s="5" t="inlineStr">
        <is>
          <t>Wipe cabinet fronts &amp; handles</t>
        </is>
      </c>
      <c r="C12" s="5" t="inlineStr">
        <is>
          <t>Monthly</t>
        </is>
      </c>
      <c r="D12" s="7" t="n">
        <v>46034</v>
      </c>
      <c r="E12" s="7">
        <f>IF(D12="","",D12+CHOOSE(MATCH(C12,{"Weekly","Biweekly","Monthly","Quarterly","Annually"},0),7,14,30,91,365))</f>
        <v/>
      </c>
      <c r="F12" s="5" t="inlineStr">
        <is>
          <t>Due</t>
        </is>
      </c>
      <c r="G12" s="5" t="inlineStr"/>
      <c r="H12" s="5" t="inlineStr"/>
    </row>
    <row r="13">
      <c r="A13" s="4" t="inlineStr">
        <is>
          <t>Kitchen</t>
        </is>
      </c>
      <c r="B13" s="4" t="inlineStr">
        <is>
          <t>Clean light fixtures</t>
        </is>
      </c>
      <c r="C13" s="4" t="inlineStr">
        <is>
          <t>Quarterly</t>
        </is>
      </c>
      <c r="D13" s="6" t="n">
        <v>45962</v>
      </c>
      <c r="E13" s="6">
        <f>IF(D13="","",D13+CHOOSE(MATCH(C13,{"Weekly","Biweekly","Monthly","Quarterly","Annually"},0),7,14,30,91,365))</f>
        <v/>
      </c>
      <c r="F13" s="4" t="inlineStr">
        <is>
          <t>Due</t>
        </is>
      </c>
      <c r="G13" s="4" t="inlineStr"/>
      <c r="H13" s="4" t="inlineStr"/>
    </row>
    <row r="14">
      <c r="A14" s="5" t="inlineStr">
        <is>
          <t>Kitchen</t>
        </is>
      </c>
      <c r="B14" s="5" t="inlineStr">
        <is>
          <t>Defrost freezer</t>
        </is>
      </c>
      <c r="C14" s="5" t="inlineStr">
        <is>
          <t>Quarterly</t>
        </is>
      </c>
      <c r="D14" s="7" t="n">
        <v>46011</v>
      </c>
      <c r="E14" s="7">
        <f>IF(D14="","",D14+CHOOSE(MATCH(C14,{"Weekly","Biweekly","Monthly","Quarterly","Annually"},0),7,14,30,91,365))</f>
        <v/>
      </c>
      <c r="F14" s="5" t="inlineStr">
        <is>
          <t>Due</t>
        </is>
      </c>
      <c r="G14" s="5" t="inlineStr"/>
      <c r="H14" s="5" t="inlineStr"/>
    </row>
    <row r="15">
      <c r="A15" s="4" t="inlineStr">
        <is>
          <t>Kitchen</t>
        </is>
      </c>
      <c r="B15" s="4" t="inlineStr">
        <is>
          <t>Clean grout &amp; backsplash</t>
        </is>
      </c>
      <c r="C15" s="4" t="inlineStr">
        <is>
          <t>Monthly</t>
        </is>
      </c>
      <c r="D15" s="6" t="n">
        <v>46040</v>
      </c>
      <c r="E15" s="6">
        <f>IF(D15="","",D15+CHOOSE(MATCH(C15,{"Weekly","Biweekly","Monthly","Quarterly","Annually"},0),7,14,30,91,365))</f>
        <v/>
      </c>
      <c r="F15" s="4" t="inlineStr">
        <is>
          <t>Due</t>
        </is>
      </c>
      <c r="G15" s="4" t="inlineStr"/>
      <c r="H15" s="4" t="inlineStr"/>
    </row>
    <row r="16">
      <c r="A16" s="5" t="inlineStr">
        <is>
          <t>Kitchen</t>
        </is>
      </c>
      <c r="B16" s="5" t="inlineStr">
        <is>
          <t>Polish stainless steel appliances</t>
        </is>
      </c>
      <c r="C16" s="5" t="inlineStr">
        <is>
          <t>Weekly</t>
        </is>
      </c>
      <c r="D16" s="7" t="n">
        <v>46054</v>
      </c>
      <c r="E16" s="7">
        <f>IF(D16="","",D16+CHOOSE(MATCH(C16,{"Weekly","Biweekly","Monthly","Quarterly","Annually"},0),7,14,30,91,365))</f>
        <v/>
      </c>
      <c r="F16" s="5" t="inlineStr">
        <is>
          <t>Due</t>
        </is>
      </c>
      <c r="G16" s="5" t="inlineStr"/>
      <c r="H16" s="5" t="inlineStr"/>
    </row>
    <row r="17">
      <c r="A17" s="4" t="inlineStr">
        <is>
          <t>Kitchen</t>
        </is>
      </c>
      <c r="B17" s="4" t="inlineStr">
        <is>
          <t>Organize spice cabinet</t>
        </is>
      </c>
      <c r="C17" s="4" t="inlineStr">
        <is>
          <t>Quarterly</t>
        </is>
      </c>
      <c r="D17" s="6" t="n">
        <v>45992</v>
      </c>
      <c r="E17" s="6">
        <f>IF(D17="","",D17+CHOOSE(MATCH(C17,{"Weekly","Biweekly","Monthly","Quarterly","Annually"},0),7,14,30,91,365))</f>
        <v/>
      </c>
      <c r="F17" s="4" t="inlineStr">
        <is>
          <t>Due</t>
        </is>
      </c>
      <c r="G17" s="4" t="inlineStr"/>
      <c r="H17" s="4" t="inlineStr"/>
    </row>
    <row r="18">
      <c r="A18" s="5" t="inlineStr">
        <is>
          <t>Kitchen</t>
        </is>
      </c>
      <c r="B18" s="5" t="inlineStr">
        <is>
          <t>Clean under sink &amp; organize</t>
        </is>
      </c>
      <c r="C18" s="5" t="inlineStr">
        <is>
          <t>Monthly</t>
        </is>
      </c>
      <c r="D18" s="7" t="n">
        <v>46044</v>
      </c>
      <c r="E18" s="7">
        <f>IF(D18="","",D18+CHOOSE(MATCH(C18,{"Weekly","Biweekly","Monthly","Quarterly","Annually"},0),7,14,30,91,365))</f>
        <v/>
      </c>
      <c r="F18" s="5" t="inlineStr">
        <is>
          <t>Due</t>
        </is>
      </c>
      <c r="G18" s="5" t="inlineStr"/>
      <c r="H18" s="5" t="inlineStr"/>
    </row>
    <row r="19">
      <c r="A19" s="4" t="inlineStr">
        <is>
          <t>Kitchen</t>
        </is>
      </c>
      <c r="B19" s="4" t="inlineStr">
        <is>
          <t>Sharpen knives &amp; clean block</t>
        </is>
      </c>
      <c r="C19" s="4" t="inlineStr">
        <is>
          <t>Quarterly</t>
        </is>
      </c>
      <c r="D19" s="6" t="n">
        <v>45976</v>
      </c>
      <c r="E19" s="6">
        <f>IF(D19="","",D19+CHOOSE(MATCH(C19,{"Weekly","Biweekly","Monthly","Quarterly","Annually"},0),7,14,30,91,365))</f>
        <v/>
      </c>
      <c r="F19" s="4" t="inlineStr">
        <is>
          <t>Due</t>
        </is>
      </c>
      <c r="G19" s="4" t="inlineStr"/>
      <c r="H19" s="4" t="inlineStr"/>
    </row>
    <row r="20">
      <c r="A20" s="5" t="inlineStr">
        <is>
          <t>Bathroom</t>
        </is>
      </c>
      <c r="B20" s="5" t="inlineStr">
        <is>
          <t>Scrub tile grout</t>
        </is>
      </c>
      <c r="C20" s="5" t="inlineStr">
        <is>
          <t>Monthly</t>
        </is>
      </c>
      <c r="D20" s="7" t="n">
        <v>46037</v>
      </c>
      <c r="E20" s="7">
        <f>IF(D20="","",D20+CHOOSE(MATCH(C20,{"Weekly","Biweekly","Monthly","Quarterly","Annually"},0),7,14,30,91,365))</f>
        <v/>
      </c>
      <c r="F20" s="5" t="inlineStr">
        <is>
          <t>Due</t>
        </is>
      </c>
      <c r="G20" s="5" t="inlineStr"/>
      <c r="H20" s="5" t="inlineStr"/>
    </row>
    <row r="21">
      <c r="A21" s="4" t="inlineStr">
        <is>
          <t>Bathroom</t>
        </is>
      </c>
      <c r="B21" s="4" t="inlineStr">
        <is>
          <t>Deep clean shower head (vinegar soak)</t>
        </is>
      </c>
      <c r="C21" s="4" t="inlineStr">
        <is>
          <t>Monthly</t>
        </is>
      </c>
      <c r="D21" s="6" t="n">
        <v>46032</v>
      </c>
      <c r="E21" s="6">
        <f>IF(D21="","",D21+CHOOSE(MATCH(C21,{"Weekly","Biweekly","Monthly","Quarterly","Annually"},0),7,14,30,91,365))</f>
        <v/>
      </c>
      <c r="F21" s="4" t="inlineStr">
        <is>
          <t>Due</t>
        </is>
      </c>
      <c r="G21" s="4" t="inlineStr"/>
      <c r="H21" s="4" t="inlineStr"/>
    </row>
    <row r="22">
      <c r="A22" s="5" t="inlineStr">
        <is>
          <t>Bathroom</t>
        </is>
      </c>
      <c r="B22" s="5" t="inlineStr">
        <is>
          <t>Wash shower curtain &amp; liner</t>
        </is>
      </c>
      <c r="C22" s="5" t="inlineStr">
        <is>
          <t>Monthly</t>
        </is>
      </c>
      <c r="D22" s="7" t="n">
        <v>46042</v>
      </c>
      <c r="E22" s="7">
        <f>IF(D22="","",D22+CHOOSE(MATCH(C22,{"Weekly","Biweekly","Monthly","Quarterly","Annually"},0),7,14,30,91,365))</f>
        <v/>
      </c>
      <c r="F22" s="5" t="inlineStr">
        <is>
          <t>Due</t>
        </is>
      </c>
      <c r="G22" s="5" t="inlineStr"/>
      <c r="H22" s="5" t="inlineStr"/>
    </row>
    <row r="23">
      <c r="A23" s="4" t="inlineStr">
        <is>
          <t>Bathroom</t>
        </is>
      </c>
      <c r="B23" s="4" t="inlineStr">
        <is>
          <t>Clean exhaust fan</t>
        </is>
      </c>
      <c r="C23" s="4" t="inlineStr">
        <is>
          <t>Quarterly</t>
        </is>
      </c>
      <c r="D23" s="6" t="n">
        <v>45992</v>
      </c>
      <c r="E23" s="6">
        <f>IF(D23="","",D23+CHOOSE(MATCH(C23,{"Weekly","Biweekly","Monthly","Quarterly","Annually"},0),7,14,30,91,365))</f>
        <v/>
      </c>
      <c r="F23" s="4" t="inlineStr">
        <is>
          <t>Due</t>
        </is>
      </c>
      <c r="G23" s="4" t="inlineStr"/>
      <c r="H23" s="4" t="inlineStr"/>
    </row>
    <row r="24">
      <c r="A24" s="5" t="inlineStr">
        <is>
          <t>Bathroom</t>
        </is>
      </c>
      <c r="B24" s="5" t="inlineStr">
        <is>
          <t>Organize medicine cabinet</t>
        </is>
      </c>
      <c r="C24" s="5" t="inlineStr">
        <is>
          <t>Quarterly</t>
        </is>
      </c>
      <c r="D24" s="7" t="n">
        <v>46006</v>
      </c>
      <c r="E24" s="7">
        <f>IF(D24="","",D24+CHOOSE(MATCH(C24,{"Weekly","Biweekly","Monthly","Quarterly","Annually"},0),7,14,30,91,365))</f>
        <v/>
      </c>
      <c r="F24" s="5" t="inlineStr">
        <is>
          <t>Due</t>
        </is>
      </c>
      <c r="G24" s="5" t="inlineStr"/>
      <c r="H24" s="5" t="inlineStr"/>
    </row>
    <row r="25">
      <c r="A25" s="4" t="inlineStr">
        <is>
          <t>Bathroom</t>
        </is>
      </c>
      <c r="B25" s="4" t="inlineStr">
        <is>
          <t>Replace toothbrush heads</t>
        </is>
      </c>
      <c r="C25" s="4" t="inlineStr">
        <is>
          <t>Quarterly</t>
        </is>
      </c>
      <c r="D25" s="6" t="n">
        <v>46011</v>
      </c>
      <c r="E25" s="6">
        <f>IF(D25="","",D25+CHOOSE(MATCH(C25,{"Weekly","Biweekly","Monthly","Quarterly","Annually"},0),7,14,30,91,365))</f>
        <v/>
      </c>
      <c r="F25" s="4" t="inlineStr">
        <is>
          <t>Due</t>
        </is>
      </c>
      <c r="G25" s="4" t="inlineStr"/>
      <c r="H25" s="4" t="inlineStr"/>
    </row>
    <row r="26">
      <c r="A26" s="5" t="inlineStr">
        <is>
          <t>Bathroom</t>
        </is>
      </c>
      <c r="B26" s="5" t="inlineStr">
        <is>
          <t>Deep clean toilet (incl. base &amp; behind)</t>
        </is>
      </c>
      <c r="C26" s="5" t="inlineStr">
        <is>
          <t>Biweekly</t>
        </is>
      </c>
      <c r="D26" s="7" t="n">
        <v>46050</v>
      </c>
      <c r="E26" s="7">
        <f>IF(D26="","",D26+CHOOSE(MATCH(C26,{"Weekly","Biweekly","Monthly","Quarterly","Annually"},0),7,14,30,91,365))</f>
        <v/>
      </c>
      <c r="F26" s="5" t="inlineStr">
        <is>
          <t>Due</t>
        </is>
      </c>
      <c r="G26" s="5" t="inlineStr"/>
      <c r="H26" s="5" t="inlineStr"/>
    </row>
    <row r="27">
      <c r="A27" s="4" t="inlineStr">
        <is>
          <t>Bathroom</t>
        </is>
      </c>
      <c r="B27" s="4" t="inlineStr">
        <is>
          <t>Wash bath mats &amp; rugs</t>
        </is>
      </c>
      <c r="C27" s="4" t="inlineStr">
        <is>
          <t>Biweekly</t>
        </is>
      </c>
      <c r="D27" s="6" t="n">
        <v>46047</v>
      </c>
      <c r="E27" s="6">
        <f>IF(D27="","",D27+CHOOSE(MATCH(C27,{"Weekly","Biweekly","Monthly","Quarterly","Annually"},0),7,14,30,91,365))</f>
        <v/>
      </c>
      <c r="F27" s="4" t="inlineStr">
        <is>
          <t>Due</t>
        </is>
      </c>
      <c r="G27" s="4" t="inlineStr"/>
      <c r="H27" s="4" t="inlineStr"/>
    </row>
    <row r="28">
      <c r="A28" s="5" t="inlineStr">
        <is>
          <t>Bathroom</t>
        </is>
      </c>
      <c r="B28" s="5" t="inlineStr">
        <is>
          <t>Clean mirror edges &amp; frame</t>
        </is>
      </c>
      <c r="C28" s="5" t="inlineStr">
        <is>
          <t>Monthly</t>
        </is>
      </c>
      <c r="D28" s="7" t="n">
        <v>46040</v>
      </c>
      <c r="E28" s="7">
        <f>IF(D28="","",D28+CHOOSE(MATCH(C28,{"Weekly","Biweekly","Monthly","Quarterly","Annually"},0),7,14,30,91,365))</f>
        <v/>
      </c>
      <c r="F28" s="5" t="inlineStr">
        <is>
          <t>Due</t>
        </is>
      </c>
      <c r="G28" s="5" t="inlineStr"/>
      <c r="H28" s="5" t="inlineStr"/>
    </row>
    <row r="29">
      <c r="A29" s="4" t="inlineStr">
        <is>
          <t>Bathroom</t>
        </is>
      </c>
      <c r="B29" s="4" t="inlineStr">
        <is>
          <t>Descale faucets</t>
        </is>
      </c>
      <c r="C29" s="4" t="inlineStr">
        <is>
          <t>Monthly</t>
        </is>
      </c>
      <c r="D29" s="6" t="n">
        <v>46027</v>
      </c>
      <c r="E29" s="6">
        <f>IF(D29="","",D29+CHOOSE(MATCH(C29,{"Weekly","Biweekly","Monthly","Quarterly","Annually"},0),7,14,30,91,365))</f>
        <v/>
      </c>
      <c r="F29" s="4" t="inlineStr">
        <is>
          <t>Due</t>
        </is>
      </c>
      <c r="G29" s="4" t="inlineStr"/>
      <c r="H29" s="4" t="inlineStr"/>
    </row>
    <row r="30">
      <c r="A30" s="5" t="inlineStr">
        <is>
          <t>Bathroom</t>
        </is>
      </c>
      <c r="B30" s="5" t="inlineStr">
        <is>
          <t>Organize under-sink storage</t>
        </is>
      </c>
      <c r="C30" s="5" t="inlineStr">
        <is>
          <t>Quarterly</t>
        </is>
      </c>
      <c r="D30" s="7" t="n">
        <v>45962</v>
      </c>
      <c r="E30" s="7">
        <f>IF(D30="","",D30+CHOOSE(MATCH(C30,{"Weekly","Biweekly","Monthly","Quarterly","Annually"},0),7,14,30,91,365))</f>
        <v/>
      </c>
      <c r="F30" s="5" t="inlineStr">
        <is>
          <t>Due</t>
        </is>
      </c>
      <c r="G30" s="5" t="inlineStr"/>
      <c r="H30" s="5" t="inlineStr"/>
    </row>
    <row r="31">
      <c r="A31" s="4" t="inlineStr">
        <is>
          <t>Bathroom</t>
        </is>
      </c>
      <c r="B31" s="4" t="inlineStr">
        <is>
          <t>Replace caulking if needed</t>
        </is>
      </c>
      <c r="C31" s="4" t="inlineStr">
        <is>
          <t>Annually</t>
        </is>
      </c>
      <c r="D31" s="6" t="n">
        <v>45809</v>
      </c>
      <c r="E31" s="6">
        <f>IF(D31="","",D31+CHOOSE(MATCH(C31,{"Weekly","Biweekly","Monthly","Quarterly","Annually"},0),7,14,30,91,365))</f>
        <v/>
      </c>
      <c r="F31" s="4" t="inlineStr">
        <is>
          <t>Due</t>
        </is>
      </c>
      <c r="G31" s="4" t="inlineStr"/>
      <c r="H31" s="4" t="inlineStr"/>
    </row>
    <row r="32">
      <c r="A32" s="5" t="inlineStr">
        <is>
          <t>Bedroom</t>
        </is>
      </c>
      <c r="B32" s="5" t="inlineStr">
        <is>
          <t>Flip/rotate mattress</t>
        </is>
      </c>
      <c r="C32" s="5" t="inlineStr">
        <is>
          <t>Quarterly</t>
        </is>
      </c>
      <c r="D32" s="7" t="n">
        <v>46006</v>
      </c>
      <c r="E32" s="7">
        <f>IF(D32="","",D32+CHOOSE(MATCH(C32,{"Weekly","Biweekly","Monthly","Quarterly","Annually"},0),7,14,30,91,365))</f>
        <v/>
      </c>
      <c r="F32" s="5" t="inlineStr">
        <is>
          <t>Due</t>
        </is>
      </c>
      <c r="G32" s="5" t="inlineStr"/>
      <c r="H32" s="5" t="inlineStr"/>
    </row>
    <row r="33">
      <c r="A33" s="4" t="inlineStr">
        <is>
          <t>Bedroom</t>
        </is>
      </c>
      <c r="B33" s="4" t="inlineStr">
        <is>
          <t>Wash pillows &amp; duvet</t>
        </is>
      </c>
      <c r="C33" s="4" t="inlineStr">
        <is>
          <t>Quarterly</t>
        </is>
      </c>
      <c r="D33" s="6" t="n">
        <v>45992</v>
      </c>
      <c r="E33" s="6">
        <f>IF(D33="","",D33+CHOOSE(MATCH(C33,{"Weekly","Biweekly","Monthly","Quarterly","Annually"},0),7,14,30,91,365))</f>
        <v/>
      </c>
      <c r="F33" s="4" t="inlineStr">
        <is>
          <t>Due</t>
        </is>
      </c>
      <c r="G33" s="4" t="inlineStr"/>
      <c r="H33" s="4" t="inlineStr"/>
    </row>
    <row r="34">
      <c r="A34" s="5" t="inlineStr">
        <is>
          <t>Bedroom</t>
        </is>
      </c>
      <c r="B34" s="5" t="inlineStr">
        <is>
          <t>Clean under bed</t>
        </is>
      </c>
      <c r="C34" s="5" t="inlineStr">
        <is>
          <t>Monthly</t>
        </is>
      </c>
      <c r="D34" s="7" t="n">
        <v>46037</v>
      </c>
      <c r="E34" s="7">
        <f>IF(D34="","",D34+CHOOSE(MATCH(C34,{"Weekly","Biweekly","Monthly","Quarterly","Annually"},0),7,14,30,91,365))</f>
        <v/>
      </c>
      <c r="F34" s="5" t="inlineStr">
        <is>
          <t>Due</t>
        </is>
      </c>
      <c r="G34" s="5" t="inlineStr"/>
      <c r="H34" s="5" t="inlineStr"/>
    </row>
    <row r="35">
      <c r="A35" s="4" t="inlineStr">
        <is>
          <t>Bedroom</t>
        </is>
      </c>
      <c r="B35" s="4" t="inlineStr">
        <is>
          <t>Dust ceiling fan blades</t>
        </is>
      </c>
      <c r="C35" s="4" t="inlineStr">
        <is>
          <t>Monthly</t>
        </is>
      </c>
      <c r="D35" s="6" t="n">
        <v>46032</v>
      </c>
      <c r="E35" s="6">
        <f>IF(D35="","",D35+CHOOSE(MATCH(C35,{"Weekly","Biweekly","Monthly","Quarterly","Annually"},0),7,14,30,91,365))</f>
        <v/>
      </c>
      <c r="F35" s="4" t="inlineStr">
        <is>
          <t>Due</t>
        </is>
      </c>
      <c r="G35" s="4" t="inlineStr"/>
      <c r="H35" s="4" t="inlineStr"/>
    </row>
    <row r="36">
      <c r="A36" s="5" t="inlineStr">
        <is>
          <t>Bedroom</t>
        </is>
      </c>
      <c r="B36" s="5" t="inlineStr">
        <is>
          <t>Vacuum mattress</t>
        </is>
      </c>
      <c r="C36" s="5" t="inlineStr">
        <is>
          <t>Monthly</t>
        </is>
      </c>
      <c r="D36" s="7" t="n">
        <v>46042</v>
      </c>
      <c r="E36" s="7">
        <f>IF(D36="","",D36+CHOOSE(MATCH(C36,{"Weekly","Biweekly","Monthly","Quarterly","Annually"},0),7,14,30,91,365))</f>
        <v/>
      </c>
      <c r="F36" s="5" t="inlineStr">
        <is>
          <t>Due</t>
        </is>
      </c>
      <c r="G36" s="5" t="inlineStr"/>
      <c r="H36" s="5" t="inlineStr"/>
    </row>
    <row r="37">
      <c r="A37" s="4" t="inlineStr">
        <is>
          <t>Bedroom</t>
        </is>
      </c>
      <c r="B37" s="4" t="inlineStr">
        <is>
          <t>Wash curtains/blinds</t>
        </is>
      </c>
      <c r="C37" s="4" t="inlineStr">
        <is>
          <t>Quarterly</t>
        </is>
      </c>
      <c r="D37" s="6" t="n">
        <v>45962</v>
      </c>
      <c r="E37" s="6">
        <f>IF(D37="","",D37+CHOOSE(MATCH(C37,{"Weekly","Biweekly","Monthly","Quarterly","Annually"},0),7,14,30,91,365))</f>
        <v/>
      </c>
      <c r="F37" s="4" t="inlineStr">
        <is>
          <t>Due</t>
        </is>
      </c>
      <c r="G37" s="4" t="inlineStr"/>
      <c r="H37" s="4" t="inlineStr"/>
    </row>
    <row r="38">
      <c r="A38" s="5" t="inlineStr">
        <is>
          <t>Bedroom</t>
        </is>
      </c>
      <c r="B38" s="5" t="inlineStr">
        <is>
          <t>Organize closet &amp; donate</t>
        </is>
      </c>
      <c r="C38" s="5" t="inlineStr">
        <is>
          <t>Quarterly</t>
        </is>
      </c>
      <c r="D38" s="7" t="n">
        <v>46011</v>
      </c>
      <c r="E38" s="7">
        <f>IF(D38="","",D38+CHOOSE(MATCH(C38,{"Weekly","Biweekly","Monthly","Quarterly","Annually"},0),7,14,30,91,365))</f>
        <v/>
      </c>
      <c r="F38" s="5" t="inlineStr">
        <is>
          <t>Due</t>
        </is>
      </c>
      <c r="G38" s="5" t="inlineStr"/>
      <c r="H38" s="5" t="inlineStr"/>
    </row>
    <row r="39">
      <c r="A39" s="4" t="inlineStr">
        <is>
          <t>Bedroom</t>
        </is>
      </c>
      <c r="B39" s="4" t="inlineStr">
        <is>
          <t>Clean light switches &amp; outlets</t>
        </is>
      </c>
      <c r="C39" s="4" t="inlineStr">
        <is>
          <t>Monthly</t>
        </is>
      </c>
      <c r="D39" s="6" t="n">
        <v>46044</v>
      </c>
      <c r="E39" s="6">
        <f>IF(D39="","",D39+CHOOSE(MATCH(C39,{"Weekly","Biweekly","Monthly","Quarterly","Annually"},0),7,14,30,91,365))</f>
        <v/>
      </c>
      <c r="F39" s="4" t="inlineStr">
        <is>
          <t>Due</t>
        </is>
      </c>
      <c r="G39" s="4" t="inlineStr"/>
      <c r="H39" s="4" t="inlineStr"/>
    </row>
    <row r="40">
      <c r="A40" s="5" t="inlineStr">
        <is>
          <t>Bedroom</t>
        </is>
      </c>
      <c r="B40" s="5" t="inlineStr">
        <is>
          <t>Dust baseboards</t>
        </is>
      </c>
      <c r="C40" s="5" t="inlineStr">
        <is>
          <t>Monthly</t>
        </is>
      </c>
      <c r="D40" s="7" t="n">
        <v>46040</v>
      </c>
      <c r="E40" s="7">
        <f>IF(D40="","",D40+CHOOSE(MATCH(C40,{"Weekly","Biweekly","Monthly","Quarterly","Annually"},0),7,14,30,91,365))</f>
        <v/>
      </c>
      <c r="F40" s="5" t="inlineStr">
        <is>
          <t>Due</t>
        </is>
      </c>
      <c r="G40" s="5" t="inlineStr"/>
      <c r="H40" s="5" t="inlineStr"/>
    </row>
    <row r="41">
      <c r="A41" s="4" t="inlineStr">
        <is>
          <t>Bedroom</t>
        </is>
      </c>
      <c r="B41" s="4" t="inlineStr">
        <is>
          <t>Clean window tracks</t>
        </is>
      </c>
      <c r="C41" s="4" t="inlineStr">
        <is>
          <t>Quarterly</t>
        </is>
      </c>
      <c r="D41" s="6" t="n">
        <v>45931</v>
      </c>
      <c r="E41" s="6">
        <f>IF(D41="","",D41+CHOOSE(MATCH(C41,{"Weekly","Biweekly","Monthly","Quarterly","Annually"},0),7,14,30,91,365))</f>
        <v/>
      </c>
      <c r="F41" s="4" t="inlineStr">
        <is>
          <t>Due</t>
        </is>
      </c>
      <c r="G41" s="4" t="inlineStr"/>
      <c r="H41" s="4" t="inlineStr"/>
    </row>
    <row r="42">
      <c r="A42" s="5" t="inlineStr">
        <is>
          <t>Living Room</t>
        </is>
      </c>
      <c r="B42" s="5" t="inlineStr">
        <is>
          <t>Deep clean upholstery/sofa</t>
        </is>
      </c>
      <c r="C42" s="5" t="inlineStr">
        <is>
          <t>Quarterly</t>
        </is>
      </c>
      <c r="D42" s="7" t="n">
        <v>46006</v>
      </c>
      <c r="E42" s="7">
        <f>IF(D42="","",D42+CHOOSE(MATCH(C42,{"Weekly","Biweekly","Monthly","Quarterly","Annually"},0),7,14,30,91,365))</f>
        <v/>
      </c>
      <c r="F42" s="5" t="inlineStr">
        <is>
          <t>Due</t>
        </is>
      </c>
      <c r="G42" s="5" t="inlineStr"/>
      <c r="H42" s="5" t="inlineStr"/>
    </row>
    <row r="43">
      <c r="A43" s="4" t="inlineStr">
        <is>
          <t>Living Room</t>
        </is>
      </c>
      <c r="B43" s="4" t="inlineStr">
        <is>
          <t>Shampoo carpets/rugs</t>
        </is>
      </c>
      <c r="C43" s="4" t="inlineStr">
        <is>
          <t>Quarterly</t>
        </is>
      </c>
      <c r="D43" s="6" t="n">
        <v>45992</v>
      </c>
      <c r="E43" s="6">
        <f>IF(D43="","",D43+CHOOSE(MATCH(C43,{"Weekly","Biweekly","Monthly","Quarterly","Annually"},0),7,14,30,91,365))</f>
        <v/>
      </c>
      <c r="F43" s="4" t="inlineStr">
        <is>
          <t>Due</t>
        </is>
      </c>
      <c r="G43" s="4" t="inlineStr"/>
      <c r="H43" s="4" t="inlineStr"/>
    </row>
    <row r="44">
      <c r="A44" s="5" t="inlineStr">
        <is>
          <t>Living Room</t>
        </is>
      </c>
      <c r="B44" s="5" t="inlineStr">
        <is>
          <t>Clean windows inside &amp; out</t>
        </is>
      </c>
      <c r="C44" s="5" t="inlineStr">
        <is>
          <t>Quarterly</t>
        </is>
      </c>
      <c r="D44" s="7" t="n">
        <v>45962</v>
      </c>
      <c r="E44" s="7">
        <f>IF(D44="","",D44+CHOOSE(MATCH(C44,{"Weekly","Biweekly","Monthly","Quarterly","Annually"},0),7,14,30,91,365))</f>
        <v/>
      </c>
      <c r="F44" s="5" t="inlineStr">
        <is>
          <t>Due</t>
        </is>
      </c>
      <c r="G44" s="5" t="inlineStr"/>
      <c r="H44" s="5" t="inlineStr"/>
    </row>
    <row r="45">
      <c r="A45" s="4" t="inlineStr">
        <is>
          <t>Living Room</t>
        </is>
      </c>
      <c r="B45" s="4" t="inlineStr">
        <is>
          <t>Dust all bookshelves &amp; decor</t>
        </is>
      </c>
      <c r="C45" s="4" t="inlineStr">
        <is>
          <t>Monthly</t>
        </is>
      </c>
      <c r="D45" s="6" t="n">
        <v>46034</v>
      </c>
      <c r="E45" s="6">
        <f>IF(D45="","",D45+CHOOSE(MATCH(C45,{"Weekly","Biweekly","Monthly","Quarterly","Annually"},0),7,14,30,91,365))</f>
        <v/>
      </c>
      <c r="F45" s="4" t="inlineStr">
        <is>
          <t>Due</t>
        </is>
      </c>
      <c r="G45" s="4" t="inlineStr"/>
      <c r="H45" s="4" t="inlineStr"/>
    </row>
    <row r="46">
      <c r="A46" s="5" t="inlineStr">
        <is>
          <t>Living Room</t>
        </is>
      </c>
      <c r="B46" s="5" t="inlineStr">
        <is>
          <t>Clean TV screen &amp; electronics</t>
        </is>
      </c>
      <c r="C46" s="5" t="inlineStr">
        <is>
          <t>Biweekly</t>
        </is>
      </c>
      <c r="D46" s="7" t="n">
        <v>46047</v>
      </c>
      <c r="E46" s="7">
        <f>IF(D46="","",D46+CHOOSE(MATCH(C46,{"Weekly","Biweekly","Monthly","Quarterly","Annually"},0),7,14,30,91,365))</f>
        <v/>
      </c>
      <c r="F46" s="5" t="inlineStr">
        <is>
          <t>Due</t>
        </is>
      </c>
      <c r="G46" s="5" t="inlineStr"/>
      <c r="H46" s="5" t="inlineStr"/>
    </row>
    <row r="47">
      <c r="A47" s="4" t="inlineStr">
        <is>
          <t>Living Room</t>
        </is>
      </c>
      <c r="B47" s="4" t="inlineStr">
        <is>
          <t>Vacuum under furniture</t>
        </is>
      </c>
      <c r="C47" s="4" t="inlineStr">
        <is>
          <t>Monthly</t>
        </is>
      </c>
      <c r="D47" s="6" t="n">
        <v>46037</v>
      </c>
      <c r="E47" s="6">
        <f>IF(D47="","",D47+CHOOSE(MATCH(C47,{"Weekly","Biweekly","Monthly","Quarterly","Annually"},0),7,14,30,91,365))</f>
        <v/>
      </c>
      <c r="F47" s="4" t="inlineStr">
        <is>
          <t>Due</t>
        </is>
      </c>
      <c r="G47" s="4" t="inlineStr"/>
      <c r="H47" s="4" t="inlineStr"/>
    </row>
    <row r="48">
      <c r="A48" s="5" t="inlineStr">
        <is>
          <t>Living Room</t>
        </is>
      </c>
      <c r="B48" s="5" t="inlineStr">
        <is>
          <t>Clean air vents &amp; registers</t>
        </is>
      </c>
      <c r="C48" s="5" t="inlineStr">
        <is>
          <t>Quarterly</t>
        </is>
      </c>
      <c r="D48" s="7" t="n">
        <v>45992</v>
      </c>
      <c r="E48" s="7">
        <f>IF(D48="","",D48+CHOOSE(MATCH(C48,{"Weekly","Biweekly","Monthly","Quarterly","Annually"},0),7,14,30,91,365))</f>
        <v/>
      </c>
      <c r="F48" s="5" t="inlineStr">
        <is>
          <t>Due</t>
        </is>
      </c>
      <c r="G48" s="5" t="inlineStr"/>
      <c r="H48" s="5" t="inlineStr"/>
    </row>
    <row r="49">
      <c r="A49" s="4" t="inlineStr">
        <is>
          <t>Living Room</t>
        </is>
      </c>
      <c r="B49" s="4" t="inlineStr">
        <is>
          <t>Polish wood furniture</t>
        </is>
      </c>
      <c r="C49" s="4" t="inlineStr">
        <is>
          <t>Monthly</t>
        </is>
      </c>
      <c r="D49" s="6" t="n">
        <v>46042</v>
      </c>
      <c r="E49" s="6">
        <f>IF(D49="","",D49+CHOOSE(MATCH(C49,{"Weekly","Biweekly","Monthly","Quarterly","Annually"},0),7,14,30,91,365))</f>
        <v/>
      </c>
      <c r="F49" s="4" t="inlineStr">
        <is>
          <t>Due</t>
        </is>
      </c>
      <c r="G49" s="4" t="inlineStr"/>
      <c r="H49" s="4" t="inlineStr"/>
    </row>
    <row r="50">
      <c r="A50" s="5" t="inlineStr">
        <is>
          <t>Living Room</t>
        </is>
      </c>
      <c r="B50" s="5" t="inlineStr">
        <is>
          <t>Wash throw blankets &amp; pillows</t>
        </is>
      </c>
      <c r="C50" s="5" t="inlineStr">
        <is>
          <t>Monthly</t>
        </is>
      </c>
      <c r="D50" s="7" t="n">
        <v>46032</v>
      </c>
      <c r="E50" s="7">
        <f>IF(D50="","",D50+CHOOSE(MATCH(C50,{"Weekly","Biweekly","Monthly","Quarterly","Annually"},0),7,14,30,91,365))</f>
        <v/>
      </c>
      <c r="F50" s="5" t="inlineStr">
        <is>
          <t>Due</t>
        </is>
      </c>
      <c r="G50" s="5" t="inlineStr"/>
      <c r="H50" s="5" t="inlineStr"/>
    </row>
    <row r="51">
      <c r="A51" s="4" t="inlineStr">
        <is>
          <t>Living Room</t>
        </is>
      </c>
      <c r="B51" s="4" t="inlineStr">
        <is>
          <t>Clean fireplace (if applicable)</t>
        </is>
      </c>
      <c r="C51" s="4" t="inlineStr">
        <is>
          <t>Annually</t>
        </is>
      </c>
      <c r="D51" s="6" t="n">
        <v>45901</v>
      </c>
      <c r="E51" s="6">
        <f>IF(D51="","",D51+CHOOSE(MATCH(C51,{"Weekly","Biweekly","Monthly","Quarterly","Annually"},0),7,14,30,91,365))</f>
        <v/>
      </c>
      <c r="F51" s="4" t="inlineStr">
        <is>
          <t>Due</t>
        </is>
      </c>
      <c r="G51" s="4" t="inlineStr"/>
      <c r="H51" s="4" t="inlineStr"/>
    </row>
    <row r="52">
      <c r="A52" s="5" t="inlineStr">
        <is>
          <t>Laundry Room</t>
        </is>
      </c>
      <c r="B52" s="5" t="inlineStr">
        <is>
          <t>Clean washing machine (vinegar cycle)</t>
        </is>
      </c>
      <c r="C52" s="5" t="inlineStr">
        <is>
          <t>Monthly</t>
        </is>
      </c>
      <c r="D52" s="7" t="n">
        <v>46037</v>
      </c>
      <c r="E52" s="7">
        <f>IF(D52="","",D52+CHOOSE(MATCH(C52,{"Weekly","Biweekly","Monthly","Quarterly","Annually"},0),7,14,30,91,365))</f>
        <v/>
      </c>
      <c r="F52" s="5" t="inlineStr">
        <is>
          <t>Due</t>
        </is>
      </c>
      <c r="G52" s="5" t="inlineStr"/>
      <c r="H52" s="5" t="inlineStr"/>
    </row>
    <row r="53">
      <c r="A53" s="4" t="inlineStr">
        <is>
          <t>Laundry Room</t>
        </is>
      </c>
      <c r="B53" s="4" t="inlineStr">
        <is>
          <t>Deep clean dryer vent</t>
        </is>
      </c>
      <c r="C53" s="4" t="inlineStr">
        <is>
          <t>Quarterly</t>
        </is>
      </c>
      <c r="D53" s="6" t="n">
        <v>45992</v>
      </c>
      <c r="E53" s="6">
        <f>IF(D53="","",D53+CHOOSE(MATCH(C53,{"Weekly","Biweekly","Monthly","Quarterly","Annually"},0),7,14,30,91,365))</f>
        <v/>
      </c>
      <c r="F53" s="4" t="inlineStr">
        <is>
          <t>Due</t>
        </is>
      </c>
      <c r="G53" s="4" t="inlineStr"/>
      <c r="H53" s="4" t="inlineStr"/>
    </row>
    <row r="54">
      <c r="A54" s="5" t="inlineStr">
        <is>
          <t>Laundry Room</t>
        </is>
      </c>
      <c r="B54" s="5" t="inlineStr">
        <is>
          <t>Organize supplies &amp; shelves</t>
        </is>
      </c>
      <c r="C54" s="5" t="inlineStr">
        <is>
          <t>Monthly</t>
        </is>
      </c>
      <c r="D54" s="7" t="n">
        <v>46042</v>
      </c>
      <c r="E54" s="7">
        <f>IF(D54="","",D54+CHOOSE(MATCH(C54,{"Weekly","Biweekly","Monthly","Quarterly","Annually"},0),7,14,30,91,365))</f>
        <v/>
      </c>
      <c r="F54" s="5" t="inlineStr">
        <is>
          <t>Due</t>
        </is>
      </c>
      <c r="G54" s="5" t="inlineStr"/>
      <c r="H54" s="5" t="inlineStr"/>
    </row>
    <row r="55">
      <c r="A55" s="4" t="inlineStr">
        <is>
          <t>Home Office</t>
        </is>
      </c>
      <c r="B55" s="4" t="inlineStr">
        <is>
          <t>Clean keyboard &amp; mouse</t>
        </is>
      </c>
      <c r="C55" s="4" t="inlineStr">
        <is>
          <t>Biweekly</t>
        </is>
      </c>
      <c r="D55" s="6" t="n">
        <v>46050</v>
      </c>
      <c r="E55" s="6">
        <f>IF(D55="","",D55+CHOOSE(MATCH(C55,{"Weekly","Biweekly","Monthly","Quarterly","Annually"},0),7,14,30,91,365))</f>
        <v/>
      </c>
      <c r="F55" s="4" t="inlineStr">
        <is>
          <t>Due</t>
        </is>
      </c>
      <c r="G55" s="4" t="inlineStr"/>
      <c r="H55" s="4" t="inlineStr"/>
    </row>
    <row r="56">
      <c r="A56" s="5" t="inlineStr">
        <is>
          <t>Home Office</t>
        </is>
      </c>
      <c r="B56" s="5" t="inlineStr">
        <is>
          <t>Organize files &amp; shred papers</t>
        </is>
      </c>
      <c r="C56" s="5" t="inlineStr">
        <is>
          <t>Monthly</t>
        </is>
      </c>
      <c r="D56" s="7" t="n">
        <v>46032</v>
      </c>
      <c r="E56" s="7">
        <f>IF(D56="","",D56+CHOOSE(MATCH(C56,{"Weekly","Biweekly","Monthly","Quarterly","Annually"},0),7,14,30,91,365))</f>
        <v/>
      </c>
      <c r="F56" s="5" t="inlineStr">
        <is>
          <t>Due</t>
        </is>
      </c>
      <c r="G56" s="5" t="inlineStr"/>
      <c r="H56" s="5" t="inlineStr"/>
    </row>
    <row r="57">
      <c r="A57" s="4" t="inlineStr">
        <is>
          <t>Home Office</t>
        </is>
      </c>
      <c r="B57" s="4" t="inlineStr">
        <is>
          <t>Dust &amp; clean monitor</t>
        </is>
      </c>
      <c r="C57" s="4" t="inlineStr">
        <is>
          <t>Biweekly</t>
        </is>
      </c>
      <c r="D57" s="6" t="n">
        <v>46047</v>
      </c>
      <c r="E57" s="6">
        <f>IF(D57="","",D57+CHOOSE(MATCH(C57,{"Weekly","Biweekly","Monthly","Quarterly","Annually"},0),7,14,30,91,365))</f>
        <v/>
      </c>
      <c r="F57" s="4" t="inlineStr">
        <is>
          <t>Due</t>
        </is>
      </c>
      <c r="G57" s="4" t="inlineStr"/>
      <c r="H57" s="4" t="inlineStr"/>
    </row>
    <row r="58">
      <c r="A58" s="5" t="inlineStr">
        <is>
          <t>Garage</t>
        </is>
      </c>
      <c r="B58" s="5" t="inlineStr">
        <is>
          <t>Sweep &amp; organize</t>
        </is>
      </c>
      <c r="C58" s="5" t="inlineStr">
        <is>
          <t>Monthly</t>
        </is>
      </c>
      <c r="D58" s="7" t="n">
        <v>46027</v>
      </c>
      <c r="E58" s="7">
        <f>IF(D58="","",D58+CHOOSE(MATCH(C58,{"Weekly","Biweekly","Monthly","Quarterly","Annually"},0),7,14,30,91,365))</f>
        <v/>
      </c>
      <c r="F58" s="5" t="inlineStr">
        <is>
          <t>Due</t>
        </is>
      </c>
      <c r="G58" s="5" t="inlineStr"/>
      <c r="H58" s="5" t="inlineStr"/>
    </row>
    <row r="59">
      <c r="A59" s="4" t="inlineStr">
        <is>
          <t>Garage</t>
        </is>
      </c>
      <c r="B59" s="4" t="inlineStr">
        <is>
          <t>Check for pests</t>
        </is>
      </c>
      <c r="C59" s="4" t="inlineStr">
        <is>
          <t>Quarterly</t>
        </is>
      </c>
      <c r="D59" s="6" t="n">
        <v>45992</v>
      </c>
      <c r="E59" s="6">
        <f>IF(D59="","",D59+CHOOSE(MATCH(C59,{"Weekly","Biweekly","Monthly","Quarterly","Annually"},0),7,14,30,91,365))</f>
        <v/>
      </c>
      <c r="F59" s="4" t="inlineStr">
        <is>
          <t>Due</t>
        </is>
      </c>
      <c r="G59" s="4" t="inlineStr"/>
      <c r="H59" s="4" t="inlineStr"/>
    </row>
    <row r="60">
      <c r="A60" s="5" t="inlineStr">
        <is>
          <t>Entryway</t>
        </is>
      </c>
      <c r="B60" s="5" t="inlineStr">
        <is>
          <t>Clean door &amp; hardware</t>
        </is>
      </c>
      <c r="C60" s="5" t="inlineStr">
        <is>
          <t>Monthly</t>
        </is>
      </c>
      <c r="D60" s="7" t="n">
        <v>46044</v>
      </c>
      <c r="E60" s="7">
        <f>IF(D60="","",D60+CHOOSE(MATCH(C60,{"Weekly","Biweekly","Monthly","Quarterly","Annually"},0),7,14,30,91,365))</f>
        <v/>
      </c>
      <c r="F60" s="5" t="inlineStr">
        <is>
          <t>Due</t>
        </is>
      </c>
      <c r="G60" s="5" t="inlineStr"/>
      <c r="H60" s="5" t="inlineStr"/>
    </row>
    <row r="61">
      <c r="A61" s="4" t="inlineStr">
        <is>
          <t>Entryway</t>
        </is>
      </c>
      <c r="B61" s="4" t="inlineStr">
        <is>
          <t>Wash welcome mat</t>
        </is>
      </c>
      <c r="C61" s="4" t="inlineStr">
        <is>
          <t>Monthly</t>
        </is>
      </c>
      <c r="D61" s="6" t="n">
        <v>46040</v>
      </c>
      <c r="E61" s="6">
        <f>IF(D61="","",D61+CHOOSE(MATCH(C61,{"Weekly","Biweekly","Monthly","Quarterly","Annually"},0),7,14,30,91,365))</f>
        <v/>
      </c>
      <c r="F61" s="4" t="inlineStr">
        <is>
          <t>Due</t>
        </is>
      </c>
      <c r="G61" s="4" t="inlineStr"/>
      <c r="H61" s="4" t="inlineStr"/>
    </row>
    <row r="62">
      <c r="A62" s="5" t="inlineStr">
        <is>
          <t>Whole House</t>
        </is>
      </c>
      <c r="B62" s="5" t="inlineStr">
        <is>
          <t>Replace HVAC filters</t>
        </is>
      </c>
      <c r="C62" s="5" t="inlineStr">
        <is>
          <t>Quarterly</t>
        </is>
      </c>
      <c r="D62" s="7" t="n">
        <v>46006</v>
      </c>
      <c r="E62" s="7">
        <f>IF(D62="","",D62+CHOOSE(MATCH(C62,{"Weekly","Biweekly","Monthly","Quarterly","Annually"},0),7,14,30,91,365))</f>
        <v/>
      </c>
      <c r="F62" s="5" t="inlineStr">
        <is>
          <t>Due</t>
        </is>
      </c>
      <c r="G62" s="5" t="inlineStr"/>
      <c r="H62" s="5" t="inlineStr"/>
    </row>
    <row r="63">
      <c r="A63" s="4" t="inlineStr">
        <is>
          <t>Whole House</t>
        </is>
      </c>
      <c r="B63" s="4" t="inlineStr">
        <is>
          <t>Test smoke &amp; CO detectors</t>
        </is>
      </c>
      <c r="C63" s="4" t="inlineStr">
        <is>
          <t>Monthly</t>
        </is>
      </c>
      <c r="D63" s="6" t="n">
        <v>46023</v>
      </c>
      <c r="E63" s="6">
        <f>IF(D63="","",D63+CHOOSE(MATCH(C63,{"Weekly","Biweekly","Monthly","Quarterly","Annually"},0),7,14,30,91,365))</f>
        <v/>
      </c>
      <c r="F63" s="4" t="inlineStr">
        <is>
          <t>Due</t>
        </is>
      </c>
      <c r="G63" s="4" t="inlineStr"/>
      <c r="H63" s="4" t="inlineStr"/>
    </row>
    <row r="64">
      <c r="A64" s="5" t="inlineStr">
        <is>
          <t>Whole House</t>
        </is>
      </c>
      <c r="B64" s="5" t="inlineStr">
        <is>
          <t>Deep clean all baseboards</t>
        </is>
      </c>
      <c r="C64" s="5" t="inlineStr">
        <is>
          <t>Quarterly</t>
        </is>
      </c>
      <c r="D64" s="7" t="n">
        <v>45976</v>
      </c>
      <c r="E64" s="7">
        <f>IF(D64="","",D64+CHOOSE(MATCH(C64,{"Weekly","Biweekly","Monthly","Quarterly","Annually"},0),7,14,30,91,365))</f>
        <v/>
      </c>
      <c r="F64" s="5" t="inlineStr">
        <is>
          <t>Due</t>
        </is>
      </c>
      <c r="G64" s="5" t="inlineStr"/>
      <c r="H64" s="5" t="inlineStr"/>
    </row>
  </sheetData>
  <mergeCells count="2">
    <mergeCell ref="A2:H2"/>
    <mergeCell ref="A1:H1"/>
  </mergeCells>
  <conditionalFormatting sqref="F5:F64">
    <cfRule type="cellIs" priority="1" operator="equal" dxfId="0">
      <formula>"Overdue"</formula>
    </cfRule>
    <cfRule type="cellIs" priority="2" operator="equal" dxfId="1">
      <formula>"Done"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C56 C57 C58 C59 C60 C61 C62 C63 C64" showDropDown="0" showInputMessage="0" showErrorMessage="0" allowBlank="1" type="list">
      <formula1>"Weekly,Biweekly,Monthly,Quarterly,Annually"</formula1>
    </dataValidation>
    <dataValidation sqref="F5 F6 F7 F8 F9 F10 F11 F12 F13 F14 F15 F16 F17 F18 F19 F20 F21 F22 F23 F24 F25 F26 F27 F28 F29 F30 F31 F32 F33 F34 F35 F36 F37 F38 F39 F40 F41 F42 F43 F44 F45 F46 F47 F48 F49 F50 F51 F52 F53 F54 F55 F56 F57 F58 F59 F60 F61 F62 F63 F64" showDropDown="0" showInputMessage="0" showErrorMessage="0" allowBlank="1" type="list">
      <formula1>"Done,Due,Overdue,Scheduled"</formula1>
    </dataValidation>
  </dataValidations>
  <pageMargins left="0.75" right="0.75" top="1" bottom="1" header="0.5" footer="0.5"/>
</worksheet>
</file>

<file path=xl/worksheets/sheet3.xml><?xml version="1.0" encoding="utf-8"?>
<worksheet xmlns="http://schemas.openxmlformats.org/spreadsheetml/2006/main">
  <sheetPr>
    <tabColor rgb="00C05621"/>
    <outlinePr summaryBelow="1" summaryRight="1"/>
    <pageSetUpPr/>
  </sheetPr>
  <dimension ref="A1:J36"/>
  <sheetViews>
    <sheetView workbookViewId="0">
      <pane ySplit="4" topLeftCell="A5" activePane="bottomLeft" state="frozen"/>
      <selection pane="bottomLeft" activeCell="A1" sqref="A1"/>
    </sheetView>
  </sheetViews>
  <sheetFormatPr baseColWidth="8" defaultRowHeight="15"/>
  <cols>
    <col width="18" customWidth="1" min="1" max="1"/>
    <col width="28" customWidth="1" min="2" max="2"/>
    <col width="14" customWidth="1" min="3" max="3"/>
    <col width="10" customWidth="1" min="4" max="4"/>
    <col width="10" customWidth="1" min="5" max="5"/>
    <col width="10" customWidth="1" min="6" max="6"/>
    <col width="10" customWidth="1" min="7" max="7"/>
    <col width="16" customWidth="1" min="8" max="8"/>
    <col width="22" customWidth="1" min="9" max="9"/>
    <col width="28" customWidth="1" min="10" max="10"/>
  </cols>
  <sheetData>
    <row r="1" ht="40" customHeight="1">
      <c r="A1" s="1" t="inlineStr">
        <is>
          <t>📦 DECLUTTER TRACKER</t>
        </is>
      </c>
    </row>
    <row r="2" ht="28" customHeight="1">
      <c r="A2" s="2" t="inlineStr">
        <is>
          <t>Track your decluttering journey room by room — celebrate your progress!</t>
        </is>
      </c>
    </row>
    <row r="4">
      <c r="A4" s="3" t="inlineStr">
        <is>
          <t>Room</t>
        </is>
      </c>
      <c r="B4" s="3" t="inlineStr">
        <is>
          <t>Area / Category</t>
        </is>
      </c>
      <c r="C4" s="3" t="inlineStr">
        <is>
          <t>Items to Sort</t>
        </is>
      </c>
      <c r="D4" s="3" t="inlineStr">
        <is>
          <t>Keep</t>
        </is>
      </c>
      <c r="E4" s="3" t="inlineStr">
        <is>
          <t>Donate</t>
        </is>
      </c>
      <c r="F4" s="3" t="inlineStr">
        <is>
          <t>Trash</t>
        </is>
      </c>
      <c r="G4" s="3" t="inlineStr">
        <is>
          <t>Sell</t>
        </is>
      </c>
      <c r="H4" s="3" t="inlineStr">
        <is>
          <t>Date Completed</t>
        </is>
      </c>
      <c r="I4" s="3" t="inlineStr">
        <is>
          <t>Photos Taken?</t>
        </is>
      </c>
      <c r="J4" s="3" t="inlineStr">
        <is>
          <t>Notes</t>
        </is>
      </c>
    </row>
    <row r="5">
      <c r="A5" s="4" t="inlineStr">
        <is>
          <t>Kitchen</t>
        </is>
      </c>
      <c r="B5" s="4" t="inlineStr">
        <is>
          <t>Pantry &amp; Food Storage</t>
        </is>
      </c>
      <c r="C5" s="4" t="n">
        <v>45</v>
      </c>
      <c r="D5" s="4" t="n">
        <v>30</v>
      </c>
      <c r="E5" s="4" t="n">
        <v>5</v>
      </c>
      <c r="F5" s="4" t="n">
        <v>10</v>
      </c>
      <c r="G5" s="4" t="n">
        <v>0</v>
      </c>
      <c r="H5" s="6" t="n">
        <v>46032</v>
      </c>
      <c r="I5" s="4" t="inlineStr">
        <is>
          <t>Yes - Before &amp; After</t>
        </is>
      </c>
      <c r="J5" s="4" t="inlineStr">
        <is>
          <t>Expired items removed</t>
        </is>
      </c>
    </row>
    <row r="6">
      <c r="A6" s="5" t="inlineStr">
        <is>
          <t>Kitchen</t>
        </is>
      </c>
      <c r="B6" s="5" t="inlineStr">
        <is>
          <t>Tupperware &amp; Containers</t>
        </is>
      </c>
      <c r="C6" s="5" t="n">
        <v>35</v>
      </c>
      <c r="D6" s="5" t="n">
        <v>15</v>
      </c>
      <c r="E6" s="5" t="n">
        <v>8</v>
      </c>
      <c r="F6" s="5" t="n">
        <v>12</v>
      </c>
      <c r="G6" s="5" t="n">
        <v>0</v>
      </c>
      <c r="H6" s="7" t="n">
        <v>46034</v>
      </c>
      <c r="I6" s="5" t="inlineStr">
        <is>
          <t>Yes - Before &amp; After</t>
        </is>
      </c>
      <c r="J6" s="5" t="inlineStr">
        <is>
          <t>Matched lids to containers</t>
        </is>
      </c>
    </row>
    <row r="7">
      <c r="A7" s="4" t="inlineStr">
        <is>
          <t>Kitchen</t>
        </is>
      </c>
      <c r="B7" s="4" t="inlineStr">
        <is>
          <t>Under Sink</t>
        </is>
      </c>
      <c r="C7" s="4" t="n">
        <v>20</v>
      </c>
      <c r="D7" s="4" t="n">
        <v>12</v>
      </c>
      <c r="E7" s="4" t="n">
        <v>3</v>
      </c>
      <c r="F7" s="4" t="n">
        <v>5</v>
      </c>
      <c r="G7" s="4" t="n">
        <v>0</v>
      </c>
      <c r="H7" s="6" t="n">
        <v>46037</v>
      </c>
      <c r="I7" s="4" t="inlineStr">
        <is>
          <t>Yes - Before Only</t>
        </is>
      </c>
      <c r="J7" s="4" t="inlineStr">
        <is>
          <t>Organized cleaning supplies</t>
        </is>
      </c>
    </row>
    <row r="8">
      <c r="A8" s="5" t="inlineStr">
        <is>
          <t>Kitchen</t>
        </is>
      </c>
      <c r="B8" s="5" t="inlineStr">
        <is>
          <t>Utensil Drawers</t>
        </is>
      </c>
      <c r="C8" s="5" t="n">
        <v>55</v>
      </c>
      <c r="D8" s="5" t="n">
        <v>35</v>
      </c>
      <c r="E8" s="5" t="n">
        <v>10</v>
      </c>
      <c r="F8" s="5" t="n">
        <v>10</v>
      </c>
      <c r="G8" s="5" t="n">
        <v>0</v>
      </c>
      <c r="H8" s="7" t="n">
        <v>46040</v>
      </c>
      <c r="I8" s="5" t="inlineStr">
        <is>
          <t>Yes - Before &amp; After</t>
        </is>
      </c>
      <c r="J8" s="5" t="inlineStr">
        <is>
          <t>Kept only daily-use items</t>
        </is>
      </c>
    </row>
    <row r="9">
      <c r="A9" s="4" t="inlineStr">
        <is>
          <t>Kitchen</t>
        </is>
      </c>
      <c r="B9" s="4" t="inlineStr">
        <is>
          <t>Small Appliances</t>
        </is>
      </c>
      <c r="C9" s="4" t="n">
        <v>12</v>
      </c>
      <c r="D9" s="4" t="n">
        <v>8</v>
      </c>
      <c r="E9" s="4" t="n">
        <v>2</v>
      </c>
      <c r="F9" s="4" t="n">
        <v>0</v>
      </c>
      <c r="G9" s="4" t="n">
        <v>2</v>
      </c>
      <c r="H9" s="4" t="inlineStr"/>
      <c r="I9" s="4" t="inlineStr">
        <is>
          <t>No</t>
        </is>
      </c>
      <c r="J9" s="4" t="inlineStr"/>
    </row>
    <row r="10">
      <c r="A10" s="5" t="inlineStr">
        <is>
          <t>Bathroom</t>
        </is>
      </c>
      <c r="B10" s="5" t="inlineStr">
        <is>
          <t>Medicine Cabinet</t>
        </is>
      </c>
      <c r="C10" s="5" t="n">
        <v>30</v>
      </c>
      <c r="D10" s="5" t="n">
        <v>15</v>
      </c>
      <c r="E10" s="5" t="n">
        <v>0</v>
      </c>
      <c r="F10" s="5" t="n">
        <v>15</v>
      </c>
      <c r="G10" s="5" t="n">
        <v>0</v>
      </c>
      <c r="H10" s="7" t="n">
        <v>46042</v>
      </c>
      <c r="I10" s="5" t="inlineStr">
        <is>
          <t>Yes - Before &amp; After</t>
        </is>
      </c>
      <c r="J10" s="5" t="inlineStr">
        <is>
          <t>Checked all expiry dates</t>
        </is>
      </c>
    </row>
    <row r="11">
      <c r="A11" s="4" t="inlineStr">
        <is>
          <t>Bathroom</t>
        </is>
      </c>
      <c r="B11" s="4" t="inlineStr">
        <is>
          <t>Under Vanity</t>
        </is>
      </c>
      <c r="C11" s="4" t="n">
        <v>25</v>
      </c>
      <c r="D11" s="4" t="n">
        <v>15</v>
      </c>
      <c r="E11" s="4" t="n">
        <v>5</v>
      </c>
      <c r="F11" s="4" t="n">
        <v>5</v>
      </c>
      <c r="G11" s="4" t="n">
        <v>0</v>
      </c>
      <c r="H11" s="6" t="n">
        <v>46044</v>
      </c>
      <c r="I11" s="4" t="inlineStr">
        <is>
          <t>Yes - After Only</t>
        </is>
      </c>
      <c r="J11" s="4" t="inlineStr">
        <is>
          <t>Added organizer bins</t>
        </is>
      </c>
    </row>
    <row r="12">
      <c r="A12" s="5" t="inlineStr">
        <is>
          <t>Bathroom</t>
        </is>
      </c>
      <c r="B12" s="5" t="inlineStr">
        <is>
          <t>Linen Closet</t>
        </is>
      </c>
      <c r="C12" s="5" t="n">
        <v>40</v>
      </c>
      <c r="D12" s="5" t="n">
        <v>25</v>
      </c>
      <c r="E12" s="5" t="n">
        <v>10</v>
      </c>
      <c r="F12" s="5" t="n">
        <v>5</v>
      </c>
      <c r="G12" s="5" t="n">
        <v>0</v>
      </c>
      <c r="H12" s="5" t="inlineStr"/>
      <c r="I12" s="5" t="inlineStr">
        <is>
          <t>Planned</t>
        </is>
      </c>
      <c r="J12" s="5" t="inlineStr"/>
    </row>
    <row r="13">
      <c r="A13" s="4" t="inlineStr">
        <is>
          <t>Master Bedroom</t>
        </is>
      </c>
      <c r="B13" s="4" t="inlineStr">
        <is>
          <t>Closet — Hanging Clothes</t>
        </is>
      </c>
      <c r="C13" s="4" t="n">
        <v>80</v>
      </c>
      <c r="D13" s="4" t="n">
        <v>45</v>
      </c>
      <c r="E13" s="4" t="n">
        <v>25</v>
      </c>
      <c r="F13" s="4" t="n">
        <v>5</v>
      </c>
      <c r="G13" s="4" t="n">
        <v>5</v>
      </c>
      <c r="H13" s="6" t="n">
        <v>46047</v>
      </c>
      <c r="I13" s="4" t="inlineStr">
        <is>
          <t>Yes - Before &amp; After</t>
        </is>
      </c>
      <c r="J13" s="4" t="inlineStr">
        <is>
          <t>Seasonal rotation done</t>
        </is>
      </c>
    </row>
    <row r="14">
      <c r="A14" s="5" t="inlineStr">
        <is>
          <t>Master Bedroom</t>
        </is>
      </c>
      <c r="B14" s="5" t="inlineStr">
        <is>
          <t>Dresser Drawers</t>
        </is>
      </c>
      <c r="C14" s="5" t="n">
        <v>60</v>
      </c>
      <c r="D14" s="5" t="n">
        <v>40</v>
      </c>
      <c r="E14" s="5" t="n">
        <v>12</v>
      </c>
      <c r="F14" s="5" t="n">
        <v>8</v>
      </c>
      <c r="G14" s="5" t="n">
        <v>0</v>
      </c>
      <c r="H14" s="7" t="n">
        <v>46048</v>
      </c>
      <c r="I14" s="5" t="inlineStr">
        <is>
          <t>Yes - Before &amp; After</t>
        </is>
      </c>
      <c r="J14" s="5" t="inlineStr">
        <is>
          <t>Folded KonMari style</t>
        </is>
      </c>
    </row>
    <row r="15">
      <c r="A15" s="4" t="inlineStr">
        <is>
          <t>Master Bedroom</t>
        </is>
      </c>
      <c r="B15" s="4" t="inlineStr">
        <is>
          <t>Nightstands</t>
        </is>
      </c>
      <c r="C15" s="4" t="n">
        <v>15</v>
      </c>
      <c r="D15" s="4" t="n">
        <v>10</v>
      </c>
      <c r="E15" s="4" t="n">
        <v>2</v>
      </c>
      <c r="F15" s="4" t="n">
        <v>3</v>
      </c>
      <c r="G15" s="4" t="n">
        <v>0</v>
      </c>
      <c r="H15" s="6" t="n">
        <v>46049</v>
      </c>
      <c r="I15" s="4" t="inlineStr">
        <is>
          <t>No</t>
        </is>
      </c>
      <c r="J15" s="4" t="inlineStr">
        <is>
          <t>Quick sort</t>
        </is>
      </c>
    </row>
    <row r="16">
      <c r="A16" s="5" t="inlineStr">
        <is>
          <t>Master Bedroom</t>
        </is>
      </c>
      <c r="B16" s="5" t="inlineStr">
        <is>
          <t>Shoes &amp; Accessories</t>
        </is>
      </c>
      <c r="C16" s="5" t="n">
        <v>35</v>
      </c>
      <c r="D16" s="5" t="n">
        <v>20</v>
      </c>
      <c r="E16" s="5" t="n">
        <v>10</v>
      </c>
      <c r="F16" s="5" t="n">
        <v>0</v>
      </c>
      <c r="G16" s="5" t="n">
        <v>5</v>
      </c>
      <c r="H16" s="5" t="inlineStr"/>
      <c r="I16" s="5" t="inlineStr">
        <is>
          <t>Planned</t>
        </is>
      </c>
      <c r="J16" s="5" t="inlineStr"/>
    </row>
    <row r="17">
      <c r="A17" s="4" t="inlineStr">
        <is>
          <t>Kids Room</t>
        </is>
      </c>
      <c r="B17" s="4" t="inlineStr">
        <is>
          <t>Toys &amp; Games</t>
        </is>
      </c>
      <c r="C17" s="4" t="n">
        <v>75</v>
      </c>
      <c r="D17" s="4" t="n">
        <v>40</v>
      </c>
      <c r="E17" s="4" t="n">
        <v>20</v>
      </c>
      <c r="F17" s="4" t="n">
        <v>10</v>
      </c>
      <c r="G17" s="4" t="n">
        <v>5</v>
      </c>
      <c r="H17" s="4" t="inlineStr"/>
      <c r="I17" s="4" t="inlineStr">
        <is>
          <t>Planned</t>
        </is>
      </c>
      <c r="J17" s="4" t="inlineStr">
        <is>
          <t>Involve kids in decisions</t>
        </is>
      </c>
    </row>
    <row r="18">
      <c r="A18" s="5" t="inlineStr">
        <is>
          <t>Kids Room</t>
        </is>
      </c>
      <c r="B18" s="5" t="inlineStr">
        <is>
          <t>Books</t>
        </is>
      </c>
      <c r="C18" s="5" t="n">
        <v>50</v>
      </c>
      <c r="D18" s="5" t="n">
        <v>35</v>
      </c>
      <c r="E18" s="5" t="n">
        <v>15</v>
      </c>
      <c r="F18" s="5" t="n">
        <v>0</v>
      </c>
      <c r="G18" s="5" t="n">
        <v>0</v>
      </c>
      <c r="H18" s="5" t="inlineStr"/>
      <c r="I18" s="5" t="inlineStr">
        <is>
          <t>No</t>
        </is>
      </c>
      <c r="J18" s="5" t="inlineStr"/>
    </row>
    <row r="19">
      <c r="A19" s="4" t="inlineStr">
        <is>
          <t>Kids Room</t>
        </is>
      </c>
      <c r="B19" s="4" t="inlineStr">
        <is>
          <t>Clothing</t>
        </is>
      </c>
      <c r="C19" s="4" t="n">
        <v>65</v>
      </c>
      <c r="D19" s="4" t="n">
        <v>40</v>
      </c>
      <c r="E19" s="4" t="n">
        <v>20</v>
      </c>
      <c r="F19" s="4" t="n">
        <v>5</v>
      </c>
      <c r="G19" s="4" t="n">
        <v>0</v>
      </c>
      <c r="H19" s="4" t="inlineStr"/>
      <c r="I19" s="4" t="inlineStr">
        <is>
          <t>Planned</t>
        </is>
      </c>
      <c r="J19" s="4" t="inlineStr">
        <is>
          <t>Check sizes</t>
        </is>
      </c>
    </row>
    <row r="20">
      <c r="A20" s="5" t="inlineStr">
        <is>
          <t>Living Room</t>
        </is>
      </c>
      <c r="B20" s="5" t="inlineStr">
        <is>
          <t>Bookshelves</t>
        </is>
      </c>
      <c r="C20" s="5" t="n">
        <v>45</v>
      </c>
      <c r="D20" s="5" t="n">
        <v>30</v>
      </c>
      <c r="E20" s="5" t="n">
        <v>10</v>
      </c>
      <c r="F20" s="5" t="n">
        <v>5</v>
      </c>
      <c r="G20" s="5" t="n">
        <v>0</v>
      </c>
      <c r="H20" s="7" t="n">
        <v>46054</v>
      </c>
      <c r="I20" s="5" t="inlineStr">
        <is>
          <t>Yes - Before &amp; After</t>
        </is>
      </c>
      <c r="J20" s="5" t="inlineStr">
        <is>
          <t>Organized by category</t>
        </is>
      </c>
    </row>
    <row r="21">
      <c r="A21" s="4" t="inlineStr">
        <is>
          <t>Living Room</t>
        </is>
      </c>
      <c r="B21" s="4" t="inlineStr">
        <is>
          <t>Entertainment Center</t>
        </is>
      </c>
      <c r="C21" s="4" t="n">
        <v>25</v>
      </c>
      <c r="D21" s="4" t="n">
        <v>18</v>
      </c>
      <c r="E21" s="4" t="n">
        <v>4</v>
      </c>
      <c r="F21" s="4" t="n">
        <v>3</v>
      </c>
      <c r="G21" s="4" t="n">
        <v>0</v>
      </c>
      <c r="H21" s="4" t="inlineStr"/>
      <c r="I21" s="4" t="inlineStr">
        <is>
          <t>No</t>
        </is>
      </c>
      <c r="J21" s="4" t="inlineStr"/>
    </row>
    <row r="22">
      <c r="A22" s="5" t="inlineStr">
        <is>
          <t>Living Room</t>
        </is>
      </c>
      <c r="B22" s="5" t="inlineStr">
        <is>
          <t>Magazine &amp; Paper Pile</t>
        </is>
      </c>
      <c r="C22" s="5" t="n">
        <v>30</v>
      </c>
      <c r="D22" s="5" t="n">
        <v>5</v>
      </c>
      <c r="E22" s="5" t="n">
        <v>0</v>
      </c>
      <c r="F22" s="5" t="n">
        <v>25</v>
      </c>
      <c r="G22" s="5" t="n">
        <v>0</v>
      </c>
      <c r="H22" s="7" t="n">
        <v>46055</v>
      </c>
      <c r="I22" s="5" t="inlineStr">
        <is>
          <t>No</t>
        </is>
      </c>
      <c r="J22" s="5" t="inlineStr">
        <is>
          <t>Recycled most</t>
        </is>
      </c>
    </row>
    <row r="23">
      <c r="A23" s="4" t="inlineStr">
        <is>
          <t>Home Office</t>
        </is>
      </c>
      <c r="B23" s="4" t="inlineStr">
        <is>
          <t>Desk &amp; Supplies</t>
        </is>
      </c>
      <c r="C23" s="4" t="n">
        <v>40</v>
      </c>
      <c r="D23" s="4" t="n">
        <v>25</v>
      </c>
      <c r="E23" s="4" t="n">
        <v>5</v>
      </c>
      <c r="F23" s="4" t="n">
        <v>10</v>
      </c>
      <c r="G23" s="4" t="n">
        <v>0</v>
      </c>
      <c r="H23" s="4" t="inlineStr"/>
      <c r="I23" s="4" t="inlineStr">
        <is>
          <t>Planned</t>
        </is>
      </c>
      <c r="J23" s="4" t="inlineStr"/>
    </row>
    <row r="24">
      <c r="A24" s="5" t="inlineStr">
        <is>
          <t>Home Office</t>
        </is>
      </c>
      <c r="B24" s="5" t="inlineStr">
        <is>
          <t>Filing Cabinet</t>
        </is>
      </c>
      <c r="C24" s="5" t="n">
        <v>100</v>
      </c>
      <c r="D24" s="5" t="n">
        <v>60</v>
      </c>
      <c r="E24" s="5" t="n">
        <v>0</v>
      </c>
      <c r="F24" s="5" t="n">
        <v>40</v>
      </c>
      <c r="G24" s="5" t="n">
        <v>0</v>
      </c>
      <c r="H24" s="5" t="inlineStr"/>
      <c r="I24" s="5" t="inlineStr">
        <is>
          <t>Planned</t>
        </is>
      </c>
      <c r="J24" s="5" t="inlineStr">
        <is>
          <t>Shred sensitive docs</t>
        </is>
      </c>
    </row>
    <row r="25">
      <c r="A25" s="4" t="inlineStr">
        <is>
          <t>Home Office</t>
        </is>
      </c>
      <c r="B25" s="4" t="inlineStr">
        <is>
          <t>Tech &amp; Cables</t>
        </is>
      </c>
      <c r="C25" s="4" t="n">
        <v>30</v>
      </c>
      <c r="D25" s="4" t="n">
        <v>15</v>
      </c>
      <c r="E25" s="4" t="n">
        <v>5</v>
      </c>
      <c r="F25" s="4" t="n">
        <v>5</v>
      </c>
      <c r="G25" s="4" t="n">
        <v>5</v>
      </c>
      <c r="H25" s="4" t="inlineStr"/>
      <c r="I25" s="4" t="inlineStr">
        <is>
          <t>No</t>
        </is>
      </c>
      <c r="J25" s="4" t="inlineStr"/>
    </row>
    <row r="26">
      <c r="A26" s="5" t="inlineStr">
        <is>
          <t>Garage</t>
        </is>
      </c>
      <c r="B26" s="5" t="inlineStr">
        <is>
          <t>Tools &amp; Hardware</t>
        </is>
      </c>
      <c r="C26" s="5" t="n">
        <v>50</v>
      </c>
      <c r="D26" s="5" t="n">
        <v>35</v>
      </c>
      <c r="E26" s="5" t="n">
        <v>5</v>
      </c>
      <c r="F26" s="5" t="n">
        <v>5</v>
      </c>
      <c r="G26" s="5" t="n">
        <v>5</v>
      </c>
      <c r="H26" s="5" t="inlineStr"/>
      <c r="I26" s="5" t="inlineStr">
        <is>
          <t>Planned</t>
        </is>
      </c>
      <c r="J26" s="5" t="inlineStr"/>
    </row>
    <row r="27">
      <c r="A27" s="4" t="inlineStr">
        <is>
          <t>Garage</t>
        </is>
      </c>
      <c r="B27" s="4" t="inlineStr">
        <is>
          <t>Seasonal Items</t>
        </is>
      </c>
      <c r="C27" s="4" t="n">
        <v>25</v>
      </c>
      <c r="D27" s="4" t="n">
        <v>20</v>
      </c>
      <c r="E27" s="4" t="n">
        <v>3</v>
      </c>
      <c r="F27" s="4" t="n">
        <v>2</v>
      </c>
      <c r="G27" s="4" t="n">
        <v>0</v>
      </c>
      <c r="H27" s="4" t="inlineStr"/>
      <c r="I27" s="4" t="inlineStr">
        <is>
          <t>No</t>
        </is>
      </c>
      <c r="J27" s="4" t="inlineStr"/>
    </row>
    <row r="28">
      <c r="A28" s="5" t="inlineStr">
        <is>
          <t>Garage</t>
        </is>
      </c>
      <c r="B28" s="5" t="inlineStr">
        <is>
          <t>Sports Equipment</t>
        </is>
      </c>
      <c r="C28" s="5" t="n">
        <v>20</v>
      </c>
      <c r="D28" s="5" t="n">
        <v>12</v>
      </c>
      <c r="E28" s="5" t="n">
        <v>5</v>
      </c>
      <c r="F28" s="5" t="n">
        <v>0</v>
      </c>
      <c r="G28" s="5" t="n">
        <v>3</v>
      </c>
      <c r="H28" s="5" t="inlineStr"/>
      <c r="I28" s="5" t="inlineStr">
        <is>
          <t>Planned</t>
        </is>
      </c>
      <c r="J28" s="5" t="inlineStr"/>
    </row>
    <row r="29">
      <c r="A29" s="4" t="inlineStr">
        <is>
          <t>Entryway</t>
        </is>
      </c>
      <c r="B29" s="4" t="inlineStr">
        <is>
          <t>Coat Closet</t>
        </is>
      </c>
      <c r="C29" s="4" t="n">
        <v>30</v>
      </c>
      <c r="D29" s="4" t="n">
        <v>20</v>
      </c>
      <c r="E29" s="4" t="n">
        <v>8</v>
      </c>
      <c r="F29" s="4" t="n">
        <v>2</v>
      </c>
      <c r="G29" s="4" t="n">
        <v>0</v>
      </c>
      <c r="H29" s="4" t="inlineStr"/>
      <c r="I29" s="4" t="inlineStr">
        <is>
          <t>Planned</t>
        </is>
      </c>
      <c r="J29" s="4" t="inlineStr"/>
    </row>
    <row r="30">
      <c r="A30" s="5" t="inlineStr">
        <is>
          <t>Basement</t>
        </is>
      </c>
      <c r="B30" s="5" t="inlineStr">
        <is>
          <t>Storage Boxes</t>
        </is>
      </c>
      <c r="C30" s="5" t="n">
        <v>40</v>
      </c>
      <c r="D30" s="5" t="n">
        <v>25</v>
      </c>
      <c r="E30" s="5" t="n">
        <v>8</v>
      </c>
      <c r="F30" s="5" t="n">
        <v>7</v>
      </c>
      <c r="G30" s="5" t="n">
        <v>0</v>
      </c>
      <c r="H30" s="5" t="inlineStr"/>
      <c r="I30" s="5" t="inlineStr">
        <is>
          <t>Planned</t>
        </is>
      </c>
      <c r="J30" s="5" t="inlineStr">
        <is>
          <t>Label everything</t>
        </is>
      </c>
    </row>
    <row r="31">
      <c r="A31" s="4" t="inlineStr">
        <is>
          <t>Basement</t>
        </is>
      </c>
      <c r="B31" s="4" t="inlineStr">
        <is>
          <t>Holiday Decorations</t>
        </is>
      </c>
      <c r="C31" s="4" t="n">
        <v>35</v>
      </c>
      <c r="D31" s="4" t="n">
        <v>30</v>
      </c>
      <c r="E31" s="4" t="n">
        <v>3</v>
      </c>
      <c r="F31" s="4" t="n">
        <v>2</v>
      </c>
      <c r="G31" s="4" t="n">
        <v>0</v>
      </c>
      <c r="H31" s="4" t="inlineStr"/>
      <c r="I31" s="4" t="inlineStr">
        <is>
          <t>No</t>
        </is>
      </c>
      <c r="J31" s="4" t="inlineStr"/>
    </row>
    <row r="32">
      <c r="A32" s="5" t="inlineStr">
        <is>
          <t>Attic</t>
        </is>
      </c>
      <c r="B32" s="5" t="inlineStr">
        <is>
          <t>Memorabilia &amp; Keepsakes</t>
        </is>
      </c>
      <c r="C32" s="5" t="n">
        <v>30</v>
      </c>
      <c r="D32" s="5" t="n">
        <v>25</v>
      </c>
      <c r="E32" s="5" t="n">
        <v>0</v>
      </c>
      <c r="F32" s="5" t="n">
        <v>5</v>
      </c>
      <c r="G32" s="5" t="n">
        <v>0</v>
      </c>
      <c r="H32" s="5" t="inlineStr"/>
      <c r="I32" s="5" t="inlineStr">
        <is>
          <t>Planned</t>
        </is>
      </c>
      <c r="J32" s="5" t="inlineStr">
        <is>
          <t>Scan photos digitally</t>
        </is>
      </c>
    </row>
    <row r="33">
      <c r="A33" s="4" t="inlineStr">
        <is>
          <t>Laundry Room</t>
        </is>
      </c>
      <c r="B33" s="4" t="inlineStr">
        <is>
          <t>Supplies &amp; Products</t>
        </is>
      </c>
      <c r="C33" s="4" t="n">
        <v>20</v>
      </c>
      <c r="D33" s="4" t="n">
        <v>12</v>
      </c>
      <c r="E33" s="4" t="n">
        <v>3</v>
      </c>
      <c r="F33" s="4" t="n">
        <v>5</v>
      </c>
      <c r="G33" s="4" t="n">
        <v>0</v>
      </c>
      <c r="H33" s="4" t="inlineStr"/>
      <c r="I33" s="4" t="inlineStr">
        <is>
          <t>No</t>
        </is>
      </c>
      <c r="J33" s="4" t="inlineStr"/>
    </row>
    <row r="34">
      <c r="A34" s="5" t="inlineStr">
        <is>
          <t>Whole House</t>
        </is>
      </c>
      <c r="B34" s="5" t="inlineStr">
        <is>
          <t>Duplicate Cleaning Supplies</t>
        </is>
      </c>
      <c r="C34" s="5" t="n">
        <v>15</v>
      </c>
      <c r="D34" s="5" t="n">
        <v>8</v>
      </c>
      <c r="E34" s="5" t="n">
        <v>2</v>
      </c>
      <c r="F34" s="5" t="n">
        <v>5</v>
      </c>
      <c r="G34" s="5" t="n">
        <v>0</v>
      </c>
      <c r="H34" s="5" t="inlineStr"/>
      <c r="I34" s="5" t="inlineStr">
        <is>
          <t>No</t>
        </is>
      </c>
      <c r="J34" s="5" t="inlineStr">
        <is>
          <t>Consolidate</t>
        </is>
      </c>
    </row>
    <row r="36">
      <c r="A36" s="8" t="inlineStr">
        <is>
          <t>TOTALS</t>
        </is>
      </c>
      <c r="B36" s="9" t="n"/>
      <c r="C36" s="10">
        <f>SUM(C5:C34)</f>
        <v/>
      </c>
      <c r="D36" s="10">
        <f>SUM(D5:D34)</f>
        <v/>
      </c>
      <c r="E36" s="10">
        <f>SUM(E5:E34)</f>
        <v/>
      </c>
      <c r="F36" s="10">
        <f>SUM(F5:F34)</f>
        <v/>
      </c>
      <c r="G36" s="10">
        <f>SUM(G5:G34)</f>
        <v/>
      </c>
      <c r="H36" s="9" t="n"/>
      <c r="I36" s="9" t="n"/>
      <c r="J36" s="9" t="n"/>
    </row>
  </sheetData>
  <mergeCells count="3">
    <mergeCell ref="A1:J1"/>
    <mergeCell ref="A36:B36"/>
    <mergeCell ref="A2:J2"/>
  </mergeCells>
  <dataValidations count="1">
    <dataValidation sqref="I5 I6 I7 I8 I9 I10 I11 I12 I13 I14 I15 I16 I17 I18 I19 I20 I21 I22 I23 I24 I25 I26 I27 I28 I29 I30 I31 I32 I33 I34" showDropDown="0" showInputMessage="0" showErrorMessage="0" allowBlank="1" type="list">
      <formula1>"Yes - Before &amp; After,Yes - Before Only,Yes - After Only,No,Planned"</formula1>
    </dataValidation>
  </dataValidations>
  <pageMargins left="0.75" right="0.75" top="1" bottom="1" header="0.5" footer="0.5"/>
</worksheet>
</file>

<file path=xl/worksheets/sheet4.xml><?xml version="1.0" encoding="utf-8"?>
<worksheet xmlns="http://schemas.openxmlformats.org/spreadsheetml/2006/main">
  <sheetPr>
    <tabColor rgb="0068D391"/>
    <outlinePr summaryBelow="1" summaryRight="1"/>
    <pageSetUpPr/>
  </sheetPr>
  <dimension ref="A1:K106"/>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16" customWidth="1" min="3" max="3"/>
    <col width="14" customWidth="1" min="4" max="4"/>
    <col width="15" customWidth="1" min="5" max="5"/>
    <col width="15" customWidth="1" min="6" max="6"/>
    <col width="18" customWidth="1" min="7" max="7"/>
    <col width="16" customWidth="1" min="8" max="8"/>
    <col width="16" customWidth="1" min="9" max="9"/>
    <col width="12" customWidth="1" min="10" max="10"/>
    <col width="22" customWidth="1" min="11" max="11"/>
  </cols>
  <sheetData>
    <row r="1" ht="40" customHeight="1">
      <c r="A1" s="1" t="inlineStr">
        <is>
          <t>🏡 HOME INVENTORY</t>
        </is>
      </c>
    </row>
    <row r="2" ht="28" customHeight="1">
      <c r="A2" s="2" t="inlineStr">
        <is>
          <t>Track all household items — essential for insurance claims &amp; moving!</t>
        </is>
      </c>
    </row>
    <row r="4">
      <c r="A4" s="3" t="inlineStr">
        <is>
          <t>Room</t>
        </is>
      </c>
      <c r="B4" s="3" t="inlineStr">
        <is>
          <t>Item</t>
        </is>
      </c>
      <c r="C4" s="3" t="inlineStr">
        <is>
          <t>Category</t>
        </is>
      </c>
      <c r="D4" s="3" t="inlineStr">
        <is>
          <t>Purchase Date</t>
        </is>
      </c>
      <c r="E4" s="3" t="inlineStr">
        <is>
          <t>Purchase Price</t>
        </is>
      </c>
      <c r="F4" s="3" t="inlineStr">
        <is>
          <t>Current Value</t>
        </is>
      </c>
      <c r="G4" s="3" t="inlineStr">
        <is>
          <t>Serial #</t>
        </is>
      </c>
      <c r="H4" s="3" t="inlineStr">
        <is>
          <t>Warranty Expiry</t>
        </is>
      </c>
      <c r="I4" s="3" t="inlineStr">
        <is>
          <t>Insurance Claimed?</t>
        </is>
      </c>
      <c r="J4" s="3" t="inlineStr">
        <is>
          <t>Photo Ref</t>
        </is>
      </c>
      <c r="K4" s="3" t="inlineStr">
        <is>
          <t>Notes</t>
        </is>
      </c>
    </row>
    <row r="5">
      <c r="A5" s="4" t="inlineStr">
        <is>
          <t>Living Room</t>
        </is>
      </c>
      <c r="B5" s="4" t="inlineStr">
        <is>
          <t>Sectional Sofa</t>
        </is>
      </c>
      <c r="C5" s="4" t="inlineStr">
        <is>
          <t>Furniture</t>
        </is>
      </c>
      <c r="D5" s="6" t="n">
        <v>45366</v>
      </c>
      <c r="E5" s="11" t="n">
        <v>2499.99</v>
      </c>
      <c r="F5" s="11" t="n">
        <v>1800</v>
      </c>
      <c r="G5" s="4" t="inlineStr"/>
      <c r="H5" s="6" t="n">
        <v>47192</v>
      </c>
      <c r="I5" s="4" t="inlineStr">
        <is>
          <t>No</t>
        </is>
      </c>
      <c r="J5" s="4" t="inlineStr">
        <is>
          <t>IMG_001</t>
        </is>
      </c>
      <c r="K5" s="4" t="inlineStr">
        <is>
          <t>Gray fabric</t>
        </is>
      </c>
    </row>
    <row r="6">
      <c r="A6" s="5" t="inlineStr">
        <is>
          <t>Living Room</t>
        </is>
      </c>
      <c r="B6" s="5" t="inlineStr">
        <is>
          <t>65" Smart TV</t>
        </is>
      </c>
      <c r="C6" s="5" t="inlineStr">
        <is>
          <t>Electronics</t>
        </is>
      </c>
      <c r="D6" s="7" t="n">
        <v>45463</v>
      </c>
      <c r="E6" s="12" t="n">
        <v>899.99</v>
      </c>
      <c r="F6" s="12" t="n">
        <v>650</v>
      </c>
      <c r="G6" s="5" t="inlineStr">
        <is>
          <t>SN-TV88421</t>
        </is>
      </c>
      <c r="H6" s="7" t="n">
        <v>46558</v>
      </c>
      <c r="I6" s="5" t="inlineStr">
        <is>
          <t>No</t>
        </is>
      </c>
      <c r="J6" s="5" t="inlineStr">
        <is>
          <t>IMG_002</t>
        </is>
      </c>
      <c r="K6" s="5" t="inlineStr">
        <is>
          <t>Samsung QLED</t>
        </is>
      </c>
    </row>
    <row r="7">
      <c r="A7" s="4" t="inlineStr">
        <is>
          <t>Living Room</t>
        </is>
      </c>
      <c r="B7" s="4" t="inlineStr">
        <is>
          <t>Coffee Table</t>
        </is>
      </c>
      <c r="C7" s="4" t="inlineStr">
        <is>
          <t>Furniture</t>
        </is>
      </c>
      <c r="D7" s="6" t="n">
        <v>45231</v>
      </c>
      <c r="E7" s="11" t="n">
        <v>349.99</v>
      </c>
      <c r="F7" s="11" t="n">
        <v>280</v>
      </c>
      <c r="G7" s="4" t="inlineStr"/>
      <c r="H7" s="4" t="inlineStr"/>
      <c r="I7" s="4" t="inlineStr">
        <is>
          <t>No</t>
        </is>
      </c>
      <c r="J7" s="4" t="inlineStr">
        <is>
          <t>IMG_003</t>
        </is>
      </c>
      <c r="K7" s="4" t="inlineStr">
        <is>
          <t>Walnut wood</t>
        </is>
      </c>
    </row>
    <row r="8">
      <c r="A8" s="5" t="inlineStr">
        <is>
          <t>Living Room</t>
        </is>
      </c>
      <c r="B8" s="5" t="inlineStr">
        <is>
          <t>Floor Lamp</t>
        </is>
      </c>
      <c r="C8" s="5" t="inlineStr">
        <is>
          <t>Decor</t>
        </is>
      </c>
      <c r="D8" s="7" t="n">
        <v>45301</v>
      </c>
      <c r="E8" s="12" t="n">
        <v>129.99</v>
      </c>
      <c r="F8" s="12" t="n">
        <v>100</v>
      </c>
      <c r="G8" s="5" t="inlineStr"/>
      <c r="H8" s="5" t="inlineStr"/>
      <c r="I8" s="5" t="inlineStr">
        <is>
          <t>No</t>
        </is>
      </c>
      <c r="J8" s="5" t="inlineStr">
        <is>
          <t>IMG_004</t>
        </is>
      </c>
      <c r="K8" s="5" t="inlineStr">
        <is>
          <t>Arc style</t>
        </is>
      </c>
    </row>
    <row r="9">
      <c r="A9" s="4" t="inlineStr">
        <is>
          <t>Living Room</t>
        </is>
      </c>
      <c r="B9" s="4" t="inlineStr">
        <is>
          <t>Bookshelf</t>
        </is>
      </c>
      <c r="C9" s="4" t="inlineStr">
        <is>
          <t>Furniture</t>
        </is>
      </c>
      <c r="D9" s="6" t="n">
        <v>45153</v>
      </c>
      <c r="E9" s="11" t="n">
        <v>299.99</v>
      </c>
      <c r="F9" s="11" t="n">
        <v>240</v>
      </c>
      <c r="G9" s="4" t="inlineStr"/>
      <c r="H9" s="4" t="inlineStr"/>
      <c r="I9" s="4" t="inlineStr">
        <is>
          <t>No</t>
        </is>
      </c>
      <c r="J9" s="4" t="inlineStr">
        <is>
          <t>IMG_005</t>
        </is>
      </c>
      <c r="K9" s="4" t="inlineStr">
        <is>
          <t>5-tier oak</t>
        </is>
      </c>
    </row>
    <row r="10">
      <c r="A10" s="5" t="inlineStr">
        <is>
          <t>Living Room</t>
        </is>
      </c>
      <c r="B10" s="5" t="inlineStr">
        <is>
          <t>Sound Bar</t>
        </is>
      </c>
      <c r="C10" s="5" t="inlineStr">
        <is>
          <t>Electronics</t>
        </is>
      </c>
      <c r="D10" s="7" t="n">
        <v>45662</v>
      </c>
      <c r="E10" s="12" t="n">
        <v>449.99</v>
      </c>
      <c r="F10" s="12" t="n">
        <v>400</v>
      </c>
      <c r="G10" s="5" t="inlineStr">
        <is>
          <t>SN-SB90122</t>
        </is>
      </c>
      <c r="H10" s="7" t="n">
        <v>46757</v>
      </c>
      <c r="I10" s="5" t="inlineStr">
        <is>
          <t>No</t>
        </is>
      </c>
      <c r="J10" s="5" t="inlineStr">
        <is>
          <t>IMG_006</t>
        </is>
      </c>
      <c r="K10" s="5" t="inlineStr">
        <is>
          <t>Sonos Beam</t>
        </is>
      </c>
    </row>
    <row r="11">
      <c r="A11" s="4" t="inlineStr">
        <is>
          <t>Living Room</t>
        </is>
      </c>
      <c r="B11" s="4" t="inlineStr">
        <is>
          <t>Area Rug 8x10</t>
        </is>
      </c>
      <c r="C11" s="4" t="inlineStr">
        <is>
          <t>Decor</t>
        </is>
      </c>
      <c r="D11" s="6" t="n">
        <v>45413</v>
      </c>
      <c r="E11" s="11" t="n">
        <v>599.99</v>
      </c>
      <c r="F11" s="11" t="n">
        <v>450</v>
      </c>
      <c r="G11" s="4" t="inlineStr"/>
      <c r="H11" s="4" t="inlineStr"/>
      <c r="I11" s="4" t="inlineStr">
        <is>
          <t>No</t>
        </is>
      </c>
      <c r="J11" s="4" t="inlineStr">
        <is>
          <t>IMG_007</t>
        </is>
      </c>
      <c r="K11" s="4" t="inlineStr">
        <is>
          <t>Persian style</t>
        </is>
      </c>
    </row>
    <row r="12">
      <c r="A12" s="5" t="inlineStr">
        <is>
          <t>Kitchen</t>
        </is>
      </c>
      <c r="B12" s="5" t="inlineStr">
        <is>
          <t>Refrigerator</t>
        </is>
      </c>
      <c r="C12" s="5" t="inlineStr">
        <is>
          <t>Appliances</t>
        </is>
      </c>
      <c r="D12" s="7" t="n">
        <v>45078</v>
      </c>
      <c r="E12" s="12" t="n">
        <v>1899.99</v>
      </c>
      <c r="F12" s="12" t="n">
        <v>1500</v>
      </c>
      <c r="G12" s="5" t="inlineStr">
        <is>
          <t>SN-RF33201</t>
        </is>
      </c>
      <c r="H12" s="7" t="n">
        <v>46905</v>
      </c>
      <c r="I12" s="5" t="inlineStr">
        <is>
          <t>No</t>
        </is>
      </c>
      <c r="J12" s="5" t="inlineStr">
        <is>
          <t>IMG_008</t>
        </is>
      </c>
      <c r="K12" s="5" t="inlineStr">
        <is>
          <t>LG French Door</t>
        </is>
      </c>
    </row>
    <row r="13">
      <c r="A13" s="4" t="inlineStr">
        <is>
          <t>Kitchen</t>
        </is>
      </c>
      <c r="B13" s="4" t="inlineStr">
        <is>
          <t>Dishwasher</t>
        </is>
      </c>
      <c r="C13" s="4" t="inlineStr">
        <is>
          <t>Appliances</t>
        </is>
      </c>
      <c r="D13" s="6" t="n">
        <v>45078</v>
      </c>
      <c r="E13" s="11" t="n">
        <v>749.99</v>
      </c>
      <c r="F13" s="11" t="n">
        <v>550</v>
      </c>
      <c r="G13" s="4" t="inlineStr">
        <is>
          <t>SN-DW44102</t>
        </is>
      </c>
      <c r="H13" s="6" t="n">
        <v>46905</v>
      </c>
      <c r="I13" s="4" t="inlineStr">
        <is>
          <t>No</t>
        </is>
      </c>
      <c r="J13" s="4" t="inlineStr">
        <is>
          <t>IMG_009</t>
        </is>
      </c>
      <c r="K13" s="4" t="inlineStr">
        <is>
          <t>Bosch</t>
        </is>
      </c>
    </row>
    <row r="14">
      <c r="A14" s="5" t="inlineStr">
        <is>
          <t>Kitchen</t>
        </is>
      </c>
      <c r="B14" s="5" t="inlineStr">
        <is>
          <t>Stand Mixer</t>
        </is>
      </c>
      <c r="C14" s="5" t="inlineStr">
        <is>
          <t>Kitchen</t>
        </is>
      </c>
      <c r="D14" s="7" t="n">
        <v>45336</v>
      </c>
      <c r="E14" s="12" t="n">
        <v>349.99</v>
      </c>
      <c r="F14" s="12" t="n">
        <v>300</v>
      </c>
      <c r="G14" s="5" t="inlineStr">
        <is>
          <t>SN-MX55003</t>
        </is>
      </c>
      <c r="H14" s="7" t="n">
        <v>47163</v>
      </c>
      <c r="I14" s="5" t="inlineStr">
        <is>
          <t>No</t>
        </is>
      </c>
      <c r="J14" s="5" t="inlineStr">
        <is>
          <t>IMG_010</t>
        </is>
      </c>
      <c r="K14" s="5" t="inlineStr">
        <is>
          <t>KitchenAid</t>
        </is>
      </c>
    </row>
    <row r="15">
      <c r="A15" s="4" t="inlineStr">
        <is>
          <t>Kitchen</t>
        </is>
      </c>
      <c r="B15" s="4" t="inlineStr">
        <is>
          <t>Espresso Machine</t>
        </is>
      </c>
      <c r="C15" s="4" t="inlineStr">
        <is>
          <t>Kitchen</t>
        </is>
      </c>
      <c r="D15" s="6" t="n">
        <v>45717</v>
      </c>
      <c r="E15" s="11" t="n">
        <v>599.99</v>
      </c>
      <c r="F15" s="11" t="n">
        <v>550</v>
      </c>
      <c r="G15" s="4" t="inlineStr">
        <is>
          <t>SN-ES66104</t>
        </is>
      </c>
      <c r="H15" s="6" t="n">
        <v>46813</v>
      </c>
      <c r="I15" s="4" t="inlineStr">
        <is>
          <t>No</t>
        </is>
      </c>
      <c r="J15" s="4" t="inlineStr">
        <is>
          <t>IMG_011</t>
        </is>
      </c>
      <c r="K15" s="4" t="inlineStr">
        <is>
          <t>Breville</t>
        </is>
      </c>
    </row>
    <row r="16">
      <c r="A16" s="5" t="inlineStr">
        <is>
          <t>Kitchen</t>
        </is>
      </c>
      <c r="B16" s="5" t="inlineStr">
        <is>
          <t>Microwave</t>
        </is>
      </c>
      <c r="C16" s="5" t="inlineStr">
        <is>
          <t>Appliances</t>
        </is>
      </c>
      <c r="D16" s="7" t="n">
        <v>45514</v>
      </c>
      <c r="E16" s="12" t="n">
        <v>249.99</v>
      </c>
      <c r="F16" s="12" t="n">
        <v>180</v>
      </c>
      <c r="G16" s="5" t="inlineStr">
        <is>
          <t>SN-MW77205</t>
        </is>
      </c>
      <c r="H16" s="7" t="n">
        <v>46609</v>
      </c>
      <c r="I16" s="5" t="inlineStr">
        <is>
          <t>No</t>
        </is>
      </c>
      <c r="J16" s="5" t="inlineStr">
        <is>
          <t>IMG_012</t>
        </is>
      </c>
      <c r="K16" s="5" t="inlineStr">
        <is>
          <t>Over-the-range</t>
        </is>
      </c>
    </row>
    <row r="17">
      <c r="A17" s="4" t="inlineStr">
        <is>
          <t>Kitchen</t>
        </is>
      </c>
      <c r="B17" s="4" t="inlineStr">
        <is>
          <t>Knife Set</t>
        </is>
      </c>
      <c r="C17" s="4" t="inlineStr">
        <is>
          <t>Kitchen</t>
        </is>
      </c>
      <c r="D17" s="6" t="n">
        <v>45311</v>
      </c>
      <c r="E17" s="11" t="n">
        <v>199.99</v>
      </c>
      <c r="F17" s="11" t="n">
        <v>170</v>
      </c>
      <c r="G17" s="4" t="inlineStr"/>
      <c r="H17" s="6" t="n">
        <v>48964</v>
      </c>
      <c r="I17" s="4" t="inlineStr">
        <is>
          <t>No</t>
        </is>
      </c>
      <c r="J17" s="4" t="inlineStr">
        <is>
          <t>IMG_013</t>
        </is>
      </c>
      <c r="K17" s="4" t="inlineStr">
        <is>
          <t>Wüsthof 12-pc</t>
        </is>
      </c>
    </row>
    <row r="18">
      <c r="A18" s="5" t="inlineStr">
        <is>
          <t>Kitchen</t>
        </is>
      </c>
      <c r="B18" s="5" t="inlineStr">
        <is>
          <t>Dining Table + 6 Chairs</t>
        </is>
      </c>
      <c r="C18" s="5" t="inlineStr">
        <is>
          <t>Furniture</t>
        </is>
      </c>
      <c r="D18" s="7" t="n">
        <v>45184</v>
      </c>
      <c r="E18" s="12" t="n">
        <v>1299.99</v>
      </c>
      <c r="F18" s="12" t="n">
        <v>1000</v>
      </c>
      <c r="G18" s="5" t="inlineStr"/>
      <c r="H18" s="5" t="inlineStr"/>
      <c r="I18" s="5" t="inlineStr">
        <is>
          <t>No</t>
        </is>
      </c>
      <c r="J18" s="5" t="inlineStr">
        <is>
          <t>IMG_014</t>
        </is>
      </c>
      <c r="K18" s="5" t="inlineStr">
        <is>
          <t>Farmhouse style</t>
        </is>
      </c>
    </row>
    <row r="19">
      <c r="A19" s="4" t="inlineStr">
        <is>
          <t>Master Bedroom</t>
        </is>
      </c>
      <c r="B19" s="4" t="inlineStr">
        <is>
          <t>King Mattress</t>
        </is>
      </c>
      <c r="C19" s="4" t="inlineStr">
        <is>
          <t>Furniture</t>
        </is>
      </c>
      <c r="D19" s="6" t="n">
        <v>45293</v>
      </c>
      <c r="E19" s="11" t="n">
        <v>1499.99</v>
      </c>
      <c r="F19" s="11" t="n">
        <v>1200</v>
      </c>
      <c r="G19" s="4" t="inlineStr"/>
      <c r="H19" s="6" t="n">
        <v>48946</v>
      </c>
      <c r="I19" s="4" t="inlineStr">
        <is>
          <t>No</t>
        </is>
      </c>
      <c r="J19" s="4" t="inlineStr">
        <is>
          <t>IMG_015</t>
        </is>
      </c>
      <c r="K19" s="4" t="inlineStr">
        <is>
          <t>Purple Hybrid</t>
        </is>
      </c>
    </row>
    <row r="20">
      <c r="A20" s="5" t="inlineStr">
        <is>
          <t>Master Bedroom</t>
        </is>
      </c>
      <c r="B20" s="5" t="inlineStr">
        <is>
          <t>Bed Frame</t>
        </is>
      </c>
      <c r="C20" s="5" t="inlineStr">
        <is>
          <t>Furniture</t>
        </is>
      </c>
      <c r="D20" s="7" t="n">
        <v>45293</v>
      </c>
      <c r="E20" s="12" t="n">
        <v>599.99</v>
      </c>
      <c r="F20" s="12" t="n">
        <v>480</v>
      </c>
      <c r="G20" s="5" t="inlineStr"/>
      <c r="H20" s="5" t="inlineStr"/>
      <c r="I20" s="5" t="inlineStr">
        <is>
          <t>No</t>
        </is>
      </c>
      <c r="J20" s="5" t="inlineStr">
        <is>
          <t>IMG_016</t>
        </is>
      </c>
      <c r="K20" s="5" t="inlineStr">
        <is>
          <t>Upholstered</t>
        </is>
      </c>
    </row>
    <row r="21">
      <c r="A21" s="4" t="inlineStr">
        <is>
          <t>Master Bedroom</t>
        </is>
      </c>
      <c r="B21" s="4" t="inlineStr">
        <is>
          <t>Dresser</t>
        </is>
      </c>
      <c r="C21" s="4" t="inlineStr">
        <is>
          <t>Furniture</t>
        </is>
      </c>
      <c r="D21" s="6" t="n">
        <v>45127</v>
      </c>
      <c r="E21" s="11" t="n">
        <v>799.99</v>
      </c>
      <c r="F21" s="11" t="n">
        <v>600</v>
      </c>
      <c r="G21" s="4" t="inlineStr"/>
      <c r="H21" s="4" t="inlineStr"/>
      <c r="I21" s="4" t="inlineStr">
        <is>
          <t>No</t>
        </is>
      </c>
      <c r="J21" s="4" t="inlineStr">
        <is>
          <t>IMG_017</t>
        </is>
      </c>
      <c r="K21" s="4" t="inlineStr">
        <is>
          <t>6-drawer oak</t>
        </is>
      </c>
    </row>
    <row r="22">
      <c r="A22" s="5" t="inlineStr">
        <is>
          <t>Master Bedroom</t>
        </is>
      </c>
      <c r="B22" s="5" t="inlineStr">
        <is>
          <t>Nightstands (pair)</t>
        </is>
      </c>
      <c r="C22" s="5" t="inlineStr">
        <is>
          <t>Furniture</t>
        </is>
      </c>
      <c r="D22" s="7" t="n">
        <v>45127</v>
      </c>
      <c r="E22" s="12" t="n">
        <v>399.99</v>
      </c>
      <c r="F22" s="12" t="n">
        <v>300</v>
      </c>
      <c r="G22" s="5" t="inlineStr"/>
      <c r="H22" s="5" t="inlineStr"/>
      <c r="I22" s="5" t="inlineStr">
        <is>
          <t>No</t>
        </is>
      </c>
      <c r="J22" s="5" t="inlineStr">
        <is>
          <t>IMG_018</t>
        </is>
      </c>
      <c r="K22" s="5" t="inlineStr">
        <is>
          <t>Matching set</t>
        </is>
      </c>
    </row>
    <row r="23">
      <c r="A23" s="4" t="inlineStr">
        <is>
          <t>Master Bedroom</t>
        </is>
      </c>
      <c r="B23" s="4" t="inlineStr">
        <is>
          <t>Ceiling Fan</t>
        </is>
      </c>
      <c r="C23" s="4" t="inlineStr">
        <is>
          <t>Other</t>
        </is>
      </c>
      <c r="D23" s="6" t="n">
        <v>45047</v>
      </c>
      <c r="E23" s="11" t="n">
        <v>249.99</v>
      </c>
      <c r="F23" s="11" t="n">
        <v>180</v>
      </c>
      <c r="G23" s="4" t="inlineStr"/>
      <c r="H23" s="4" t="inlineStr"/>
      <c r="I23" s="4" t="inlineStr">
        <is>
          <t>No</t>
        </is>
      </c>
      <c r="J23" s="4" t="inlineStr">
        <is>
          <t>IMG_019</t>
        </is>
      </c>
      <c r="K23" s="4" t="inlineStr">
        <is>
          <t>52-inch</t>
        </is>
      </c>
    </row>
    <row r="24">
      <c r="A24" s="5" t="inlineStr">
        <is>
          <t>Home Office</t>
        </is>
      </c>
      <c r="B24" s="5" t="inlineStr">
        <is>
          <t>Standing Desk</t>
        </is>
      </c>
      <c r="C24" s="5" t="inlineStr">
        <is>
          <t>Furniture</t>
        </is>
      </c>
      <c r="D24" s="7" t="n">
        <v>45536</v>
      </c>
      <c r="E24" s="12" t="n">
        <v>699.99</v>
      </c>
      <c r="F24" s="12" t="n">
        <v>560</v>
      </c>
      <c r="G24" s="5" t="inlineStr"/>
      <c r="H24" s="7" t="n">
        <v>47362</v>
      </c>
      <c r="I24" s="5" t="inlineStr">
        <is>
          <t>No</t>
        </is>
      </c>
      <c r="J24" s="5" t="inlineStr">
        <is>
          <t>IMG_020</t>
        </is>
      </c>
      <c r="K24" s="5" t="inlineStr">
        <is>
          <t>Electric adj.</t>
        </is>
      </c>
    </row>
    <row r="25">
      <c r="A25" s="4" t="inlineStr">
        <is>
          <t>Home Office</t>
        </is>
      </c>
      <c r="B25" s="4" t="inlineStr">
        <is>
          <t>Office Chair</t>
        </is>
      </c>
      <c r="C25" s="4" t="inlineStr">
        <is>
          <t>Furniture</t>
        </is>
      </c>
      <c r="D25" s="6" t="n">
        <v>45536</v>
      </c>
      <c r="E25" s="11" t="n">
        <v>449.99</v>
      </c>
      <c r="F25" s="11" t="n">
        <v>360</v>
      </c>
      <c r="G25" s="4" t="inlineStr"/>
      <c r="H25" s="6" t="n">
        <v>49919</v>
      </c>
      <c r="I25" s="4" t="inlineStr">
        <is>
          <t>No</t>
        </is>
      </c>
      <c r="J25" s="4" t="inlineStr">
        <is>
          <t>IMG_021</t>
        </is>
      </c>
      <c r="K25" s="4" t="inlineStr">
        <is>
          <t>Herman Miller</t>
        </is>
      </c>
    </row>
    <row r="26">
      <c r="A26" s="5" t="inlineStr">
        <is>
          <t>Home Office</t>
        </is>
      </c>
      <c r="B26" s="5" t="inlineStr">
        <is>
          <t>MacBook Pro 16"</t>
        </is>
      </c>
      <c r="C26" s="5" t="inlineStr">
        <is>
          <t>Electronics</t>
        </is>
      </c>
      <c r="D26" s="7" t="n">
        <v>45809</v>
      </c>
      <c r="E26" s="12" t="n">
        <v>2499.99</v>
      </c>
      <c r="F26" s="12" t="n">
        <v>2200</v>
      </c>
      <c r="G26" s="5" t="inlineStr">
        <is>
          <t>SN-MB88306</t>
        </is>
      </c>
      <c r="H26" s="7" t="n">
        <v>46905</v>
      </c>
      <c r="I26" s="5" t="inlineStr">
        <is>
          <t>No</t>
        </is>
      </c>
      <c r="J26" s="5" t="inlineStr">
        <is>
          <t>IMG_022</t>
        </is>
      </c>
      <c r="K26" s="5" t="inlineStr">
        <is>
          <t>M4 Pro</t>
        </is>
      </c>
    </row>
    <row r="27">
      <c r="A27" s="4" t="inlineStr">
        <is>
          <t>Home Office</t>
        </is>
      </c>
      <c r="B27" s="4" t="inlineStr">
        <is>
          <t>Monitor 27"</t>
        </is>
      </c>
      <c r="C27" s="4" t="inlineStr">
        <is>
          <t>Electronics</t>
        </is>
      </c>
      <c r="D27" s="6" t="n">
        <v>45550</v>
      </c>
      <c r="E27" s="11" t="n">
        <v>549.99</v>
      </c>
      <c r="F27" s="11" t="n">
        <v>440</v>
      </c>
      <c r="G27" s="4" t="inlineStr">
        <is>
          <t>SN-MN99407</t>
        </is>
      </c>
      <c r="H27" s="6" t="n">
        <v>46645</v>
      </c>
      <c r="I27" s="4" t="inlineStr">
        <is>
          <t>No</t>
        </is>
      </c>
      <c r="J27" s="4" t="inlineStr">
        <is>
          <t>IMG_023</t>
        </is>
      </c>
      <c r="K27" s="4" t="inlineStr">
        <is>
          <t>4K IPS</t>
        </is>
      </c>
    </row>
    <row r="28">
      <c r="A28" s="5" t="inlineStr">
        <is>
          <t>Home Office</t>
        </is>
      </c>
      <c r="B28" s="5" t="inlineStr">
        <is>
          <t>Printer</t>
        </is>
      </c>
      <c r="C28" s="5" t="inlineStr">
        <is>
          <t>Electronics</t>
        </is>
      </c>
      <c r="D28" s="7" t="n">
        <v>45352</v>
      </c>
      <c r="E28" s="12" t="n">
        <v>299.99</v>
      </c>
      <c r="F28" s="12" t="n">
        <v>200</v>
      </c>
      <c r="G28" s="5" t="inlineStr">
        <is>
          <t>SN-PR10508</t>
        </is>
      </c>
      <c r="H28" s="7" t="n">
        <v>46447</v>
      </c>
      <c r="I28" s="5" t="inlineStr">
        <is>
          <t>No</t>
        </is>
      </c>
      <c r="J28" s="5" t="inlineStr">
        <is>
          <t>IMG_024</t>
        </is>
      </c>
      <c r="K28" s="5" t="inlineStr">
        <is>
          <t>HP LaserJet</t>
        </is>
      </c>
    </row>
    <row r="29">
      <c r="A29" s="4" t="inlineStr">
        <is>
          <t>Kids Room</t>
        </is>
      </c>
      <c r="B29" s="4" t="inlineStr">
        <is>
          <t>Bunk Bed</t>
        </is>
      </c>
      <c r="C29" s="4" t="inlineStr">
        <is>
          <t>Furniture</t>
        </is>
      </c>
      <c r="D29" s="6" t="n">
        <v>45397</v>
      </c>
      <c r="E29" s="11" t="n">
        <v>899.99</v>
      </c>
      <c r="F29" s="11" t="n">
        <v>700</v>
      </c>
      <c r="G29" s="4" t="inlineStr"/>
      <c r="H29" s="4" t="inlineStr"/>
      <c r="I29" s="4" t="inlineStr">
        <is>
          <t>No</t>
        </is>
      </c>
      <c r="J29" s="4" t="inlineStr">
        <is>
          <t>IMG_025</t>
        </is>
      </c>
      <c r="K29" s="4" t="inlineStr">
        <is>
          <t>Twin/Full</t>
        </is>
      </c>
    </row>
    <row r="30">
      <c r="A30" s="5" t="inlineStr">
        <is>
          <t>Kids Room</t>
        </is>
      </c>
      <c r="B30" s="5" t="inlineStr">
        <is>
          <t>Desk</t>
        </is>
      </c>
      <c r="C30" s="5" t="inlineStr">
        <is>
          <t>Furniture</t>
        </is>
      </c>
      <c r="D30" s="7" t="n">
        <v>45505</v>
      </c>
      <c r="E30" s="12" t="n">
        <v>249.99</v>
      </c>
      <c r="F30" s="12" t="n">
        <v>200</v>
      </c>
      <c r="G30" s="5" t="inlineStr"/>
      <c r="H30" s="5" t="inlineStr"/>
      <c r="I30" s="5" t="inlineStr">
        <is>
          <t>No</t>
        </is>
      </c>
      <c r="J30" s="5" t="inlineStr">
        <is>
          <t>IMG_026</t>
        </is>
      </c>
      <c r="K30" s="5" t="inlineStr">
        <is>
          <t>With hutch</t>
        </is>
      </c>
    </row>
    <row r="31">
      <c r="A31" s="4" t="inlineStr">
        <is>
          <t>Kids Room</t>
        </is>
      </c>
      <c r="B31" s="4" t="inlineStr">
        <is>
          <t>Tablet</t>
        </is>
      </c>
      <c r="C31" s="4" t="inlineStr">
        <is>
          <t>Electronics</t>
        </is>
      </c>
      <c r="D31" s="6" t="n">
        <v>46016</v>
      </c>
      <c r="E31" s="11" t="n">
        <v>329.99</v>
      </c>
      <c r="F31" s="11" t="n">
        <v>300</v>
      </c>
      <c r="G31" s="4" t="inlineStr">
        <is>
          <t>SN-TB11609</t>
        </is>
      </c>
      <c r="H31" s="6" t="n">
        <v>46746</v>
      </c>
      <c r="I31" s="4" t="inlineStr">
        <is>
          <t>No</t>
        </is>
      </c>
      <c r="J31" s="4" t="inlineStr">
        <is>
          <t>IMG_027</t>
        </is>
      </c>
      <c r="K31" s="4" t="inlineStr">
        <is>
          <t>iPad 10th gen</t>
        </is>
      </c>
    </row>
    <row r="32">
      <c r="A32" s="5" t="inlineStr">
        <is>
          <t>Garage</t>
        </is>
      </c>
      <c r="B32" s="5" t="inlineStr">
        <is>
          <t>Lawn Mower</t>
        </is>
      </c>
      <c r="C32" s="5" t="inlineStr">
        <is>
          <t>Tools</t>
        </is>
      </c>
      <c r="D32" s="7" t="n">
        <v>45383</v>
      </c>
      <c r="E32" s="12" t="n">
        <v>449.99</v>
      </c>
      <c r="F32" s="12" t="n">
        <v>350</v>
      </c>
      <c r="G32" s="5" t="inlineStr">
        <is>
          <t>SN-LM12710</t>
        </is>
      </c>
      <c r="H32" s="7" t="n">
        <v>46478</v>
      </c>
      <c r="I32" s="5" t="inlineStr">
        <is>
          <t>No</t>
        </is>
      </c>
      <c r="J32" s="5" t="inlineStr">
        <is>
          <t>IMG_028</t>
        </is>
      </c>
      <c r="K32" s="5" t="inlineStr">
        <is>
          <t>Electric</t>
        </is>
      </c>
    </row>
    <row r="33">
      <c r="A33" s="4" t="inlineStr">
        <is>
          <t>Garage</t>
        </is>
      </c>
      <c r="B33" s="4" t="inlineStr">
        <is>
          <t>Power Drill Set</t>
        </is>
      </c>
      <c r="C33" s="4" t="inlineStr">
        <is>
          <t>Tools</t>
        </is>
      </c>
      <c r="D33" s="6" t="n">
        <v>45092</v>
      </c>
      <c r="E33" s="11" t="n">
        <v>199.99</v>
      </c>
      <c r="F33" s="11" t="n">
        <v>140</v>
      </c>
      <c r="G33" s="4" t="inlineStr">
        <is>
          <t>SN-PD13811</t>
        </is>
      </c>
      <c r="H33" s="6" t="n">
        <v>46188</v>
      </c>
      <c r="I33" s="4" t="inlineStr">
        <is>
          <t>No</t>
        </is>
      </c>
      <c r="J33" s="4" t="inlineStr">
        <is>
          <t>IMG_029</t>
        </is>
      </c>
      <c r="K33" s="4" t="inlineStr">
        <is>
          <t>DeWalt 20V</t>
        </is>
      </c>
    </row>
    <row r="34">
      <c r="A34" s="5" t="inlineStr">
        <is>
          <t>Garage</t>
        </is>
      </c>
      <c r="B34" s="5" t="inlineStr">
        <is>
          <t>Snow Blower</t>
        </is>
      </c>
      <c r="C34" s="5" t="inlineStr">
        <is>
          <t>Tools</t>
        </is>
      </c>
      <c r="D34" s="7" t="n">
        <v>45200</v>
      </c>
      <c r="E34" s="12" t="n">
        <v>799.99</v>
      </c>
      <c r="F34" s="12" t="n">
        <v>600</v>
      </c>
      <c r="G34" s="5" t="inlineStr">
        <is>
          <t>SN-SB14912</t>
        </is>
      </c>
      <c r="H34" s="7" t="n">
        <v>47027</v>
      </c>
      <c r="I34" s="5" t="inlineStr">
        <is>
          <t>No</t>
        </is>
      </c>
      <c r="J34" s="5" t="inlineStr">
        <is>
          <t>IMG_030</t>
        </is>
      </c>
      <c r="K34" s="5" t="inlineStr">
        <is>
          <t>2-stage</t>
        </is>
      </c>
    </row>
    <row r="35">
      <c r="A35" s="4" t="inlineStr">
        <is>
          <t>Laundry</t>
        </is>
      </c>
      <c r="B35" s="4" t="inlineStr">
        <is>
          <t>Washer</t>
        </is>
      </c>
      <c r="C35" s="4" t="inlineStr">
        <is>
          <t>Appliances</t>
        </is>
      </c>
      <c r="D35" s="6" t="n">
        <v>45078</v>
      </c>
      <c r="E35" s="11" t="n">
        <v>899.99</v>
      </c>
      <c r="F35" s="11" t="n">
        <v>680</v>
      </c>
      <c r="G35" s="4" t="inlineStr">
        <is>
          <t>SN-WS15013</t>
        </is>
      </c>
      <c r="H35" s="6" t="n">
        <v>46905</v>
      </c>
      <c r="I35" s="4" t="inlineStr">
        <is>
          <t>No</t>
        </is>
      </c>
      <c r="J35" s="4" t="inlineStr">
        <is>
          <t>IMG_031</t>
        </is>
      </c>
      <c r="K35" s="4" t="inlineStr">
        <is>
          <t>Samsung front</t>
        </is>
      </c>
    </row>
    <row r="36">
      <c r="A36" s="5" t="inlineStr">
        <is>
          <t>Laundry</t>
        </is>
      </c>
      <c r="B36" s="5" t="inlineStr">
        <is>
          <t>Dryer</t>
        </is>
      </c>
      <c r="C36" s="5" t="inlineStr">
        <is>
          <t>Appliances</t>
        </is>
      </c>
      <c r="D36" s="7" t="n">
        <v>45078</v>
      </c>
      <c r="E36" s="12" t="n">
        <v>849.99</v>
      </c>
      <c r="F36" s="12" t="n">
        <v>640</v>
      </c>
      <c r="G36" s="5" t="inlineStr">
        <is>
          <t>SN-DR16114</t>
        </is>
      </c>
      <c r="H36" s="7" t="n">
        <v>46905</v>
      </c>
      <c r="I36" s="5" t="inlineStr">
        <is>
          <t>No</t>
        </is>
      </c>
      <c r="J36" s="5" t="inlineStr">
        <is>
          <t>IMG_032</t>
        </is>
      </c>
      <c r="K36" s="5" t="inlineStr">
        <is>
          <t>Samsung</t>
        </is>
      </c>
    </row>
    <row r="37">
      <c r="A37" s="4" t="inlineStr">
        <is>
          <t>Bathroom</t>
        </is>
      </c>
      <c r="B37" s="4" t="inlineStr">
        <is>
          <t>Towel Warmer</t>
        </is>
      </c>
      <c r="C37" s="4" t="inlineStr">
        <is>
          <t>Other</t>
        </is>
      </c>
      <c r="D37" s="6" t="n">
        <v>45672</v>
      </c>
      <c r="E37" s="11" t="n">
        <v>149.99</v>
      </c>
      <c r="F37" s="11" t="n">
        <v>130</v>
      </c>
      <c r="G37" s="4" t="inlineStr"/>
      <c r="H37" s="6" t="n">
        <v>46767</v>
      </c>
      <c r="I37" s="4" t="inlineStr">
        <is>
          <t>No</t>
        </is>
      </c>
      <c r="J37" s="4" t="inlineStr">
        <is>
          <t>IMG_033</t>
        </is>
      </c>
      <c r="K37" s="4" t="inlineStr">
        <is>
          <t>Wall-mounted</t>
        </is>
      </c>
    </row>
    <row r="38">
      <c r="A38" s="5" t="inlineStr">
        <is>
          <t>Guest Room</t>
        </is>
      </c>
      <c r="B38" s="5" t="inlineStr">
        <is>
          <t>Queen Bed Set</t>
        </is>
      </c>
      <c r="C38" s="5" t="inlineStr">
        <is>
          <t>Furniture</t>
        </is>
      </c>
      <c r="D38" s="7" t="n">
        <v>45323</v>
      </c>
      <c r="E38" s="12" t="n">
        <v>999.99</v>
      </c>
      <c r="F38" s="12" t="n">
        <v>780</v>
      </c>
      <c r="G38" s="5" t="inlineStr"/>
      <c r="H38" s="5" t="inlineStr"/>
      <c r="I38" s="5" t="inlineStr">
        <is>
          <t>No</t>
        </is>
      </c>
      <c r="J38" s="5" t="inlineStr">
        <is>
          <t>IMG_034</t>
        </is>
      </c>
      <c r="K38" s="5" t="inlineStr">
        <is>
          <t>Frame+mattress</t>
        </is>
      </c>
    </row>
    <row r="39">
      <c r="A39" s="4" t="inlineStr">
        <is>
          <t>Patio</t>
        </is>
      </c>
      <c r="B39" s="4" t="inlineStr">
        <is>
          <t>Outdoor Dining Set</t>
        </is>
      </c>
      <c r="C39" s="4" t="inlineStr">
        <is>
          <t>Furniture</t>
        </is>
      </c>
      <c r="D39" s="6" t="n">
        <v>45427</v>
      </c>
      <c r="E39" s="11" t="n">
        <v>1199.99</v>
      </c>
      <c r="F39" s="11" t="n">
        <v>900</v>
      </c>
      <c r="G39" s="4" t="inlineStr"/>
      <c r="H39" s="4" t="inlineStr"/>
      <c r="I39" s="4" t="inlineStr">
        <is>
          <t>No</t>
        </is>
      </c>
      <c r="J39" s="4" t="inlineStr">
        <is>
          <t>IMG_035</t>
        </is>
      </c>
      <c r="K39" s="4" t="inlineStr">
        <is>
          <t>6-piece teak</t>
        </is>
      </c>
    </row>
    <row r="40">
      <c r="A40" s="5" t="inlineStr"/>
      <c r="B40" s="5" t="inlineStr"/>
      <c r="C40" s="5" t="inlineStr"/>
      <c r="D40" s="5" t="inlineStr"/>
      <c r="E40" s="5" t="inlineStr"/>
      <c r="F40" s="5" t="inlineStr"/>
      <c r="G40" s="5" t="inlineStr"/>
      <c r="H40" s="5" t="inlineStr"/>
      <c r="I40" s="5" t="inlineStr"/>
      <c r="J40" s="5" t="inlineStr"/>
      <c r="K40" s="5" t="inlineStr"/>
    </row>
    <row r="41">
      <c r="A41" s="4" t="inlineStr"/>
      <c r="B41" s="4" t="inlineStr"/>
      <c r="C41" s="4" t="inlineStr"/>
      <c r="D41" s="4" t="inlineStr"/>
      <c r="E41" s="4" t="inlineStr"/>
      <c r="F41" s="4" t="inlineStr"/>
      <c r="G41" s="4" t="inlineStr"/>
      <c r="H41" s="4" t="inlineStr"/>
      <c r="I41" s="4" t="inlineStr"/>
      <c r="J41" s="4" t="inlineStr"/>
      <c r="K41" s="4" t="inlineStr"/>
    </row>
    <row r="42">
      <c r="A42" s="5" t="inlineStr"/>
      <c r="B42" s="5" t="inlineStr"/>
      <c r="C42" s="5" t="inlineStr"/>
      <c r="D42" s="5" t="inlineStr"/>
      <c r="E42" s="5" t="inlineStr"/>
      <c r="F42" s="5" t="inlineStr"/>
      <c r="G42" s="5" t="inlineStr"/>
      <c r="H42" s="5" t="inlineStr"/>
      <c r="I42" s="5" t="inlineStr"/>
      <c r="J42" s="5" t="inlineStr"/>
      <c r="K42" s="5" t="inlineStr"/>
    </row>
    <row r="43">
      <c r="A43" s="4" t="inlineStr"/>
      <c r="B43" s="4" t="inlineStr"/>
      <c r="C43" s="4" t="inlineStr"/>
      <c r="D43" s="4" t="inlineStr"/>
      <c r="E43" s="4" t="inlineStr"/>
      <c r="F43" s="4" t="inlineStr"/>
      <c r="G43" s="4" t="inlineStr"/>
      <c r="H43" s="4" t="inlineStr"/>
      <c r="I43" s="4" t="inlineStr"/>
      <c r="J43" s="4" t="inlineStr"/>
      <c r="K43" s="4" t="inlineStr"/>
    </row>
    <row r="44">
      <c r="A44" s="5" t="inlineStr"/>
      <c r="B44" s="5" t="inlineStr"/>
      <c r="C44" s="5" t="inlineStr"/>
      <c r="D44" s="5" t="inlineStr"/>
      <c r="E44" s="5" t="inlineStr"/>
      <c r="F44" s="5" t="inlineStr"/>
      <c r="G44" s="5" t="inlineStr"/>
      <c r="H44" s="5" t="inlineStr"/>
      <c r="I44" s="5" t="inlineStr"/>
      <c r="J44" s="5" t="inlineStr"/>
      <c r="K44" s="5" t="inlineStr"/>
    </row>
    <row r="45">
      <c r="A45" s="4" t="inlineStr"/>
      <c r="B45" s="4" t="inlineStr"/>
      <c r="C45" s="4" t="inlineStr"/>
      <c r="D45" s="4" t="inlineStr"/>
      <c r="E45" s="4" t="inlineStr"/>
      <c r="F45" s="4" t="inlineStr"/>
      <c r="G45" s="4" t="inlineStr"/>
      <c r="H45" s="4" t="inlineStr"/>
      <c r="I45" s="4" t="inlineStr"/>
      <c r="J45" s="4" t="inlineStr"/>
      <c r="K45" s="4" t="inlineStr"/>
    </row>
    <row r="46">
      <c r="A46" s="5" t="inlineStr"/>
      <c r="B46" s="5" t="inlineStr"/>
      <c r="C46" s="5" t="inlineStr"/>
      <c r="D46" s="5" t="inlineStr"/>
      <c r="E46" s="5" t="inlineStr"/>
      <c r="F46" s="5" t="inlineStr"/>
      <c r="G46" s="5" t="inlineStr"/>
      <c r="H46" s="5" t="inlineStr"/>
      <c r="I46" s="5" t="inlineStr"/>
      <c r="J46" s="5" t="inlineStr"/>
      <c r="K46" s="5" t="inlineStr"/>
    </row>
    <row r="47">
      <c r="A47" s="4" t="inlineStr"/>
      <c r="B47" s="4" t="inlineStr"/>
      <c r="C47" s="4" t="inlineStr"/>
      <c r="D47" s="4" t="inlineStr"/>
      <c r="E47" s="4" t="inlineStr"/>
      <c r="F47" s="4" t="inlineStr"/>
      <c r="G47" s="4" t="inlineStr"/>
      <c r="H47" s="4" t="inlineStr"/>
      <c r="I47" s="4" t="inlineStr"/>
      <c r="J47" s="4" t="inlineStr"/>
      <c r="K47" s="4" t="inlineStr"/>
    </row>
    <row r="48">
      <c r="A48" s="5" t="inlineStr"/>
      <c r="B48" s="5" t="inlineStr"/>
      <c r="C48" s="5" t="inlineStr"/>
      <c r="D48" s="5" t="inlineStr"/>
      <c r="E48" s="5" t="inlineStr"/>
      <c r="F48" s="5" t="inlineStr"/>
      <c r="G48" s="5" t="inlineStr"/>
      <c r="H48" s="5" t="inlineStr"/>
      <c r="I48" s="5" t="inlineStr"/>
      <c r="J48" s="5" t="inlineStr"/>
      <c r="K48" s="5" t="inlineStr"/>
    </row>
    <row r="49">
      <c r="A49" s="4" t="inlineStr"/>
      <c r="B49" s="4" t="inlineStr"/>
      <c r="C49" s="4" t="inlineStr"/>
      <c r="D49" s="4" t="inlineStr"/>
      <c r="E49" s="4" t="inlineStr"/>
      <c r="F49" s="4" t="inlineStr"/>
      <c r="G49" s="4" t="inlineStr"/>
      <c r="H49" s="4" t="inlineStr"/>
      <c r="I49" s="4" t="inlineStr"/>
      <c r="J49" s="4" t="inlineStr"/>
      <c r="K49" s="4" t="inlineStr"/>
    </row>
    <row r="50">
      <c r="A50" s="5" t="inlineStr"/>
      <c r="B50" s="5" t="inlineStr"/>
      <c r="C50" s="5" t="inlineStr"/>
      <c r="D50" s="5" t="inlineStr"/>
      <c r="E50" s="5" t="inlineStr"/>
      <c r="F50" s="5" t="inlineStr"/>
      <c r="G50" s="5" t="inlineStr"/>
      <c r="H50" s="5" t="inlineStr"/>
      <c r="I50" s="5" t="inlineStr"/>
      <c r="J50" s="5" t="inlineStr"/>
      <c r="K50" s="5" t="inlineStr"/>
    </row>
    <row r="51">
      <c r="A51" s="4" t="inlineStr"/>
      <c r="B51" s="4" t="inlineStr"/>
      <c r="C51" s="4" t="inlineStr"/>
      <c r="D51" s="4" t="inlineStr"/>
      <c r="E51" s="4" t="inlineStr"/>
      <c r="F51" s="4" t="inlineStr"/>
      <c r="G51" s="4" t="inlineStr"/>
      <c r="H51" s="4" t="inlineStr"/>
      <c r="I51" s="4" t="inlineStr"/>
      <c r="J51" s="4" t="inlineStr"/>
      <c r="K51" s="4" t="inlineStr"/>
    </row>
    <row r="52">
      <c r="A52" s="5" t="inlineStr"/>
      <c r="B52" s="5" t="inlineStr"/>
      <c r="C52" s="5" t="inlineStr"/>
      <c r="D52" s="5" t="inlineStr"/>
      <c r="E52" s="5" t="inlineStr"/>
      <c r="F52" s="5" t="inlineStr"/>
      <c r="G52" s="5" t="inlineStr"/>
      <c r="H52" s="5" t="inlineStr"/>
      <c r="I52" s="5" t="inlineStr"/>
      <c r="J52" s="5" t="inlineStr"/>
      <c r="K52" s="5" t="inlineStr"/>
    </row>
    <row r="53">
      <c r="A53" s="4" t="inlineStr"/>
      <c r="B53" s="4" t="inlineStr"/>
      <c r="C53" s="4" t="inlineStr"/>
      <c r="D53" s="4" t="inlineStr"/>
      <c r="E53" s="4" t="inlineStr"/>
      <c r="F53" s="4" t="inlineStr"/>
      <c r="G53" s="4" t="inlineStr"/>
      <c r="H53" s="4" t="inlineStr"/>
      <c r="I53" s="4" t="inlineStr"/>
      <c r="J53" s="4" t="inlineStr"/>
      <c r="K53" s="4" t="inlineStr"/>
    </row>
    <row r="54">
      <c r="A54" s="5" t="inlineStr"/>
      <c r="B54" s="5" t="inlineStr"/>
      <c r="C54" s="5" t="inlineStr"/>
      <c r="D54" s="5" t="inlineStr"/>
      <c r="E54" s="5" t="inlineStr"/>
      <c r="F54" s="5" t="inlineStr"/>
      <c r="G54" s="5" t="inlineStr"/>
      <c r="H54" s="5" t="inlineStr"/>
      <c r="I54" s="5" t="inlineStr"/>
      <c r="J54" s="5" t="inlineStr"/>
      <c r="K54" s="5" t="inlineStr"/>
    </row>
    <row r="55">
      <c r="A55" s="4" t="inlineStr"/>
      <c r="B55" s="4" t="inlineStr"/>
      <c r="C55" s="4" t="inlineStr"/>
      <c r="D55" s="4" t="inlineStr"/>
      <c r="E55" s="4" t="inlineStr"/>
      <c r="F55" s="4" t="inlineStr"/>
      <c r="G55" s="4" t="inlineStr"/>
      <c r="H55" s="4" t="inlineStr"/>
      <c r="I55" s="4" t="inlineStr"/>
      <c r="J55" s="4" t="inlineStr"/>
      <c r="K55" s="4" t="inlineStr"/>
    </row>
    <row r="56">
      <c r="A56" s="5" t="inlineStr"/>
      <c r="B56" s="5" t="inlineStr"/>
      <c r="C56" s="5" t="inlineStr"/>
      <c r="D56" s="5" t="inlineStr"/>
      <c r="E56" s="5" t="inlineStr"/>
      <c r="F56" s="5" t="inlineStr"/>
      <c r="G56" s="5" t="inlineStr"/>
      <c r="H56" s="5" t="inlineStr"/>
      <c r="I56" s="5" t="inlineStr"/>
      <c r="J56" s="5" t="inlineStr"/>
      <c r="K56" s="5" t="inlineStr"/>
    </row>
    <row r="57">
      <c r="A57" s="4" t="inlineStr"/>
      <c r="B57" s="4" t="inlineStr"/>
      <c r="C57" s="4" t="inlineStr"/>
      <c r="D57" s="4" t="inlineStr"/>
      <c r="E57" s="4" t="inlineStr"/>
      <c r="F57" s="4" t="inlineStr"/>
      <c r="G57" s="4" t="inlineStr"/>
      <c r="H57" s="4" t="inlineStr"/>
      <c r="I57" s="4" t="inlineStr"/>
      <c r="J57" s="4" t="inlineStr"/>
      <c r="K57" s="4" t="inlineStr"/>
    </row>
    <row r="58">
      <c r="A58" s="5" t="inlineStr"/>
      <c r="B58" s="5" t="inlineStr"/>
      <c r="C58" s="5" t="inlineStr"/>
      <c r="D58" s="5" t="inlineStr"/>
      <c r="E58" s="5" t="inlineStr"/>
      <c r="F58" s="5" t="inlineStr"/>
      <c r="G58" s="5" t="inlineStr"/>
      <c r="H58" s="5" t="inlineStr"/>
      <c r="I58" s="5" t="inlineStr"/>
      <c r="J58" s="5" t="inlineStr"/>
      <c r="K58" s="5" t="inlineStr"/>
    </row>
    <row r="59">
      <c r="A59" s="4" t="inlineStr"/>
      <c r="B59" s="4" t="inlineStr"/>
      <c r="C59" s="4" t="inlineStr"/>
      <c r="D59" s="4" t="inlineStr"/>
      <c r="E59" s="4" t="inlineStr"/>
      <c r="F59" s="4" t="inlineStr"/>
      <c r="G59" s="4" t="inlineStr"/>
      <c r="H59" s="4" t="inlineStr"/>
      <c r="I59" s="4" t="inlineStr"/>
      <c r="J59" s="4" t="inlineStr"/>
      <c r="K59" s="4" t="inlineStr"/>
    </row>
    <row r="60">
      <c r="A60" s="5" t="inlineStr"/>
      <c r="B60" s="5" t="inlineStr"/>
      <c r="C60" s="5" t="inlineStr"/>
      <c r="D60" s="5" t="inlineStr"/>
      <c r="E60" s="5" t="inlineStr"/>
      <c r="F60" s="5" t="inlineStr"/>
      <c r="G60" s="5" t="inlineStr"/>
      <c r="H60" s="5" t="inlineStr"/>
      <c r="I60" s="5" t="inlineStr"/>
      <c r="J60" s="5" t="inlineStr"/>
      <c r="K60" s="5" t="inlineStr"/>
    </row>
    <row r="61">
      <c r="A61" s="4" t="inlineStr"/>
      <c r="B61" s="4" t="inlineStr"/>
      <c r="C61" s="4" t="inlineStr"/>
      <c r="D61" s="4" t="inlineStr"/>
      <c r="E61" s="4" t="inlineStr"/>
      <c r="F61" s="4" t="inlineStr"/>
      <c r="G61" s="4" t="inlineStr"/>
      <c r="H61" s="4" t="inlineStr"/>
      <c r="I61" s="4" t="inlineStr"/>
      <c r="J61" s="4" t="inlineStr"/>
      <c r="K61" s="4" t="inlineStr"/>
    </row>
    <row r="62">
      <c r="A62" s="5" t="inlineStr"/>
      <c r="B62" s="5" t="inlineStr"/>
      <c r="C62" s="5" t="inlineStr"/>
      <c r="D62" s="5" t="inlineStr"/>
      <c r="E62" s="5" t="inlineStr"/>
      <c r="F62" s="5" t="inlineStr"/>
      <c r="G62" s="5" t="inlineStr"/>
      <c r="H62" s="5" t="inlineStr"/>
      <c r="I62" s="5" t="inlineStr"/>
      <c r="J62" s="5" t="inlineStr"/>
      <c r="K62" s="5" t="inlineStr"/>
    </row>
    <row r="63">
      <c r="A63" s="4" t="inlineStr"/>
      <c r="B63" s="4" t="inlineStr"/>
      <c r="C63" s="4" t="inlineStr"/>
      <c r="D63" s="4" t="inlineStr"/>
      <c r="E63" s="4" t="inlineStr"/>
      <c r="F63" s="4" t="inlineStr"/>
      <c r="G63" s="4" t="inlineStr"/>
      <c r="H63" s="4" t="inlineStr"/>
      <c r="I63" s="4" t="inlineStr"/>
      <c r="J63" s="4" t="inlineStr"/>
      <c r="K63" s="4" t="inlineStr"/>
    </row>
    <row r="64">
      <c r="A64" s="5" t="inlineStr"/>
      <c r="B64" s="5" t="inlineStr"/>
      <c r="C64" s="5" t="inlineStr"/>
      <c r="D64" s="5" t="inlineStr"/>
      <c r="E64" s="5" t="inlineStr"/>
      <c r="F64" s="5" t="inlineStr"/>
      <c r="G64" s="5" t="inlineStr"/>
      <c r="H64" s="5" t="inlineStr"/>
      <c r="I64" s="5" t="inlineStr"/>
      <c r="J64" s="5" t="inlineStr"/>
      <c r="K64" s="5" t="inlineStr"/>
    </row>
    <row r="65">
      <c r="A65" s="4" t="inlineStr"/>
      <c r="B65" s="4" t="inlineStr"/>
      <c r="C65" s="4" t="inlineStr"/>
      <c r="D65" s="4" t="inlineStr"/>
      <c r="E65" s="4" t="inlineStr"/>
      <c r="F65" s="4" t="inlineStr"/>
      <c r="G65" s="4" t="inlineStr"/>
      <c r="H65" s="4" t="inlineStr"/>
      <c r="I65" s="4" t="inlineStr"/>
      <c r="J65" s="4" t="inlineStr"/>
      <c r="K65" s="4" t="inlineStr"/>
    </row>
    <row r="66">
      <c r="A66" s="5" t="inlineStr"/>
      <c r="B66" s="5" t="inlineStr"/>
      <c r="C66" s="5" t="inlineStr"/>
      <c r="D66" s="5" t="inlineStr"/>
      <c r="E66" s="5" t="inlineStr"/>
      <c r="F66" s="5" t="inlineStr"/>
      <c r="G66" s="5" t="inlineStr"/>
      <c r="H66" s="5" t="inlineStr"/>
      <c r="I66" s="5" t="inlineStr"/>
      <c r="J66" s="5" t="inlineStr"/>
      <c r="K66" s="5" t="inlineStr"/>
    </row>
    <row r="67">
      <c r="A67" s="4" t="inlineStr"/>
      <c r="B67" s="4" t="inlineStr"/>
      <c r="C67" s="4" t="inlineStr"/>
      <c r="D67" s="4" t="inlineStr"/>
      <c r="E67" s="4" t="inlineStr"/>
      <c r="F67" s="4" t="inlineStr"/>
      <c r="G67" s="4" t="inlineStr"/>
      <c r="H67" s="4" t="inlineStr"/>
      <c r="I67" s="4" t="inlineStr"/>
      <c r="J67" s="4" t="inlineStr"/>
      <c r="K67" s="4" t="inlineStr"/>
    </row>
    <row r="68">
      <c r="A68" s="5" t="inlineStr"/>
      <c r="B68" s="5" t="inlineStr"/>
      <c r="C68" s="5" t="inlineStr"/>
      <c r="D68" s="5" t="inlineStr"/>
      <c r="E68" s="5" t="inlineStr"/>
      <c r="F68" s="5" t="inlineStr"/>
      <c r="G68" s="5" t="inlineStr"/>
      <c r="H68" s="5" t="inlineStr"/>
      <c r="I68" s="5" t="inlineStr"/>
      <c r="J68" s="5" t="inlineStr"/>
      <c r="K68" s="5" t="inlineStr"/>
    </row>
    <row r="69">
      <c r="A69" s="4" t="inlineStr"/>
      <c r="B69" s="4" t="inlineStr"/>
      <c r="C69" s="4" t="inlineStr"/>
      <c r="D69" s="4" t="inlineStr"/>
      <c r="E69" s="4" t="inlineStr"/>
      <c r="F69" s="4" t="inlineStr"/>
      <c r="G69" s="4" t="inlineStr"/>
      <c r="H69" s="4" t="inlineStr"/>
      <c r="I69" s="4" t="inlineStr"/>
      <c r="J69" s="4" t="inlineStr"/>
      <c r="K69" s="4" t="inlineStr"/>
    </row>
    <row r="70">
      <c r="A70" s="5" t="inlineStr"/>
      <c r="B70" s="5" t="inlineStr"/>
      <c r="C70" s="5" t="inlineStr"/>
      <c r="D70" s="5" t="inlineStr"/>
      <c r="E70" s="5" t="inlineStr"/>
      <c r="F70" s="5" t="inlineStr"/>
      <c r="G70" s="5" t="inlineStr"/>
      <c r="H70" s="5" t="inlineStr"/>
      <c r="I70" s="5" t="inlineStr"/>
      <c r="J70" s="5" t="inlineStr"/>
      <c r="K70" s="5" t="inlineStr"/>
    </row>
    <row r="71">
      <c r="A71" s="4" t="inlineStr"/>
      <c r="B71" s="4" t="inlineStr"/>
      <c r="C71" s="4" t="inlineStr"/>
      <c r="D71" s="4" t="inlineStr"/>
      <c r="E71" s="4" t="inlineStr"/>
      <c r="F71" s="4" t="inlineStr"/>
      <c r="G71" s="4" t="inlineStr"/>
      <c r="H71" s="4" t="inlineStr"/>
      <c r="I71" s="4" t="inlineStr"/>
      <c r="J71" s="4" t="inlineStr"/>
      <c r="K71" s="4" t="inlineStr"/>
    </row>
    <row r="72">
      <c r="A72" s="5" t="inlineStr"/>
      <c r="B72" s="5" t="inlineStr"/>
      <c r="C72" s="5" t="inlineStr"/>
      <c r="D72" s="5" t="inlineStr"/>
      <c r="E72" s="5" t="inlineStr"/>
      <c r="F72" s="5" t="inlineStr"/>
      <c r="G72" s="5" t="inlineStr"/>
      <c r="H72" s="5" t="inlineStr"/>
      <c r="I72" s="5" t="inlineStr"/>
      <c r="J72" s="5" t="inlineStr"/>
      <c r="K72" s="5" t="inlineStr"/>
    </row>
    <row r="73">
      <c r="A73" s="4" t="inlineStr"/>
      <c r="B73" s="4" t="inlineStr"/>
      <c r="C73" s="4" t="inlineStr"/>
      <c r="D73" s="4" t="inlineStr"/>
      <c r="E73" s="4" t="inlineStr"/>
      <c r="F73" s="4" t="inlineStr"/>
      <c r="G73" s="4" t="inlineStr"/>
      <c r="H73" s="4" t="inlineStr"/>
      <c r="I73" s="4" t="inlineStr"/>
      <c r="J73" s="4" t="inlineStr"/>
      <c r="K73" s="4" t="inlineStr"/>
    </row>
    <row r="74">
      <c r="A74" s="5" t="inlineStr"/>
      <c r="B74" s="5" t="inlineStr"/>
      <c r="C74" s="5" t="inlineStr"/>
      <c r="D74" s="5" t="inlineStr"/>
      <c r="E74" s="5" t="inlineStr"/>
      <c r="F74" s="5" t="inlineStr"/>
      <c r="G74" s="5" t="inlineStr"/>
      <c r="H74" s="5" t="inlineStr"/>
      <c r="I74" s="5" t="inlineStr"/>
      <c r="J74" s="5" t="inlineStr"/>
      <c r="K74" s="5" t="inlineStr"/>
    </row>
    <row r="75">
      <c r="A75" s="4" t="inlineStr"/>
      <c r="B75" s="4" t="inlineStr"/>
      <c r="C75" s="4" t="inlineStr"/>
      <c r="D75" s="4" t="inlineStr"/>
      <c r="E75" s="4" t="inlineStr"/>
      <c r="F75" s="4" t="inlineStr"/>
      <c r="G75" s="4" t="inlineStr"/>
      <c r="H75" s="4" t="inlineStr"/>
      <c r="I75" s="4" t="inlineStr"/>
      <c r="J75" s="4" t="inlineStr"/>
      <c r="K75" s="4" t="inlineStr"/>
    </row>
    <row r="76">
      <c r="A76" s="5" t="inlineStr"/>
      <c r="B76" s="5" t="inlineStr"/>
      <c r="C76" s="5" t="inlineStr"/>
      <c r="D76" s="5" t="inlineStr"/>
      <c r="E76" s="5" t="inlineStr"/>
      <c r="F76" s="5" t="inlineStr"/>
      <c r="G76" s="5" t="inlineStr"/>
      <c r="H76" s="5" t="inlineStr"/>
      <c r="I76" s="5" t="inlineStr"/>
      <c r="J76" s="5" t="inlineStr"/>
      <c r="K76" s="5" t="inlineStr"/>
    </row>
    <row r="77">
      <c r="A77" s="4" t="inlineStr"/>
      <c r="B77" s="4" t="inlineStr"/>
      <c r="C77" s="4" t="inlineStr"/>
      <c r="D77" s="4" t="inlineStr"/>
      <c r="E77" s="4" t="inlineStr"/>
      <c r="F77" s="4" t="inlineStr"/>
      <c r="G77" s="4" t="inlineStr"/>
      <c r="H77" s="4" t="inlineStr"/>
      <c r="I77" s="4" t="inlineStr"/>
      <c r="J77" s="4" t="inlineStr"/>
      <c r="K77" s="4" t="inlineStr"/>
    </row>
    <row r="78">
      <c r="A78" s="5" t="inlineStr"/>
      <c r="B78" s="5" t="inlineStr"/>
      <c r="C78" s="5" t="inlineStr"/>
      <c r="D78" s="5" t="inlineStr"/>
      <c r="E78" s="5" t="inlineStr"/>
      <c r="F78" s="5" t="inlineStr"/>
      <c r="G78" s="5" t="inlineStr"/>
      <c r="H78" s="5" t="inlineStr"/>
      <c r="I78" s="5" t="inlineStr"/>
      <c r="J78" s="5" t="inlineStr"/>
      <c r="K78" s="5" t="inlineStr"/>
    </row>
    <row r="79">
      <c r="A79" s="4" t="inlineStr"/>
      <c r="B79" s="4" t="inlineStr"/>
      <c r="C79" s="4" t="inlineStr"/>
      <c r="D79" s="4" t="inlineStr"/>
      <c r="E79" s="4" t="inlineStr"/>
      <c r="F79" s="4" t="inlineStr"/>
      <c r="G79" s="4" t="inlineStr"/>
      <c r="H79" s="4" t="inlineStr"/>
      <c r="I79" s="4" t="inlineStr"/>
      <c r="J79" s="4" t="inlineStr"/>
      <c r="K79" s="4" t="inlineStr"/>
    </row>
    <row r="80">
      <c r="A80" s="5" t="inlineStr"/>
      <c r="B80" s="5" t="inlineStr"/>
      <c r="C80" s="5" t="inlineStr"/>
      <c r="D80" s="5" t="inlineStr"/>
      <c r="E80" s="5" t="inlineStr"/>
      <c r="F80" s="5" t="inlineStr"/>
      <c r="G80" s="5" t="inlineStr"/>
      <c r="H80" s="5" t="inlineStr"/>
      <c r="I80" s="5" t="inlineStr"/>
      <c r="J80" s="5" t="inlineStr"/>
      <c r="K80" s="5" t="inlineStr"/>
    </row>
    <row r="81">
      <c r="A81" s="4" t="inlineStr"/>
      <c r="B81" s="4" t="inlineStr"/>
      <c r="C81" s="4" t="inlineStr"/>
      <c r="D81" s="4" t="inlineStr"/>
      <c r="E81" s="4" t="inlineStr"/>
      <c r="F81" s="4" t="inlineStr"/>
      <c r="G81" s="4" t="inlineStr"/>
      <c r="H81" s="4" t="inlineStr"/>
      <c r="I81" s="4" t="inlineStr"/>
      <c r="J81" s="4" t="inlineStr"/>
      <c r="K81" s="4" t="inlineStr"/>
    </row>
    <row r="82">
      <c r="A82" s="5" t="inlineStr"/>
      <c r="B82" s="5" t="inlineStr"/>
      <c r="C82" s="5" t="inlineStr"/>
      <c r="D82" s="5" t="inlineStr"/>
      <c r="E82" s="5" t="inlineStr"/>
      <c r="F82" s="5" t="inlineStr"/>
      <c r="G82" s="5" t="inlineStr"/>
      <c r="H82" s="5" t="inlineStr"/>
      <c r="I82" s="5" t="inlineStr"/>
      <c r="J82" s="5" t="inlineStr"/>
      <c r="K82" s="5" t="inlineStr"/>
    </row>
    <row r="83">
      <c r="A83" s="4" t="inlineStr"/>
      <c r="B83" s="4" t="inlineStr"/>
      <c r="C83" s="4" t="inlineStr"/>
      <c r="D83" s="4" t="inlineStr"/>
      <c r="E83" s="4" t="inlineStr"/>
      <c r="F83" s="4" t="inlineStr"/>
      <c r="G83" s="4" t="inlineStr"/>
      <c r="H83" s="4" t="inlineStr"/>
      <c r="I83" s="4" t="inlineStr"/>
      <c r="J83" s="4" t="inlineStr"/>
      <c r="K83" s="4" t="inlineStr"/>
    </row>
    <row r="84">
      <c r="A84" s="5" t="inlineStr"/>
      <c r="B84" s="5" t="inlineStr"/>
      <c r="C84" s="5" t="inlineStr"/>
      <c r="D84" s="5" t="inlineStr"/>
      <c r="E84" s="5" t="inlineStr"/>
      <c r="F84" s="5" t="inlineStr"/>
      <c r="G84" s="5" t="inlineStr"/>
      <c r="H84" s="5" t="inlineStr"/>
      <c r="I84" s="5" t="inlineStr"/>
      <c r="J84" s="5" t="inlineStr"/>
      <c r="K84" s="5" t="inlineStr"/>
    </row>
    <row r="85">
      <c r="A85" s="4" t="inlineStr"/>
      <c r="B85" s="4" t="inlineStr"/>
      <c r="C85" s="4" t="inlineStr"/>
      <c r="D85" s="4" t="inlineStr"/>
      <c r="E85" s="4" t="inlineStr"/>
      <c r="F85" s="4" t="inlineStr"/>
      <c r="G85" s="4" t="inlineStr"/>
      <c r="H85" s="4" t="inlineStr"/>
      <c r="I85" s="4" t="inlineStr"/>
      <c r="J85" s="4" t="inlineStr"/>
      <c r="K85" s="4" t="inlineStr"/>
    </row>
    <row r="86">
      <c r="A86" s="5" t="inlineStr"/>
      <c r="B86" s="5" t="inlineStr"/>
      <c r="C86" s="5" t="inlineStr"/>
      <c r="D86" s="5" t="inlineStr"/>
      <c r="E86" s="5" t="inlineStr"/>
      <c r="F86" s="5" t="inlineStr"/>
      <c r="G86" s="5" t="inlineStr"/>
      <c r="H86" s="5" t="inlineStr"/>
      <c r="I86" s="5" t="inlineStr"/>
      <c r="J86" s="5" t="inlineStr"/>
      <c r="K86" s="5" t="inlineStr"/>
    </row>
    <row r="87">
      <c r="A87" s="4" t="inlineStr"/>
      <c r="B87" s="4" t="inlineStr"/>
      <c r="C87" s="4" t="inlineStr"/>
      <c r="D87" s="4" t="inlineStr"/>
      <c r="E87" s="4" t="inlineStr"/>
      <c r="F87" s="4" t="inlineStr"/>
      <c r="G87" s="4" t="inlineStr"/>
      <c r="H87" s="4" t="inlineStr"/>
      <c r="I87" s="4" t="inlineStr"/>
      <c r="J87" s="4" t="inlineStr"/>
      <c r="K87" s="4" t="inlineStr"/>
    </row>
    <row r="88">
      <c r="A88" s="5" t="inlineStr"/>
      <c r="B88" s="5" t="inlineStr"/>
      <c r="C88" s="5" t="inlineStr"/>
      <c r="D88" s="5" t="inlineStr"/>
      <c r="E88" s="5" t="inlineStr"/>
      <c r="F88" s="5" t="inlineStr"/>
      <c r="G88" s="5" t="inlineStr"/>
      <c r="H88" s="5" t="inlineStr"/>
      <c r="I88" s="5" t="inlineStr"/>
      <c r="J88" s="5" t="inlineStr"/>
      <c r="K88" s="5" t="inlineStr"/>
    </row>
    <row r="89">
      <c r="A89" s="4" t="inlineStr"/>
      <c r="B89" s="4" t="inlineStr"/>
      <c r="C89" s="4" t="inlineStr"/>
      <c r="D89" s="4" t="inlineStr"/>
      <c r="E89" s="4" t="inlineStr"/>
      <c r="F89" s="4" t="inlineStr"/>
      <c r="G89" s="4" t="inlineStr"/>
      <c r="H89" s="4" t="inlineStr"/>
      <c r="I89" s="4" t="inlineStr"/>
      <c r="J89" s="4" t="inlineStr"/>
      <c r="K89" s="4" t="inlineStr"/>
    </row>
    <row r="90">
      <c r="A90" s="5" t="inlineStr"/>
      <c r="B90" s="5" t="inlineStr"/>
      <c r="C90" s="5" t="inlineStr"/>
      <c r="D90" s="5" t="inlineStr"/>
      <c r="E90" s="5" t="inlineStr"/>
      <c r="F90" s="5" t="inlineStr"/>
      <c r="G90" s="5" t="inlineStr"/>
      <c r="H90" s="5" t="inlineStr"/>
      <c r="I90" s="5" t="inlineStr"/>
      <c r="J90" s="5" t="inlineStr"/>
      <c r="K90" s="5" t="inlineStr"/>
    </row>
    <row r="91">
      <c r="A91" s="4" t="inlineStr"/>
      <c r="B91" s="4" t="inlineStr"/>
      <c r="C91" s="4" t="inlineStr"/>
      <c r="D91" s="4" t="inlineStr"/>
      <c r="E91" s="4" t="inlineStr"/>
      <c r="F91" s="4" t="inlineStr"/>
      <c r="G91" s="4" t="inlineStr"/>
      <c r="H91" s="4" t="inlineStr"/>
      <c r="I91" s="4" t="inlineStr"/>
      <c r="J91" s="4" t="inlineStr"/>
      <c r="K91" s="4" t="inlineStr"/>
    </row>
    <row r="92">
      <c r="A92" s="5" t="inlineStr"/>
      <c r="B92" s="5" t="inlineStr"/>
      <c r="C92" s="5" t="inlineStr"/>
      <c r="D92" s="5" t="inlineStr"/>
      <c r="E92" s="5" t="inlineStr"/>
      <c r="F92" s="5" t="inlineStr"/>
      <c r="G92" s="5" t="inlineStr"/>
      <c r="H92" s="5" t="inlineStr"/>
      <c r="I92" s="5" t="inlineStr"/>
      <c r="J92" s="5" t="inlineStr"/>
      <c r="K92" s="5" t="inlineStr"/>
    </row>
    <row r="93">
      <c r="A93" s="4" t="inlineStr"/>
      <c r="B93" s="4" t="inlineStr"/>
      <c r="C93" s="4" t="inlineStr"/>
      <c r="D93" s="4" t="inlineStr"/>
      <c r="E93" s="4" t="inlineStr"/>
      <c r="F93" s="4" t="inlineStr"/>
      <c r="G93" s="4" t="inlineStr"/>
      <c r="H93" s="4" t="inlineStr"/>
      <c r="I93" s="4" t="inlineStr"/>
      <c r="J93" s="4" t="inlineStr"/>
      <c r="K93" s="4" t="inlineStr"/>
    </row>
    <row r="94">
      <c r="A94" s="5" t="inlineStr"/>
      <c r="B94" s="5" t="inlineStr"/>
      <c r="C94" s="5" t="inlineStr"/>
      <c r="D94" s="5" t="inlineStr"/>
      <c r="E94" s="5" t="inlineStr"/>
      <c r="F94" s="5" t="inlineStr"/>
      <c r="G94" s="5" t="inlineStr"/>
      <c r="H94" s="5" t="inlineStr"/>
      <c r="I94" s="5" t="inlineStr"/>
      <c r="J94" s="5" t="inlineStr"/>
      <c r="K94" s="5" t="inlineStr"/>
    </row>
    <row r="95">
      <c r="A95" s="4" t="inlineStr"/>
      <c r="B95" s="4" t="inlineStr"/>
      <c r="C95" s="4" t="inlineStr"/>
      <c r="D95" s="4" t="inlineStr"/>
      <c r="E95" s="4" t="inlineStr"/>
      <c r="F95" s="4" t="inlineStr"/>
      <c r="G95" s="4" t="inlineStr"/>
      <c r="H95" s="4" t="inlineStr"/>
      <c r="I95" s="4" t="inlineStr"/>
      <c r="J95" s="4" t="inlineStr"/>
      <c r="K95" s="4" t="inlineStr"/>
    </row>
    <row r="96">
      <c r="A96" s="5" t="inlineStr"/>
      <c r="B96" s="5" t="inlineStr"/>
      <c r="C96" s="5" t="inlineStr"/>
      <c r="D96" s="5" t="inlineStr"/>
      <c r="E96" s="5" t="inlineStr"/>
      <c r="F96" s="5" t="inlineStr"/>
      <c r="G96" s="5" t="inlineStr"/>
      <c r="H96" s="5" t="inlineStr"/>
      <c r="I96" s="5" t="inlineStr"/>
      <c r="J96" s="5" t="inlineStr"/>
      <c r="K96" s="5" t="inlineStr"/>
    </row>
    <row r="97">
      <c r="A97" s="4" t="inlineStr"/>
      <c r="B97" s="4" t="inlineStr"/>
      <c r="C97" s="4" t="inlineStr"/>
      <c r="D97" s="4" t="inlineStr"/>
      <c r="E97" s="4" t="inlineStr"/>
      <c r="F97" s="4" t="inlineStr"/>
      <c r="G97" s="4" t="inlineStr"/>
      <c r="H97" s="4" t="inlineStr"/>
      <c r="I97" s="4" t="inlineStr"/>
      <c r="J97" s="4" t="inlineStr"/>
      <c r="K97" s="4" t="inlineStr"/>
    </row>
    <row r="98">
      <c r="A98" s="5" t="inlineStr"/>
      <c r="B98" s="5" t="inlineStr"/>
      <c r="C98" s="5" t="inlineStr"/>
      <c r="D98" s="5" t="inlineStr"/>
      <c r="E98" s="5" t="inlineStr"/>
      <c r="F98" s="5" t="inlineStr"/>
      <c r="G98" s="5" t="inlineStr"/>
      <c r="H98" s="5" t="inlineStr"/>
      <c r="I98" s="5" t="inlineStr"/>
      <c r="J98" s="5" t="inlineStr"/>
      <c r="K98" s="5" t="inlineStr"/>
    </row>
    <row r="99">
      <c r="A99" s="4" t="inlineStr"/>
      <c r="B99" s="4" t="inlineStr"/>
      <c r="C99" s="4" t="inlineStr"/>
      <c r="D99" s="4" t="inlineStr"/>
      <c r="E99" s="4" t="inlineStr"/>
      <c r="F99" s="4" t="inlineStr"/>
      <c r="G99" s="4" t="inlineStr"/>
      <c r="H99" s="4" t="inlineStr"/>
      <c r="I99" s="4" t="inlineStr"/>
      <c r="J99" s="4" t="inlineStr"/>
      <c r="K99" s="4" t="inlineStr"/>
    </row>
    <row r="100">
      <c r="A100" s="5" t="inlineStr"/>
      <c r="B100" s="5" t="inlineStr"/>
      <c r="C100" s="5" t="inlineStr"/>
      <c r="D100" s="5" t="inlineStr"/>
      <c r="E100" s="5" t="inlineStr"/>
      <c r="F100" s="5" t="inlineStr"/>
      <c r="G100" s="5" t="inlineStr"/>
      <c r="H100" s="5" t="inlineStr"/>
      <c r="I100" s="5" t="inlineStr"/>
      <c r="J100" s="5" t="inlineStr"/>
      <c r="K100" s="5" t="inlineStr"/>
    </row>
    <row r="101">
      <c r="A101" s="4" t="inlineStr"/>
      <c r="B101" s="4" t="inlineStr"/>
      <c r="C101" s="4" t="inlineStr"/>
      <c r="D101" s="4" t="inlineStr"/>
      <c r="E101" s="4" t="inlineStr"/>
      <c r="F101" s="4" t="inlineStr"/>
      <c r="G101" s="4" t="inlineStr"/>
      <c r="H101" s="4" t="inlineStr"/>
      <c r="I101" s="4" t="inlineStr"/>
      <c r="J101" s="4" t="inlineStr"/>
      <c r="K101" s="4" t="inlineStr"/>
    </row>
    <row r="102">
      <c r="A102" s="5" t="inlineStr"/>
      <c r="B102" s="5" t="inlineStr"/>
      <c r="C102" s="5" t="inlineStr"/>
      <c r="D102" s="5" t="inlineStr"/>
      <c r="E102" s="5" t="inlineStr"/>
      <c r="F102" s="5" t="inlineStr"/>
      <c r="G102" s="5" t="inlineStr"/>
      <c r="H102" s="5" t="inlineStr"/>
      <c r="I102" s="5" t="inlineStr"/>
      <c r="J102" s="5" t="inlineStr"/>
      <c r="K102" s="5" t="inlineStr"/>
    </row>
    <row r="103">
      <c r="A103" s="4" t="inlineStr"/>
      <c r="B103" s="4" t="inlineStr"/>
      <c r="C103" s="4" t="inlineStr"/>
      <c r="D103" s="4" t="inlineStr"/>
      <c r="E103" s="4" t="inlineStr"/>
      <c r="F103" s="4" t="inlineStr"/>
      <c r="G103" s="4" t="inlineStr"/>
      <c r="H103" s="4" t="inlineStr"/>
      <c r="I103" s="4" t="inlineStr"/>
      <c r="J103" s="4" t="inlineStr"/>
      <c r="K103" s="4" t="inlineStr"/>
    </row>
    <row r="104">
      <c r="A104" s="5" t="inlineStr"/>
      <c r="B104" s="5" t="inlineStr"/>
      <c r="C104" s="5" t="inlineStr"/>
      <c r="D104" s="5" t="inlineStr"/>
      <c r="E104" s="5" t="inlineStr"/>
      <c r="F104" s="5" t="inlineStr"/>
      <c r="G104" s="5" t="inlineStr"/>
      <c r="H104" s="5" t="inlineStr"/>
      <c r="I104" s="5" t="inlineStr"/>
      <c r="J104" s="5" t="inlineStr"/>
      <c r="K104" s="5" t="inlineStr"/>
    </row>
    <row r="106">
      <c r="A106" s="13" t="inlineStr">
        <is>
          <t>TOTAL INVENTORY VALUE</t>
        </is>
      </c>
      <c r="B106" s="9" t="n"/>
      <c r="C106" s="9" t="n"/>
      <c r="D106" s="9" t="n"/>
      <c r="E106" s="14">
        <f>SUM(E5:E104)</f>
        <v/>
      </c>
      <c r="F106" s="14">
        <f>SUM(F5:F104)</f>
        <v/>
      </c>
      <c r="G106" s="9" t="n"/>
      <c r="H106" s="9" t="n"/>
      <c r="I106" s="9" t="n"/>
      <c r="J106" s="9" t="n"/>
      <c r="K106" s="9" t="n"/>
    </row>
  </sheetData>
  <mergeCells count="3">
    <mergeCell ref="A2:K2"/>
    <mergeCell ref="A1:K1"/>
    <mergeCell ref="A106:D106"/>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"Furniture,Electronics,Appliances,Decor,Kitchen,Clothing,Other,Jewelry,Sporting Goods,Tools"</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"Yes,No,Pending,N/A"</formula1>
    </dataValidation>
  </dataValidations>
  <pageMargins left="0.75" right="0.75" top="1" bottom="1" header="0.5" footer="0.5"/>
</worksheet>
</file>

<file path=xl/worksheets/sheet5.xml><?xml version="1.0" encoding="utf-8"?>
<worksheet xmlns="http://schemas.openxmlformats.org/spreadsheetml/2006/main">
  <sheetPr>
    <tabColor rgb="00C05621"/>
    <outlinePr summaryBelow="1" summaryRight="1"/>
    <pageSetUpPr/>
  </sheetPr>
  <dimension ref="A1:J46"/>
  <sheetViews>
    <sheetView workbookViewId="0">
      <pane ySplit="4" topLeftCell="A5"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4" customWidth="1" min="5" max="5"/>
    <col width="14" customWidth="1" min="6" max="6"/>
    <col width="14" customWidth="1" min="7" max="7"/>
    <col width="20" customWidth="1" min="8" max="8"/>
    <col width="14" customWidth="1" min="9" max="9"/>
    <col width="28" customWidth="1" min="10" max="10"/>
  </cols>
  <sheetData>
    <row r="1" ht="40" customHeight="1">
      <c r="A1" s="1" t="inlineStr">
        <is>
          <t>🔧 HOME MAINTENANCE SCHEDULE</t>
        </is>
      </c>
    </row>
    <row r="2" ht="28" customHeight="1">
      <c r="A2" s="2" t="inlineStr">
        <is>
          <t>Stay ahead of repairs — auto-calculates next due dates!</t>
        </is>
      </c>
    </row>
    <row r="4">
      <c r="A4" s="3" t="inlineStr">
        <is>
          <t>Task</t>
        </is>
      </c>
      <c r="B4" s="3" t="inlineStr">
        <is>
          <t>Category</t>
        </is>
      </c>
      <c r="C4" s="3" t="inlineStr">
        <is>
          <t>Frequency</t>
        </is>
      </c>
      <c r="D4" s="3" t="inlineStr">
        <is>
          <t>Last Completed</t>
        </is>
      </c>
      <c r="E4" s="3" t="inlineStr">
        <is>
          <t>Next Due</t>
        </is>
      </c>
      <c r="F4" s="3" t="inlineStr">
        <is>
          <t>Est. Cost</t>
        </is>
      </c>
      <c r="G4" s="3" t="inlineStr">
        <is>
          <t>Professional?</t>
        </is>
      </c>
      <c r="H4" s="3" t="inlineStr">
        <is>
          <t>Contractor</t>
        </is>
      </c>
      <c r="I4" s="3" t="inlineStr">
        <is>
          <t>Phone</t>
        </is>
      </c>
      <c r="J4" s="3" t="inlineStr">
        <is>
          <t>Notes</t>
        </is>
      </c>
    </row>
    <row r="5">
      <c r="A5" s="4" t="inlineStr">
        <is>
          <t>Replace HVAC filters</t>
        </is>
      </c>
      <c r="B5" s="4" t="inlineStr">
        <is>
          <t>HVAC</t>
        </is>
      </c>
      <c r="C5" s="4" t="inlineStr">
        <is>
          <t>Quarterly</t>
        </is>
      </c>
      <c r="D5" s="6" t="n">
        <v>46006</v>
      </c>
      <c r="E5" s="6">
        <f>IF(D5="","",D5+CHOOSE(MATCH(C5,{"Monthly","Quarterly","Semi-Annually","Annually","As Needed"},0),30,91,182,365,365))</f>
        <v/>
      </c>
      <c r="F5" s="11" t="n">
        <v>25</v>
      </c>
      <c r="G5" s="4" t="inlineStr">
        <is>
          <t>No</t>
        </is>
      </c>
      <c r="H5" s="4" t="inlineStr"/>
      <c r="I5" s="4" t="inlineStr"/>
      <c r="J5" s="4" t="inlineStr">
        <is>
          <t>Use MERV 11+</t>
        </is>
      </c>
    </row>
    <row r="6">
      <c r="A6" s="5" t="inlineStr">
        <is>
          <t>Service furnace</t>
        </is>
      </c>
      <c r="B6" s="5" t="inlineStr">
        <is>
          <t>HVAC</t>
        </is>
      </c>
      <c r="C6" s="5" t="inlineStr">
        <is>
          <t>Annually</t>
        </is>
      </c>
      <c r="D6" s="7" t="n">
        <v>45931</v>
      </c>
      <c r="E6" s="7">
        <f>IF(D6="","",D6+CHOOSE(MATCH(C6,{"Monthly","Quarterly","Semi-Annually","Annually","As Needed"},0),30,91,182,365,365))</f>
        <v/>
      </c>
      <c r="F6" s="12" t="n">
        <v>150</v>
      </c>
      <c r="G6" s="5" t="inlineStr">
        <is>
          <t>Yes</t>
        </is>
      </c>
      <c r="H6" s="5" t="inlineStr">
        <is>
          <t>ABC Heating</t>
        </is>
      </c>
      <c r="I6" s="5" t="inlineStr">
        <is>
          <t>555-0101</t>
        </is>
      </c>
      <c r="J6" s="5" t="inlineStr">
        <is>
          <t>Before winter</t>
        </is>
      </c>
    </row>
    <row r="7">
      <c r="A7" s="4" t="inlineStr">
        <is>
          <t>Service A/C unit</t>
        </is>
      </c>
      <c r="B7" s="4" t="inlineStr">
        <is>
          <t>HVAC</t>
        </is>
      </c>
      <c r="C7" s="4" t="inlineStr">
        <is>
          <t>Annually</t>
        </is>
      </c>
      <c r="D7" s="6" t="n">
        <v>45748</v>
      </c>
      <c r="E7" s="6">
        <f>IF(D7="","",D7+CHOOSE(MATCH(C7,{"Monthly","Quarterly","Semi-Annually","Annually","As Needed"},0),30,91,182,365,365))</f>
        <v/>
      </c>
      <c r="F7" s="11" t="n">
        <v>150</v>
      </c>
      <c r="G7" s="4" t="inlineStr">
        <is>
          <t>Yes</t>
        </is>
      </c>
      <c r="H7" s="4" t="inlineStr">
        <is>
          <t>ABC Heating</t>
        </is>
      </c>
      <c r="I7" s="4" t="inlineStr">
        <is>
          <t>555-0101</t>
        </is>
      </c>
      <c r="J7" s="4" t="inlineStr">
        <is>
          <t>Before summer</t>
        </is>
      </c>
    </row>
    <row r="8">
      <c r="A8" s="5" t="inlineStr">
        <is>
          <t>Clean air ducts</t>
        </is>
      </c>
      <c r="B8" s="5" t="inlineStr">
        <is>
          <t>HVAC</t>
        </is>
      </c>
      <c r="C8" s="5" t="inlineStr">
        <is>
          <t>Annually</t>
        </is>
      </c>
      <c r="D8" s="7" t="n">
        <v>45823</v>
      </c>
      <c r="E8" s="7">
        <f>IF(D8="","",D8+CHOOSE(MATCH(C8,{"Monthly","Quarterly","Semi-Annually","Annually","As Needed"},0),30,91,182,365,365))</f>
        <v/>
      </c>
      <c r="F8" s="12" t="n">
        <v>400</v>
      </c>
      <c r="G8" s="5" t="inlineStr">
        <is>
          <t>Yes</t>
        </is>
      </c>
      <c r="H8" s="5" t="inlineStr">
        <is>
          <t>DuctPro</t>
        </is>
      </c>
      <c r="I8" s="5" t="inlineStr">
        <is>
          <t>555-0102</t>
        </is>
      </c>
      <c r="J8" s="5" t="inlineStr">
        <is>
          <t>Every 3-5 yrs ideal</t>
        </is>
      </c>
    </row>
    <row r="9">
      <c r="A9" s="4" t="inlineStr">
        <is>
          <t>Check thermostat batteries</t>
        </is>
      </c>
      <c r="B9" s="4" t="inlineStr">
        <is>
          <t>HVAC</t>
        </is>
      </c>
      <c r="C9" s="4" t="inlineStr">
        <is>
          <t>Semi-Annually</t>
        </is>
      </c>
      <c r="D9" s="6" t="n">
        <v>45962</v>
      </c>
      <c r="E9" s="6">
        <f>IF(D9="","",D9+CHOOSE(MATCH(C9,{"Monthly","Quarterly","Semi-Annually","Annually","As Needed"},0),30,91,182,365,365))</f>
        <v/>
      </c>
      <c r="F9" s="11" t="n">
        <v>10</v>
      </c>
      <c r="G9" s="4" t="inlineStr">
        <is>
          <t>No</t>
        </is>
      </c>
      <c r="H9" s="4" t="inlineStr"/>
      <c r="I9" s="4" t="inlineStr"/>
      <c r="J9" s="4" t="inlineStr"/>
    </row>
    <row r="10">
      <c r="A10" s="5" t="inlineStr">
        <is>
          <t>Flush water heater</t>
        </is>
      </c>
      <c r="B10" s="5" t="inlineStr">
        <is>
          <t>Plumbing</t>
        </is>
      </c>
      <c r="C10" s="5" t="inlineStr">
        <is>
          <t>Annually</t>
        </is>
      </c>
      <c r="D10" s="7" t="n">
        <v>45901</v>
      </c>
      <c r="E10" s="7">
        <f>IF(D10="","",D10+CHOOSE(MATCH(C10,{"Monthly","Quarterly","Semi-Annually","Annually","As Needed"},0),30,91,182,365,365))</f>
        <v/>
      </c>
      <c r="F10" s="12" t="n">
        <v>0</v>
      </c>
      <c r="G10" s="5" t="inlineStr">
        <is>
          <t>Optional</t>
        </is>
      </c>
      <c r="H10" s="5" t="inlineStr">
        <is>
          <t>Joe's Plumbing</t>
        </is>
      </c>
      <c r="I10" s="5" t="inlineStr">
        <is>
          <t>555-0103</t>
        </is>
      </c>
      <c r="J10" s="5" t="inlineStr">
        <is>
          <t>Remove sediment</t>
        </is>
      </c>
    </row>
    <row r="11">
      <c r="A11" s="4" t="inlineStr">
        <is>
          <t>Check for leaks under sinks</t>
        </is>
      </c>
      <c r="B11" s="4" t="inlineStr">
        <is>
          <t>Plumbing</t>
        </is>
      </c>
      <c r="C11" s="4" t="inlineStr">
        <is>
          <t>Quarterly</t>
        </is>
      </c>
      <c r="D11" s="6" t="n">
        <v>45992</v>
      </c>
      <c r="E11" s="6">
        <f>IF(D11="","",D11+CHOOSE(MATCH(C11,{"Monthly","Quarterly","Semi-Annually","Annually","As Needed"},0),30,91,182,365,365))</f>
        <v/>
      </c>
      <c r="F11" s="11" t="n">
        <v>0</v>
      </c>
      <c r="G11" s="4" t="inlineStr">
        <is>
          <t>No</t>
        </is>
      </c>
      <c r="H11" s="4" t="inlineStr"/>
      <c r="I11" s="4" t="inlineStr"/>
      <c r="J11" s="4" t="inlineStr">
        <is>
          <t>Kitchen + baths</t>
        </is>
      </c>
    </row>
    <row r="12">
      <c r="A12" s="5" t="inlineStr">
        <is>
          <t>Clean gutters &amp; downspouts</t>
        </is>
      </c>
      <c r="B12" s="5" t="inlineStr">
        <is>
          <t>Exterior</t>
        </is>
      </c>
      <c r="C12" s="5" t="inlineStr">
        <is>
          <t>Semi-Annually</t>
        </is>
      </c>
      <c r="D12" s="7" t="n">
        <v>45976</v>
      </c>
      <c r="E12" s="7">
        <f>IF(D12="","",D12+CHOOSE(MATCH(C12,{"Monthly","Quarterly","Semi-Annually","Annually","As Needed"},0),30,91,182,365,365))</f>
        <v/>
      </c>
      <c r="F12" s="12" t="n">
        <v>200</v>
      </c>
      <c r="G12" s="5" t="inlineStr">
        <is>
          <t>Optional</t>
        </is>
      </c>
      <c r="H12" s="5" t="inlineStr">
        <is>
          <t>GutterGuard Co</t>
        </is>
      </c>
      <c r="I12" s="5" t="inlineStr">
        <is>
          <t>555-0104</t>
        </is>
      </c>
      <c r="J12" s="5" t="inlineStr">
        <is>
          <t>Spring + Fall</t>
        </is>
      </c>
    </row>
    <row r="13">
      <c r="A13" s="4" t="inlineStr">
        <is>
          <t>Inspect roof</t>
        </is>
      </c>
      <c r="B13" s="4" t="inlineStr">
        <is>
          <t>Exterior</t>
        </is>
      </c>
      <c r="C13" s="4" t="inlineStr">
        <is>
          <t>Annually</t>
        </is>
      </c>
      <c r="D13" s="6" t="n">
        <v>45901</v>
      </c>
      <c r="E13" s="6">
        <f>IF(D13="","",D13+CHOOSE(MATCH(C13,{"Monthly","Quarterly","Semi-Annually","Annually","As Needed"},0),30,91,182,365,365))</f>
        <v/>
      </c>
      <c r="F13" s="11" t="n">
        <v>300</v>
      </c>
      <c r="G13" s="4" t="inlineStr">
        <is>
          <t>Yes</t>
        </is>
      </c>
      <c r="H13" s="4" t="inlineStr">
        <is>
          <t>RoofRight LLC</t>
        </is>
      </c>
      <c r="I13" s="4" t="inlineStr">
        <is>
          <t>555-0105</t>
        </is>
      </c>
      <c r="J13" s="4" t="inlineStr">
        <is>
          <t>Check for damage</t>
        </is>
      </c>
    </row>
    <row r="14">
      <c r="A14" s="5" t="inlineStr">
        <is>
          <t>Power wash siding &amp; deck</t>
        </is>
      </c>
      <c r="B14" s="5" t="inlineStr">
        <is>
          <t>Exterior</t>
        </is>
      </c>
      <c r="C14" s="5" t="inlineStr">
        <is>
          <t>Annually</t>
        </is>
      </c>
      <c r="D14" s="7" t="n">
        <v>45792</v>
      </c>
      <c r="E14" s="7">
        <f>IF(D14="","",D14+CHOOSE(MATCH(C14,{"Monthly","Quarterly","Semi-Annually","Annually","As Needed"},0),30,91,182,365,365))</f>
        <v/>
      </c>
      <c r="F14" s="12" t="n">
        <v>250</v>
      </c>
      <c r="G14" s="5" t="inlineStr">
        <is>
          <t>Optional</t>
        </is>
      </c>
      <c r="H14" s="5" t="inlineStr"/>
      <c r="I14" s="5" t="inlineStr"/>
      <c r="J14" s="5" t="inlineStr">
        <is>
          <t>Rent or hire</t>
        </is>
      </c>
    </row>
    <row r="15">
      <c r="A15" s="4" t="inlineStr">
        <is>
          <t>Seal driveway</t>
        </is>
      </c>
      <c r="B15" s="4" t="inlineStr">
        <is>
          <t>Exterior</t>
        </is>
      </c>
      <c r="C15" s="4" t="inlineStr">
        <is>
          <t>Annually</t>
        </is>
      </c>
      <c r="D15" s="6" t="n">
        <v>45870</v>
      </c>
      <c r="E15" s="6">
        <f>IF(D15="","",D15+CHOOSE(MATCH(C15,{"Monthly","Quarterly","Semi-Annually","Annually","As Needed"},0),30,91,182,365,365))</f>
        <v/>
      </c>
      <c r="F15" s="11" t="n">
        <v>100</v>
      </c>
      <c r="G15" s="4" t="inlineStr">
        <is>
          <t>No</t>
        </is>
      </c>
      <c r="H15" s="4" t="inlineStr"/>
      <c r="I15" s="4" t="inlineStr"/>
      <c r="J15" s="4" t="inlineStr">
        <is>
          <t>Every 2-3 years</t>
        </is>
      </c>
    </row>
    <row r="16">
      <c r="A16" s="5" t="inlineStr">
        <is>
          <t>Touch up exterior paint</t>
        </is>
      </c>
      <c r="B16" s="5" t="inlineStr">
        <is>
          <t>Exterior</t>
        </is>
      </c>
      <c r="C16" s="5" t="inlineStr">
        <is>
          <t>Annually</t>
        </is>
      </c>
      <c r="D16" s="7" t="n">
        <v>45809</v>
      </c>
      <c r="E16" s="7">
        <f>IF(D16="","",D16+CHOOSE(MATCH(C16,{"Monthly","Quarterly","Semi-Annually","Annually","As Needed"},0),30,91,182,365,365))</f>
        <v/>
      </c>
      <c r="F16" s="12" t="n">
        <v>150</v>
      </c>
      <c r="G16" s="5" t="inlineStr">
        <is>
          <t>No</t>
        </is>
      </c>
      <c r="H16" s="5" t="inlineStr"/>
      <c r="I16" s="5" t="inlineStr"/>
      <c r="J16" s="5" t="inlineStr">
        <is>
          <t>Check for peeling</t>
        </is>
      </c>
    </row>
    <row r="17">
      <c r="A17" s="4" t="inlineStr">
        <is>
          <t>Inspect windows &amp; caulking</t>
        </is>
      </c>
      <c r="B17" s="4" t="inlineStr">
        <is>
          <t>Exterior</t>
        </is>
      </c>
      <c r="C17" s="4" t="inlineStr">
        <is>
          <t>Annually</t>
        </is>
      </c>
      <c r="D17" s="6" t="n">
        <v>45945</v>
      </c>
      <c r="E17" s="6">
        <f>IF(D17="","",D17+CHOOSE(MATCH(C17,{"Monthly","Quarterly","Semi-Annually","Annually","As Needed"},0),30,91,182,365,365))</f>
        <v/>
      </c>
      <c r="F17" s="11" t="n">
        <v>50</v>
      </c>
      <c r="G17" s="4" t="inlineStr">
        <is>
          <t>No</t>
        </is>
      </c>
      <c r="H17" s="4" t="inlineStr"/>
      <c r="I17" s="4" t="inlineStr"/>
      <c r="J17" s="4" t="inlineStr">
        <is>
          <t>Re-caulk as needed</t>
        </is>
      </c>
    </row>
    <row r="18">
      <c r="A18" s="5" t="inlineStr">
        <is>
          <t>Clean dryer vent</t>
        </is>
      </c>
      <c r="B18" s="5" t="inlineStr">
        <is>
          <t>Appliances</t>
        </is>
      </c>
      <c r="C18" s="5" t="inlineStr">
        <is>
          <t>Quarterly</t>
        </is>
      </c>
      <c r="D18" s="7" t="n">
        <v>45992</v>
      </c>
      <c r="E18" s="7">
        <f>IF(D18="","",D18+CHOOSE(MATCH(C18,{"Monthly","Quarterly","Semi-Annually","Annually","As Needed"},0),30,91,182,365,365))</f>
        <v/>
      </c>
      <c r="F18" s="12" t="n">
        <v>0</v>
      </c>
      <c r="G18" s="5" t="inlineStr">
        <is>
          <t>No</t>
        </is>
      </c>
      <c r="H18" s="5" t="inlineStr"/>
      <c r="I18" s="5" t="inlineStr"/>
      <c r="J18" s="5" t="inlineStr">
        <is>
          <t>Fire prevention</t>
        </is>
      </c>
    </row>
    <row r="19">
      <c r="A19" s="4" t="inlineStr">
        <is>
          <t>Clean garbage disposal</t>
        </is>
      </c>
      <c r="B19" s="4" t="inlineStr">
        <is>
          <t>Appliances</t>
        </is>
      </c>
      <c r="C19" s="4" t="inlineStr">
        <is>
          <t>Monthly</t>
        </is>
      </c>
      <c r="D19" s="6" t="n">
        <v>46037</v>
      </c>
      <c r="E19" s="6">
        <f>IF(D19="","",D19+CHOOSE(MATCH(C19,{"Monthly","Quarterly","Semi-Annually","Annually","As Needed"},0),30,91,182,365,365))</f>
        <v/>
      </c>
      <c r="F19" s="11" t="n">
        <v>0</v>
      </c>
      <c r="G19" s="4" t="inlineStr">
        <is>
          <t>No</t>
        </is>
      </c>
      <c r="H19" s="4" t="inlineStr"/>
      <c r="I19" s="4" t="inlineStr"/>
      <c r="J19" s="4" t="inlineStr">
        <is>
          <t>Ice + citrus method</t>
        </is>
      </c>
    </row>
    <row r="20">
      <c r="A20" s="5" t="inlineStr">
        <is>
          <t>Descale water appliances</t>
        </is>
      </c>
      <c r="B20" s="5" t="inlineStr">
        <is>
          <t>Appliances</t>
        </is>
      </c>
      <c r="C20" s="5" t="inlineStr">
        <is>
          <t>Quarterly</t>
        </is>
      </c>
      <c r="D20" s="7" t="n">
        <v>46006</v>
      </c>
      <c r="E20" s="7">
        <f>IF(D20="","",D20+CHOOSE(MATCH(C20,{"Monthly","Quarterly","Semi-Annually","Annually","As Needed"},0),30,91,182,365,365))</f>
        <v/>
      </c>
      <c r="F20" s="12" t="n">
        <v>10</v>
      </c>
      <c r="G20" s="5" t="inlineStr">
        <is>
          <t>No</t>
        </is>
      </c>
      <c r="H20" s="5" t="inlineStr"/>
      <c r="I20" s="5" t="inlineStr"/>
      <c r="J20" s="5" t="inlineStr">
        <is>
          <t>Coffee maker, kettle</t>
        </is>
      </c>
    </row>
    <row r="21">
      <c r="A21" s="4" t="inlineStr">
        <is>
          <t>Clean refrigerator coils</t>
        </is>
      </c>
      <c r="B21" s="4" t="inlineStr">
        <is>
          <t>Appliances</t>
        </is>
      </c>
      <c r="C21" s="4" t="inlineStr">
        <is>
          <t>Semi-Annually</t>
        </is>
      </c>
      <c r="D21" s="6" t="n">
        <v>45931</v>
      </c>
      <c r="E21" s="6">
        <f>IF(D21="","",D21+CHOOSE(MATCH(C21,{"Monthly","Quarterly","Semi-Annually","Annually","As Needed"},0),30,91,182,365,365))</f>
        <v/>
      </c>
      <c r="F21" s="11" t="n">
        <v>0</v>
      </c>
      <c r="G21" s="4" t="inlineStr">
        <is>
          <t>No</t>
        </is>
      </c>
      <c r="H21" s="4" t="inlineStr"/>
      <c r="I21" s="4" t="inlineStr"/>
      <c r="J21" s="4" t="inlineStr">
        <is>
          <t>Improve efficiency</t>
        </is>
      </c>
    </row>
    <row r="22">
      <c r="A22" s="5" t="inlineStr">
        <is>
          <t>Test smoke detectors</t>
        </is>
      </c>
      <c r="B22" s="5" t="inlineStr">
        <is>
          <t>Safety</t>
        </is>
      </c>
      <c r="C22" s="5" t="inlineStr">
        <is>
          <t>Monthly</t>
        </is>
      </c>
      <c r="D22" s="7" t="n">
        <v>46023</v>
      </c>
      <c r="E22" s="7">
        <f>IF(D22="","",D22+CHOOSE(MATCH(C22,{"Monthly","Quarterly","Semi-Annually","Annually","As Needed"},0),30,91,182,365,365))</f>
        <v/>
      </c>
      <c r="F22" s="12" t="n">
        <v>0</v>
      </c>
      <c r="G22" s="5" t="inlineStr">
        <is>
          <t>No</t>
        </is>
      </c>
      <c r="H22" s="5" t="inlineStr"/>
      <c r="I22" s="5" t="inlineStr"/>
      <c r="J22" s="5" t="inlineStr">
        <is>
          <t>Replace batteries yearly</t>
        </is>
      </c>
    </row>
    <row r="23">
      <c r="A23" s="4" t="inlineStr">
        <is>
          <t>Test CO detectors</t>
        </is>
      </c>
      <c r="B23" s="4" t="inlineStr">
        <is>
          <t>Safety</t>
        </is>
      </c>
      <c r="C23" s="4" t="inlineStr">
        <is>
          <t>Monthly</t>
        </is>
      </c>
      <c r="D23" s="6" t="n">
        <v>46023</v>
      </c>
      <c r="E23" s="6">
        <f>IF(D23="","",D23+CHOOSE(MATCH(C23,{"Monthly","Quarterly","Semi-Annually","Annually","As Needed"},0),30,91,182,365,365))</f>
        <v/>
      </c>
      <c r="F23" s="11" t="n">
        <v>0</v>
      </c>
      <c r="G23" s="4" t="inlineStr">
        <is>
          <t>No</t>
        </is>
      </c>
      <c r="H23" s="4" t="inlineStr"/>
      <c r="I23" s="4" t="inlineStr"/>
      <c r="J23" s="4" t="inlineStr">
        <is>
          <t>Replace unit every 7yrs</t>
        </is>
      </c>
    </row>
    <row r="24">
      <c r="A24" s="5" t="inlineStr">
        <is>
          <t>Check fire extinguishers</t>
        </is>
      </c>
      <c r="B24" s="5" t="inlineStr">
        <is>
          <t>Safety</t>
        </is>
      </c>
      <c r="C24" s="5" t="inlineStr">
        <is>
          <t>Annually</t>
        </is>
      </c>
      <c r="D24" s="7" t="n">
        <v>45839</v>
      </c>
      <c r="E24" s="7">
        <f>IF(D24="","",D24+CHOOSE(MATCH(C24,{"Monthly","Quarterly","Semi-Annually","Annually","As Needed"},0),30,91,182,365,365))</f>
        <v/>
      </c>
      <c r="F24" s="12" t="n">
        <v>0</v>
      </c>
      <c r="G24" s="5" t="inlineStr">
        <is>
          <t>No</t>
        </is>
      </c>
      <c r="H24" s="5" t="inlineStr"/>
      <c r="I24" s="5" t="inlineStr"/>
      <c r="J24" s="5" t="inlineStr">
        <is>
          <t>Check pressure gauge</t>
        </is>
      </c>
    </row>
    <row r="25">
      <c r="A25" s="4" t="inlineStr">
        <is>
          <t>Inspect electrical panel</t>
        </is>
      </c>
      <c r="B25" s="4" t="inlineStr">
        <is>
          <t>Electrical</t>
        </is>
      </c>
      <c r="C25" s="4" t="inlineStr">
        <is>
          <t>Annually</t>
        </is>
      </c>
      <c r="D25" s="6" t="n">
        <v>45870</v>
      </c>
      <c r="E25" s="6">
        <f>IF(D25="","",D25+CHOOSE(MATCH(C25,{"Monthly","Quarterly","Semi-Annually","Annually","As Needed"},0),30,91,182,365,365))</f>
        <v/>
      </c>
      <c r="F25" s="11" t="n">
        <v>0</v>
      </c>
      <c r="G25" s="4" t="inlineStr">
        <is>
          <t>Optional</t>
        </is>
      </c>
      <c r="H25" s="4" t="inlineStr">
        <is>
          <t>SparkSafe Electric</t>
        </is>
      </c>
      <c r="I25" s="4" t="inlineStr">
        <is>
          <t>555-0106</t>
        </is>
      </c>
      <c r="J25" s="4" t="inlineStr">
        <is>
          <t>Look for rust/damage</t>
        </is>
      </c>
    </row>
    <row r="26">
      <c r="A26" s="5" t="inlineStr">
        <is>
          <t>Test GFCI outlets</t>
        </is>
      </c>
      <c r="B26" s="5" t="inlineStr">
        <is>
          <t>Electrical</t>
        </is>
      </c>
      <c r="C26" s="5" t="inlineStr">
        <is>
          <t>Monthly</t>
        </is>
      </c>
      <c r="D26" s="7" t="n">
        <v>46037</v>
      </c>
      <c r="E26" s="7">
        <f>IF(D26="","",D26+CHOOSE(MATCH(C26,{"Monthly","Quarterly","Semi-Annually","Annually","As Needed"},0),30,91,182,365,365))</f>
        <v/>
      </c>
      <c r="F26" s="12" t="n">
        <v>0</v>
      </c>
      <c r="G26" s="5" t="inlineStr">
        <is>
          <t>No</t>
        </is>
      </c>
      <c r="H26" s="5" t="inlineStr"/>
      <c r="I26" s="5" t="inlineStr"/>
      <c r="J26" s="5" t="inlineStr">
        <is>
          <t>Press test button</t>
        </is>
      </c>
    </row>
    <row r="27">
      <c r="A27" s="4" t="inlineStr">
        <is>
          <t>Check outdoor lighting</t>
        </is>
      </c>
      <c r="B27" s="4" t="inlineStr">
        <is>
          <t>Electrical</t>
        </is>
      </c>
      <c r="C27" s="4" t="inlineStr">
        <is>
          <t>Quarterly</t>
        </is>
      </c>
      <c r="D27" s="6" t="n">
        <v>45992</v>
      </c>
      <c r="E27" s="6">
        <f>IF(D27="","",D27+CHOOSE(MATCH(C27,{"Monthly","Quarterly","Semi-Annually","Annually","As Needed"},0),30,91,182,365,365))</f>
        <v/>
      </c>
      <c r="F27" s="11" t="n">
        <v>20</v>
      </c>
      <c r="G27" s="4" t="inlineStr">
        <is>
          <t>No</t>
        </is>
      </c>
      <c r="H27" s="4" t="inlineStr"/>
      <c r="I27" s="4" t="inlineStr"/>
      <c r="J27" s="4" t="inlineStr">
        <is>
          <t>Replace bulbs</t>
        </is>
      </c>
    </row>
    <row r="28">
      <c r="A28" s="5" t="inlineStr">
        <is>
          <t>Winterize outdoor faucets</t>
        </is>
      </c>
      <c r="B28" s="5" t="inlineStr">
        <is>
          <t>Seasonal</t>
        </is>
      </c>
      <c r="C28" s="5" t="inlineStr">
        <is>
          <t>Annually</t>
        </is>
      </c>
      <c r="D28" s="7" t="n">
        <v>45945</v>
      </c>
      <c r="E28" s="7">
        <f>IF(D28="","",D28+CHOOSE(MATCH(C28,{"Monthly","Quarterly","Semi-Annually","Annually","As Needed"},0),30,91,182,365,365))</f>
        <v/>
      </c>
      <c r="F28" s="12" t="n">
        <v>0</v>
      </c>
      <c r="G28" s="5" t="inlineStr">
        <is>
          <t>No</t>
        </is>
      </c>
      <c r="H28" s="5" t="inlineStr"/>
      <c r="I28" s="5" t="inlineStr"/>
      <c r="J28" s="5" t="inlineStr">
        <is>
          <t>Before first freeze</t>
        </is>
      </c>
    </row>
    <row r="29">
      <c r="A29" s="4" t="inlineStr">
        <is>
          <t>Fertilize lawn</t>
        </is>
      </c>
      <c r="B29" s="4" t="inlineStr">
        <is>
          <t>Seasonal</t>
        </is>
      </c>
      <c r="C29" s="4" t="inlineStr">
        <is>
          <t>Quarterly</t>
        </is>
      </c>
      <c r="D29" s="6" t="n">
        <v>45931</v>
      </c>
      <c r="E29" s="6">
        <f>IF(D29="","",D29+CHOOSE(MATCH(C29,{"Monthly","Quarterly","Semi-Annually","Annually","As Needed"},0),30,91,182,365,365))</f>
        <v/>
      </c>
      <c r="F29" s="11" t="n">
        <v>50</v>
      </c>
      <c r="G29" s="4" t="inlineStr">
        <is>
          <t>No</t>
        </is>
      </c>
      <c r="H29" s="4" t="inlineStr"/>
      <c r="I29" s="4" t="inlineStr"/>
      <c r="J29" s="4" t="inlineStr">
        <is>
          <t>Spring, Summer, Fall</t>
        </is>
      </c>
    </row>
    <row r="30">
      <c r="A30" s="5" t="inlineStr">
        <is>
          <t>Trim trees &amp; bushes</t>
        </is>
      </c>
      <c r="B30" s="5" t="inlineStr">
        <is>
          <t>Landscaping</t>
        </is>
      </c>
      <c r="C30" s="5" t="inlineStr">
        <is>
          <t>Semi-Annually</t>
        </is>
      </c>
      <c r="D30" s="7" t="n">
        <v>45962</v>
      </c>
      <c r="E30" s="7">
        <f>IF(D30="","",D30+CHOOSE(MATCH(C30,{"Monthly","Quarterly","Semi-Annually","Annually","As Needed"},0),30,91,182,365,365))</f>
        <v/>
      </c>
      <c r="F30" s="12" t="n">
        <v>200</v>
      </c>
      <c r="G30" s="5" t="inlineStr">
        <is>
          <t>Optional</t>
        </is>
      </c>
      <c r="H30" s="5" t="inlineStr">
        <is>
          <t>GreenThumb</t>
        </is>
      </c>
      <c r="I30" s="5" t="inlineStr">
        <is>
          <t>555-0107</t>
        </is>
      </c>
      <c r="J30" s="5" t="inlineStr">
        <is>
          <t>Spring + late summer</t>
        </is>
      </c>
    </row>
    <row r="31">
      <c r="A31" s="4" t="inlineStr">
        <is>
          <t>Aerate lawn</t>
        </is>
      </c>
      <c r="B31" s="4" t="inlineStr">
        <is>
          <t>Landscaping</t>
        </is>
      </c>
      <c r="C31" s="4" t="inlineStr">
        <is>
          <t>Annually</t>
        </is>
      </c>
      <c r="D31" s="6" t="n">
        <v>45915</v>
      </c>
      <c r="E31" s="6">
        <f>IF(D31="","",D31+CHOOSE(MATCH(C31,{"Monthly","Quarterly","Semi-Annually","Annually","As Needed"},0),30,91,182,365,365))</f>
        <v/>
      </c>
      <c r="F31" s="11" t="n">
        <v>100</v>
      </c>
      <c r="G31" s="4" t="inlineStr">
        <is>
          <t>Optional</t>
        </is>
      </c>
      <c r="H31" s="4" t="inlineStr">
        <is>
          <t>GreenThumb</t>
        </is>
      </c>
      <c r="I31" s="4" t="inlineStr">
        <is>
          <t>555-0107</t>
        </is>
      </c>
      <c r="J31" s="4" t="inlineStr">
        <is>
          <t>Fall is best</t>
        </is>
      </c>
    </row>
    <row r="32">
      <c r="A32" s="5" t="inlineStr">
        <is>
          <t>Clean &amp; store patio furniture</t>
        </is>
      </c>
      <c r="B32" s="5" t="inlineStr">
        <is>
          <t>Seasonal</t>
        </is>
      </c>
      <c r="C32" s="5" t="inlineStr">
        <is>
          <t>Annually</t>
        </is>
      </c>
      <c r="D32" s="7" t="n">
        <v>45950</v>
      </c>
      <c r="E32" s="7">
        <f>IF(D32="","",D32+CHOOSE(MATCH(C32,{"Monthly","Quarterly","Semi-Annually","Annually","As Needed"},0),30,91,182,365,365))</f>
        <v/>
      </c>
      <c r="F32" s="12" t="n">
        <v>0</v>
      </c>
      <c r="G32" s="5" t="inlineStr">
        <is>
          <t>No</t>
        </is>
      </c>
      <c r="H32" s="5" t="inlineStr"/>
      <c r="I32" s="5" t="inlineStr"/>
      <c r="J32" s="5" t="inlineStr">
        <is>
          <t>Before winter</t>
        </is>
      </c>
    </row>
    <row r="33">
      <c r="A33" s="4" t="inlineStr">
        <is>
          <t>Check attic insulation</t>
        </is>
      </c>
      <c r="B33" s="4" t="inlineStr">
        <is>
          <t>Interior</t>
        </is>
      </c>
      <c r="C33" s="4" t="inlineStr">
        <is>
          <t>Annually</t>
        </is>
      </c>
      <c r="D33" s="6" t="n">
        <v>45901</v>
      </c>
      <c r="E33" s="6">
        <f>IF(D33="","",D33+CHOOSE(MATCH(C33,{"Monthly","Quarterly","Semi-Annually","Annually","As Needed"},0),30,91,182,365,365))</f>
        <v/>
      </c>
      <c r="F33" s="11" t="n">
        <v>0</v>
      </c>
      <c r="G33" s="4" t="inlineStr">
        <is>
          <t>No</t>
        </is>
      </c>
      <c r="H33" s="4" t="inlineStr"/>
      <c r="I33" s="4" t="inlineStr"/>
      <c r="J33" s="4" t="inlineStr">
        <is>
          <t>R-38 minimum</t>
        </is>
      </c>
    </row>
    <row r="34">
      <c r="A34" s="5" t="inlineStr">
        <is>
          <t>Deep clean carpets</t>
        </is>
      </c>
      <c r="B34" s="5" t="inlineStr">
        <is>
          <t>Interior</t>
        </is>
      </c>
      <c r="C34" s="5" t="inlineStr">
        <is>
          <t>Semi-Annually</t>
        </is>
      </c>
      <c r="D34" s="7" t="n">
        <v>45962</v>
      </c>
      <c r="E34" s="7">
        <f>IF(D34="","",D34+CHOOSE(MATCH(C34,{"Monthly","Quarterly","Semi-Annually","Annually","As Needed"},0),30,91,182,365,365))</f>
        <v/>
      </c>
      <c r="F34" s="12" t="n">
        <v>200</v>
      </c>
      <c r="G34" s="5" t="inlineStr">
        <is>
          <t>Optional</t>
        </is>
      </c>
      <c r="H34" s="5" t="inlineStr">
        <is>
          <t>FreshClean Pro</t>
        </is>
      </c>
      <c r="I34" s="5" t="inlineStr">
        <is>
          <t>555-0108</t>
        </is>
      </c>
      <c r="J34" s="5" t="inlineStr">
        <is>
          <t>Rent or hire</t>
        </is>
      </c>
    </row>
    <row r="35">
      <c r="A35" s="4" t="inlineStr">
        <is>
          <t>Re-grout tile as needed</t>
        </is>
      </c>
      <c r="B35" s="4" t="inlineStr">
        <is>
          <t>Interior</t>
        </is>
      </c>
      <c r="C35" s="4" t="inlineStr">
        <is>
          <t>As Needed</t>
        </is>
      </c>
      <c r="D35" s="6" t="n">
        <v>45809</v>
      </c>
      <c r="E35" s="6">
        <f>IF(D35="","",D35+CHOOSE(MATCH(C35,{"Monthly","Quarterly","Semi-Annually","Annually","As Needed"},0),30,91,182,365,365))</f>
        <v/>
      </c>
      <c r="F35" s="11" t="n">
        <v>50</v>
      </c>
      <c r="G35" s="4" t="inlineStr">
        <is>
          <t>No</t>
        </is>
      </c>
      <c r="H35" s="4" t="inlineStr"/>
      <c r="I35" s="4" t="inlineStr"/>
      <c r="J35" s="4" t="inlineStr">
        <is>
          <t>Kitchen + bath</t>
        </is>
      </c>
    </row>
    <row r="36">
      <c r="A36" s="5" t="inlineStr">
        <is>
          <t>Lubricate garage door</t>
        </is>
      </c>
      <c r="B36" s="5" t="inlineStr">
        <is>
          <t>Exterior</t>
        </is>
      </c>
      <c r="C36" s="5" t="inlineStr">
        <is>
          <t>Semi-Annually</t>
        </is>
      </c>
      <c r="D36" s="7" t="n">
        <v>45931</v>
      </c>
      <c r="E36" s="7">
        <f>IF(D36="","",D36+CHOOSE(MATCH(C36,{"Monthly","Quarterly","Semi-Annually","Annually","As Needed"},0),30,91,182,365,365))</f>
        <v/>
      </c>
      <c r="F36" s="12" t="n">
        <v>10</v>
      </c>
      <c r="G36" s="5" t="inlineStr">
        <is>
          <t>No</t>
        </is>
      </c>
      <c r="H36" s="5" t="inlineStr"/>
      <c r="I36" s="5" t="inlineStr"/>
      <c r="J36" s="5" t="inlineStr">
        <is>
          <t>Hinges + tracks</t>
        </is>
      </c>
    </row>
    <row r="37">
      <c r="A37" s="4" t="inlineStr">
        <is>
          <t>Inspect sump pump</t>
        </is>
      </c>
      <c r="B37" s="4" t="inlineStr">
        <is>
          <t>Plumbing</t>
        </is>
      </c>
      <c r="C37" s="4" t="inlineStr">
        <is>
          <t>Quarterly</t>
        </is>
      </c>
      <c r="D37" s="6" t="n">
        <v>46006</v>
      </c>
      <c r="E37" s="6">
        <f>IF(D37="","",D37+CHOOSE(MATCH(C37,{"Monthly","Quarterly","Semi-Annually","Annually","As Needed"},0),30,91,182,365,365))</f>
        <v/>
      </c>
      <c r="F37" s="11" t="n">
        <v>0</v>
      </c>
      <c r="G37" s="4" t="inlineStr">
        <is>
          <t>No</t>
        </is>
      </c>
      <c r="H37" s="4" t="inlineStr"/>
      <c r="I37" s="4" t="inlineStr"/>
      <c r="J37" s="4" t="inlineStr">
        <is>
          <t>Pour water to test</t>
        </is>
      </c>
    </row>
    <row r="38">
      <c r="A38" s="5" t="inlineStr">
        <is>
          <t>Snake main drain</t>
        </is>
      </c>
      <c r="B38" s="5" t="inlineStr">
        <is>
          <t>Plumbing</t>
        </is>
      </c>
      <c r="C38" s="5" t="inlineStr">
        <is>
          <t>Annually</t>
        </is>
      </c>
      <c r="D38" s="7" t="n">
        <v>45839</v>
      </c>
      <c r="E38" s="7">
        <f>IF(D38="","",D38+CHOOSE(MATCH(C38,{"Monthly","Quarterly","Semi-Annually","Annually","As Needed"},0),30,91,182,365,365))</f>
        <v/>
      </c>
      <c r="F38" s="12" t="n">
        <v>150</v>
      </c>
      <c r="G38" s="5" t="inlineStr">
        <is>
          <t>Yes</t>
        </is>
      </c>
      <c r="H38" s="5" t="inlineStr">
        <is>
          <t>Joe's Plumbing</t>
        </is>
      </c>
      <c r="I38" s="5" t="inlineStr">
        <is>
          <t>555-0103</t>
        </is>
      </c>
      <c r="J38" s="5" t="inlineStr">
        <is>
          <t>Preventive</t>
        </is>
      </c>
    </row>
    <row r="39">
      <c r="A39" s="4" t="inlineStr">
        <is>
          <t>Inspect foundation</t>
        </is>
      </c>
      <c r="B39" s="4" t="inlineStr">
        <is>
          <t>Exterior</t>
        </is>
      </c>
      <c r="C39" s="4" t="inlineStr">
        <is>
          <t>Annually</t>
        </is>
      </c>
      <c r="D39" s="6" t="n">
        <v>45778</v>
      </c>
      <c r="E39" s="6">
        <f>IF(D39="","",D39+CHOOSE(MATCH(C39,{"Monthly","Quarterly","Semi-Annually","Annually","As Needed"},0),30,91,182,365,365))</f>
        <v/>
      </c>
      <c r="F39" s="11" t="n">
        <v>0</v>
      </c>
      <c r="G39" s="4" t="inlineStr">
        <is>
          <t>No</t>
        </is>
      </c>
      <c r="H39" s="4" t="inlineStr"/>
      <c r="I39" s="4" t="inlineStr"/>
      <c r="J39" s="4" t="inlineStr">
        <is>
          <t>Look for cracks</t>
        </is>
      </c>
    </row>
    <row r="40">
      <c r="A40" s="5" t="inlineStr">
        <is>
          <t>Seal grout lines</t>
        </is>
      </c>
      <c r="B40" s="5" t="inlineStr">
        <is>
          <t>Interior</t>
        </is>
      </c>
      <c r="C40" s="5" t="inlineStr">
        <is>
          <t>Annually</t>
        </is>
      </c>
      <c r="D40" s="7" t="n">
        <v>45870</v>
      </c>
      <c r="E40" s="7">
        <f>IF(D40="","",D40+CHOOSE(MATCH(C40,{"Monthly","Quarterly","Semi-Annually","Annually","As Needed"},0),30,91,182,365,365))</f>
        <v/>
      </c>
      <c r="F40" s="12" t="n">
        <v>30</v>
      </c>
      <c r="G40" s="5" t="inlineStr">
        <is>
          <t>No</t>
        </is>
      </c>
      <c r="H40" s="5" t="inlineStr"/>
      <c r="I40" s="5" t="inlineStr"/>
      <c r="J40" s="5" t="inlineStr">
        <is>
          <t>Prevents staining</t>
        </is>
      </c>
    </row>
    <row r="41">
      <c r="A41" s="4" t="inlineStr">
        <is>
          <t>Check washing machine hoses</t>
        </is>
      </c>
      <c r="B41" s="4" t="inlineStr">
        <is>
          <t>Appliances</t>
        </is>
      </c>
      <c r="C41" s="4" t="inlineStr">
        <is>
          <t>Semi-Annually</t>
        </is>
      </c>
      <c r="D41" s="6" t="n">
        <v>45945</v>
      </c>
      <c r="E41" s="6">
        <f>IF(D41="","",D41+CHOOSE(MATCH(C41,{"Monthly","Quarterly","Semi-Annually","Annually","As Needed"},0),30,91,182,365,365))</f>
        <v/>
      </c>
      <c r="F41" s="11" t="n">
        <v>20</v>
      </c>
      <c r="G41" s="4" t="inlineStr">
        <is>
          <t>No</t>
        </is>
      </c>
      <c r="H41" s="4" t="inlineStr"/>
      <c r="I41" s="4" t="inlineStr"/>
      <c r="J41" s="4" t="inlineStr">
        <is>
          <t>Replace every 5yrs</t>
        </is>
      </c>
    </row>
    <row r="42">
      <c r="A42" s="5" t="inlineStr">
        <is>
          <t>Service garage door opener</t>
        </is>
      </c>
      <c r="B42" s="5" t="inlineStr">
        <is>
          <t>Exterior</t>
        </is>
      </c>
      <c r="C42" s="5" t="inlineStr">
        <is>
          <t>Annually</t>
        </is>
      </c>
      <c r="D42" s="7" t="n">
        <v>45901</v>
      </c>
      <c r="E42" s="7">
        <f>IF(D42="","",D42+CHOOSE(MATCH(C42,{"Monthly","Quarterly","Semi-Annually","Annually","As Needed"},0),30,91,182,365,365))</f>
        <v/>
      </c>
      <c r="F42" s="12" t="n">
        <v>100</v>
      </c>
      <c r="G42" s="5" t="inlineStr">
        <is>
          <t>Optional</t>
        </is>
      </c>
      <c r="H42" s="5" t="inlineStr">
        <is>
          <t>DoorTech</t>
        </is>
      </c>
      <c r="I42" s="5" t="inlineStr">
        <is>
          <t>555-0109</t>
        </is>
      </c>
      <c r="J42" s="5" t="inlineStr">
        <is>
          <t>Safety sensors</t>
        </is>
      </c>
    </row>
    <row r="43">
      <c r="A43" s="4" t="inlineStr">
        <is>
          <t>Clean chimney/flue</t>
        </is>
      </c>
      <c r="B43" s="4" t="inlineStr">
        <is>
          <t>Interior</t>
        </is>
      </c>
      <c r="C43" s="4" t="inlineStr">
        <is>
          <t>Annually</t>
        </is>
      </c>
      <c r="D43" s="6" t="n">
        <v>45901</v>
      </c>
      <c r="E43" s="6">
        <f>IF(D43="","",D43+CHOOSE(MATCH(C43,{"Monthly","Quarterly","Semi-Annually","Annually","As Needed"},0),30,91,182,365,365))</f>
        <v/>
      </c>
      <c r="F43" s="11" t="n">
        <v>250</v>
      </c>
      <c r="G43" s="4" t="inlineStr">
        <is>
          <t>Yes</t>
        </is>
      </c>
      <c r="H43" s="4" t="inlineStr">
        <is>
          <t>SweepMaster</t>
        </is>
      </c>
      <c r="I43" s="4" t="inlineStr">
        <is>
          <t>555-0110</t>
        </is>
      </c>
      <c r="J43" s="4" t="inlineStr">
        <is>
          <t>Before heating season</t>
        </is>
      </c>
    </row>
    <row r="44">
      <c r="A44" s="5" t="inlineStr">
        <is>
          <t>Pest inspection</t>
        </is>
      </c>
      <c r="B44" s="5" t="inlineStr">
        <is>
          <t>Safety</t>
        </is>
      </c>
      <c r="C44" s="5" t="inlineStr">
        <is>
          <t>Annually</t>
        </is>
      </c>
      <c r="D44" s="7" t="n">
        <v>45748</v>
      </c>
      <c r="E44" s="7">
        <f>IF(D44="","",D44+CHOOSE(MATCH(C44,{"Monthly","Quarterly","Semi-Annually","Annually","As Needed"},0),30,91,182,365,365))</f>
        <v/>
      </c>
      <c r="F44" s="12" t="n">
        <v>150</v>
      </c>
      <c r="G44" s="5" t="inlineStr">
        <is>
          <t>Yes</t>
        </is>
      </c>
      <c r="H44" s="5" t="inlineStr">
        <is>
          <t>BugFree Inc</t>
        </is>
      </c>
      <c r="I44" s="5" t="inlineStr">
        <is>
          <t>555-0111</t>
        </is>
      </c>
      <c r="J44" s="5" t="inlineStr">
        <is>
          <t>Spring is ideal</t>
        </is>
      </c>
    </row>
    <row r="46">
      <c r="A46" s="15" t="inlineStr">
        <is>
          <t>ESTIMATED ANNUAL MAINTENANCE COST</t>
        </is>
      </c>
      <c r="B46" s="9" t="n"/>
      <c r="C46" s="9" t="n"/>
      <c r="D46" s="9" t="n"/>
      <c r="E46" s="9" t="n"/>
      <c r="F46" s="14">
        <f>SUM(F5:F44)</f>
        <v/>
      </c>
      <c r="G46" s="9" t="n"/>
      <c r="H46" s="9" t="n"/>
      <c r="I46" s="9" t="n"/>
      <c r="J46" s="9" t="n"/>
    </row>
  </sheetData>
  <mergeCells count="3">
    <mergeCell ref="A1:J1"/>
    <mergeCell ref="A46:E46"/>
    <mergeCell ref="A2:J2"/>
  </mergeCells>
  <dataValidations count="3">
    <dataValidation sqref="B5 B6 B7 B8 B9 B10 B11 B12 B13 B14 B15 B16 B17 B18 B19 B20 B21 B22 B23 B24 B25 B26 B27 B28 B29 B30 B31 B32 B33 B34 B35 B36 B37 B38 B39 B40 B41 B42 B43 B44" showDropDown="0" showInputMessage="0" showErrorMessage="0" allowBlank="1" type="list">
      <formula1>"HVAC,Plumbing,Electrical,Exterior,Appliances,Safety,Seasonal,Interior,Landscaping"</formula1>
    </dataValidation>
    <dataValidation sqref="C5 C6 C7 C8 C9 C10 C11 C12 C13 C14 C15 C16 C17 C18 C19 C20 C21 C22 C23 C24 C25 C26 C27 C28 C29 C30 C31 C32 C33 C34 C35 C36 C37 C38 C39 C40 C41 C42 C43 C44" showDropDown="0" showInputMessage="0" showErrorMessage="0" allowBlank="1" type="list">
      <formula1>"Monthly,Quarterly,Semi-Annually,Annually,As Needed"</formula1>
    </dataValidation>
    <dataValidation sqref="G5 G6 G7 G8 G9 G10 G11 G12 G13 G14 G15 G16 G17 G18 G19 G20 G21 G22 G23 G24 G25 G26 G27 G28 G29 G30 G31 G32 G33 G34 G35 G36 G37 G38 G39 G40 G41 G42 G43 G44" showDropDown="0" showInputMessage="0" showErrorMessage="0" allowBlank="1" type="list">
      <formula1>"Yes,No,Optional"</formula1>
    </dataValidation>
  </dataValidations>
  <pageMargins left="0.75" right="0.75" top="1" bottom="1" header="0.5" footer="0.5"/>
</worksheet>
</file>

<file path=xl/worksheets/sheet6.xml><?xml version="1.0" encoding="utf-8"?>
<worksheet xmlns="http://schemas.openxmlformats.org/spreadsheetml/2006/main">
  <sheetPr>
    <tabColor rgb="00276749"/>
    <outlinePr summaryBelow="1" summaryRight="1"/>
    <pageSetUpPr/>
  </sheetPr>
  <dimension ref="A1:E28"/>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4" customWidth="1" min="5" max="5"/>
  </cols>
  <sheetData>
    <row r="1" ht="40" customHeight="1">
      <c r="A1" s="1" t="inlineStr">
        <is>
          <t>💰 HOUSEHOLD BUDGET</t>
        </is>
      </c>
    </row>
    <row r="2" ht="28" customHeight="1">
      <c r="A2" s="2" t="inlineStr">
        <is>
          <t>Track monthly household expenses — see exactly where your money goes!</t>
        </is>
      </c>
    </row>
    <row r="4">
      <c r="A4" s="3" t="inlineStr">
        <is>
          <t>Category</t>
        </is>
      </c>
      <c r="B4" s="3" t="inlineStr">
        <is>
          <t>Monthly Budget</t>
        </is>
      </c>
      <c r="C4" s="3" t="inlineStr">
        <is>
          <t>Actual Spent</t>
        </is>
      </c>
      <c r="D4" s="3" t="inlineStr">
        <is>
          <t>Difference</t>
        </is>
      </c>
      <c r="E4" s="3" t="inlineStr">
        <is>
          <t>% of Budget</t>
        </is>
      </c>
    </row>
    <row r="5">
      <c r="A5" s="4" t="inlineStr">
        <is>
          <t>🏠 Mortgage / Rent</t>
        </is>
      </c>
      <c r="B5" s="11" t="n">
        <v>2200</v>
      </c>
      <c r="C5" s="11" t="n">
        <v>2200</v>
      </c>
      <c r="D5" s="11">
        <f>B5-C5</f>
        <v/>
      </c>
      <c r="E5" s="16">
        <f>IF(B5=0,"",C5/B5)</f>
        <v/>
      </c>
    </row>
    <row r="6">
      <c r="A6" s="5" t="inlineStr">
        <is>
          <t>💡 Electric</t>
        </is>
      </c>
      <c r="B6" s="12" t="n">
        <v>150</v>
      </c>
      <c r="C6" s="12" t="n">
        <v>142.5</v>
      </c>
      <c r="D6" s="12">
        <f>B6-C6</f>
        <v/>
      </c>
      <c r="E6" s="17">
        <f>IF(B6=0,"",C6/B6)</f>
        <v/>
      </c>
    </row>
    <row r="7">
      <c r="A7" s="4" t="inlineStr">
        <is>
          <t>🔥 Gas / Heating</t>
        </is>
      </c>
      <c r="B7" s="11" t="n">
        <v>80</v>
      </c>
      <c r="C7" s="11" t="n">
        <v>95</v>
      </c>
      <c r="D7" s="11">
        <f>B7-C7</f>
        <v/>
      </c>
      <c r="E7" s="16">
        <f>IF(B7=0,"",C7/B7)</f>
        <v/>
      </c>
    </row>
    <row r="8">
      <c r="A8" s="5" t="inlineStr">
        <is>
          <t>💧 Water &amp; Sewer</t>
        </is>
      </c>
      <c r="B8" s="12" t="n">
        <v>65</v>
      </c>
      <c r="C8" s="12" t="n">
        <v>58</v>
      </c>
      <c r="D8" s="12">
        <f>B8-C8</f>
        <v/>
      </c>
      <c r="E8" s="17">
        <f>IF(B8=0,"",C8/B8)</f>
        <v/>
      </c>
    </row>
    <row r="9">
      <c r="A9" s="4" t="inlineStr">
        <is>
          <t>📡 Internet &amp; Cable</t>
        </is>
      </c>
      <c r="B9" s="11" t="n">
        <v>120</v>
      </c>
      <c r="C9" s="11" t="n">
        <v>119.99</v>
      </c>
      <c r="D9" s="11">
        <f>B9-C9</f>
        <v/>
      </c>
      <c r="E9" s="16">
        <f>IF(B9=0,"",C9/B9)</f>
        <v/>
      </c>
    </row>
    <row r="10">
      <c r="A10" s="5" t="inlineStr">
        <is>
          <t>📱 Phone (Family Plan)</t>
        </is>
      </c>
      <c r="B10" s="12" t="n">
        <v>180</v>
      </c>
      <c r="C10" s="12" t="n">
        <v>180</v>
      </c>
      <c r="D10" s="12">
        <f>B10-C10</f>
        <v/>
      </c>
      <c r="E10" s="17">
        <f>IF(B10=0,"",C10/B10)</f>
        <v/>
      </c>
    </row>
    <row r="11">
      <c r="A11" s="4" t="inlineStr">
        <is>
          <t>🛡️ Homeowner's Insurance</t>
        </is>
      </c>
      <c r="B11" s="11" t="n">
        <v>175</v>
      </c>
      <c r="C11" s="11" t="n">
        <v>175</v>
      </c>
      <c r="D11" s="11">
        <f>B11-C11</f>
        <v/>
      </c>
      <c r="E11" s="16">
        <f>IF(B11=0,"",C11/B11)</f>
        <v/>
      </c>
    </row>
    <row r="12">
      <c r="A12" s="5" t="inlineStr">
        <is>
          <t>🏥 Health Insurance</t>
        </is>
      </c>
      <c r="B12" s="12" t="n">
        <v>450</v>
      </c>
      <c r="C12" s="12" t="n">
        <v>450</v>
      </c>
      <c r="D12" s="12">
        <f>B12-C12</f>
        <v/>
      </c>
      <c r="E12" s="17">
        <f>IF(B12=0,"",C12/B12)</f>
        <v/>
      </c>
    </row>
    <row r="13">
      <c r="A13" s="4" t="inlineStr">
        <is>
          <t>🛒 Groceries</t>
        </is>
      </c>
      <c r="B13" s="11" t="n">
        <v>800</v>
      </c>
      <c r="C13" s="11" t="n">
        <v>875</v>
      </c>
      <c r="D13" s="11">
        <f>B13-C13</f>
        <v/>
      </c>
      <c r="E13" s="16">
        <f>IF(B13=0,"",C13/B13)</f>
        <v/>
      </c>
    </row>
    <row r="14">
      <c r="A14" s="5" t="inlineStr">
        <is>
          <t>🍽️ Dining Out / Takeout</t>
        </is>
      </c>
      <c r="B14" s="12" t="n">
        <v>250</v>
      </c>
      <c r="C14" s="12" t="n">
        <v>310</v>
      </c>
      <c r="D14" s="12">
        <f>B14-C14</f>
        <v/>
      </c>
      <c r="E14" s="17">
        <f>IF(B14=0,"",C14/B14)</f>
        <v/>
      </c>
    </row>
    <row r="15">
      <c r="A15" s="4" t="inlineStr">
        <is>
          <t>🧹 Cleaning Supplies</t>
        </is>
      </c>
      <c r="B15" s="11" t="n">
        <v>50</v>
      </c>
      <c r="C15" s="11" t="n">
        <v>42</v>
      </c>
      <c r="D15" s="11">
        <f>B15-C15</f>
        <v/>
      </c>
      <c r="E15" s="16">
        <f>IF(B15=0,"",C15/B15)</f>
        <v/>
      </c>
    </row>
    <row r="16">
      <c r="A16" s="5" t="inlineStr">
        <is>
          <t>🔧 Home Maintenance / Repairs</t>
        </is>
      </c>
      <c r="B16" s="12" t="n">
        <v>200</v>
      </c>
      <c r="C16" s="12" t="n">
        <v>150</v>
      </c>
      <c r="D16" s="12">
        <f>B16-C16</f>
        <v/>
      </c>
      <c r="E16" s="17">
        <f>IF(B16=0,"",C16/B16)</f>
        <v/>
      </c>
    </row>
    <row r="17">
      <c r="A17" s="4" t="inlineStr">
        <is>
          <t>⛽ Transportation / Gas</t>
        </is>
      </c>
      <c r="B17" s="11" t="n">
        <v>300</v>
      </c>
      <c r="C17" s="11" t="n">
        <v>285</v>
      </c>
      <c r="D17" s="11">
        <f>B17-C17</f>
        <v/>
      </c>
      <c r="E17" s="16">
        <f>IF(B17=0,"",C17/B17)</f>
        <v/>
      </c>
    </row>
    <row r="18">
      <c r="A18" s="5" t="inlineStr">
        <is>
          <t>🚗 Car Insurance</t>
        </is>
      </c>
      <c r="B18" s="12" t="n">
        <v>200</v>
      </c>
      <c r="C18" s="12" t="n">
        <v>200</v>
      </c>
      <c r="D18" s="12">
        <f>B18-C18</f>
        <v/>
      </c>
      <c r="E18" s="17">
        <f>IF(B18=0,"",C18/B18)</f>
        <v/>
      </c>
    </row>
    <row r="19">
      <c r="A19" s="4" t="inlineStr">
        <is>
          <t>👶 Childcare / Activities</t>
        </is>
      </c>
      <c r="B19" s="11" t="n">
        <v>400</v>
      </c>
      <c r="C19" s="11" t="n">
        <v>425</v>
      </c>
      <c r="D19" s="11">
        <f>B19-C19</f>
        <v/>
      </c>
      <c r="E19" s="16">
        <f>IF(B19=0,"",C19/B19)</f>
        <v/>
      </c>
    </row>
    <row r="20">
      <c r="A20" s="5" t="inlineStr">
        <is>
          <t>🐾 Pet Care</t>
        </is>
      </c>
      <c r="B20" s="12" t="n">
        <v>100</v>
      </c>
      <c r="C20" s="12" t="n">
        <v>85</v>
      </c>
      <c r="D20" s="12">
        <f>B20-C20</f>
        <v/>
      </c>
      <c r="E20" s="17">
        <f>IF(B20=0,"",C20/B20)</f>
        <v/>
      </c>
    </row>
    <row r="21">
      <c r="A21" s="4" t="inlineStr">
        <is>
          <t>🎓 Education / Subscriptions</t>
        </is>
      </c>
      <c r="B21" s="11" t="n">
        <v>75</v>
      </c>
      <c r="C21" s="11" t="n">
        <v>79.98999999999999</v>
      </c>
      <c r="D21" s="11">
        <f>B21-C21</f>
        <v/>
      </c>
      <c r="E21" s="16">
        <f>IF(B21=0,"",C21/B21)</f>
        <v/>
      </c>
    </row>
    <row r="22">
      <c r="A22" s="5" t="inlineStr">
        <is>
          <t>💊 Medical / Pharmacy</t>
        </is>
      </c>
      <c r="B22" s="12" t="n">
        <v>100</v>
      </c>
      <c r="C22" s="12" t="n">
        <v>65</v>
      </c>
      <c r="D22" s="12">
        <f>B22-C22</f>
        <v/>
      </c>
      <c r="E22" s="17">
        <f>IF(B22=0,"",C22/B22)</f>
        <v/>
      </c>
    </row>
    <row r="23">
      <c r="A23" s="4" t="inlineStr">
        <is>
          <t>🎉 Entertainment / Hobbies</t>
        </is>
      </c>
      <c r="B23" s="11" t="n">
        <v>150</v>
      </c>
      <c r="C23" s="11" t="n">
        <v>175</v>
      </c>
      <c r="D23" s="11">
        <f>B23-C23</f>
        <v/>
      </c>
      <c r="E23" s="16">
        <f>IF(B23=0,"",C23/B23)</f>
        <v/>
      </c>
    </row>
    <row r="24">
      <c r="A24" s="5" t="inlineStr">
        <is>
          <t>💰 Savings / Emergency Fund</t>
        </is>
      </c>
      <c r="B24" s="12" t="n">
        <v>500</v>
      </c>
      <c r="C24" s="12" t="n">
        <v>500</v>
      </c>
      <c r="D24" s="12">
        <f>B24-C24</f>
        <v/>
      </c>
      <c r="E24" s="17">
        <f>IF(B24=0,"",C24/B24)</f>
        <v/>
      </c>
    </row>
    <row r="26">
      <c r="A26" s="15" t="inlineStr">
        <is>
          <t>MONTHLY TOTALS</t>
        </is>
      </c>
      <c r="B26" s="14">
        <f>SUM(B5:B24)</f>
        <v/>
      </c>
      <c r="C26" s="14">
        <f>SUM(C5:C24)</f>
        <v/>
      </c>
      <c r="D26" s="14">
        <f>B26-C26</f>
        <v/>
      </c>
      <c r="E26" s="18">
        <f>IF(B26=0,"",C26/B26)</f>
        <v/>
      </c>
    </row>
    <row r="28">
      <c r="A28" s="19" t="inlineStr">
        <is>
          <t>ANNUAL PROJECTION</t>
        </is>
      </c>
      <c r="C28" s="20">
        <f>C26*12</f>
        <v/>
      </c>
    </row>
  </sheetData>
  <mergeCells count="3">
    <mergeCell ref="A2:E2"/>
    <mergeCell ref="A1:E1"/>
    <mergeCell ref="A28:B28"/>
  </mergeCells>
  <conditionalFormatting sqref="D5:D24">
    <cfRule type="cellIs" priority="1" operator="lessThan" dxfId="0">
      <formula>0</formula>
    </cfRule>
    <cfRule type="cellIs" priority="2" operator="greaterThan" dxfId="1">
      <formula>0</formula>
    </cfRule>
  </conditionalFormatting>
  <pageMargins left="0.75" right="0.75" top="1" bottom="1" header="0.5" footer="0.5"/>
</worksheet>
</file>

<file path=xl/worksheets/sheet7.xml><?xml version="1.0" encoding="utf-8"?>
<worksheet xmlns="http://schemas.openxmlformats.org/spreadsheetml/2006/main">
  <sheetPr>
    <tabColor rgb="0068D391"/>
    <outlinePr summaryBelow="1" summaryRight="1"/>
    <pageSetUpPr/>
  </sheetPr>
  <dimension ref="A1:H46"/>
  <sheetViews>
    <sheetView workbookViewId="0">
      <pane ySplit="14" topLeftCell="A15" activePane="bottomLeft" state="frozen"/>
      <selection pane="bottomLeft" activeCell="A1" sqref="A1"/>
    </sheetView>
  </sheetViews>
  <sheetFormatPr baseColWidth="8" defaultRowHeight="15"/>
  <cols>
    <col width="18" customWidth="1" min="1" max="1"/>
    <col width="24" customWidth="1" min="2" max="2"/>
    <col width="10" customWidth="1" min="3" max="3"/>
    <col width="12" customWidth="1" min="4" max="4"/>
    <col width="14" customWidth="1" min="5" max="5"/>
    <col width="10" customWidth="1" min="6" max="6"/>
    <col width="12" customWidth="1" min="7" max="7"/>
    <col width="24" customWidth="1" min="8" max="8"/>
  </cols>
  <sheetData>
    <row r="1" ht="40" customHeight="1">
      <c r="A1" s="1" t="inlineStr">
        <is>
          <t>🍽️ WEEKLY MEAL PLANNER &amp; GROCERY LIST</t>
        </is>
      </c>
    </row>
    <row r="2" ht="28" customHeight="1">
      <c r="A2" s="2" t="inlineStr">
        <is>
          <t>Plan meals for the week and auto-calculate your grocery budget!</t>
        </is>
      </c>
    </row>
    <row r="4">
      <c r="A4" s="3" t="inlineStr"/>
      <c r="B4" s="3" t="inlineStr">
        <is>
          <t>Monday</t>
        </is>
      </c>
      <c r="C4" s="3" t="inlineStr">
        <is>
          <t>Tuesday</t>
        </is>
      </c>
      <c r="D4" s="3" t="inlineStr">
        <is>
          <t>Wednesday</t>
        </is>
      </c>
      <c r="E4" s="3" t="inlineStr">
        <is>
          <t>Thursday</t>
        </is>
      </c>
      <c r="F4" s="3" t="inlineStr">
        <is>
          <t>Friday</t>
        </is>
      </c>
      <c r="G4" s="3" t="inlineStr">
        <is>
          <t>Saturday</t>
        </is>
      </c>
      <c r="H4" s="3" t="inlineStr">
        <is>
          <t>Sunday</t>
        </is>
      </c>
    </row>
    <row r="5">
      <c r="A5" s="4" t="inlineStr">
        <is>
          <t>Breakfast</t>
        </is>
      </c>
      <c r="B5" s="4" t="inlineStr">
        <is>
          <t>Oatmeal &amp; Fruit</t>
        </is>
      </c>
      <c r="C5" s="4" t="inlineStr">
        <is>
          <t>Eggs &amp; Toast</t>
        </is>
      </c>
      <c r="D5" s="4" t="inlineStr">
        <is>
          <t>Smoothie Bowl</t>
        </is>
      </c>
      <c r="E5" s="4" t="inlineStr">
        <is>
          <t>Pancakes</t>
        </is>
      </c>
      <c r="F5" s="4" t="inlineStr">
        <is>
          <t>Yogurt Parfait</t>
        </is>
      </c>
      <c r="G5" s="4" t="inlineStr">
        <is>
          <t>Avocado Toast</t>
        </is>
      </c>
      <c r="H5" s="4" t="inlineStr">
        <is>
          <t>French Toast</t>
        </is>
      </c>
    </row>
    <row r="6">
      <c r="A6" s="5" t="inlineStr">
        <is>
          <t>Snack AM</t>
        </is>
      </c>
      <c r="B6" s="5" t="inlineStr">
        <is>
          <t>Apple &amp; PB</t>
        </is>
      </c>
      <c r="C6" s="5" t="inlineStr">
        <is>
          <t>Trail Mix</t>
        </is>
      </c>
      <c r="D6" s="5" t="inlineStr">
        <is>
          <t>Cheese Stick</t>
        </is>
      </c>
      <c r="E6" s="5" t="inlineStr">
        <is>
          <t>Granola Bar</t>
        </is>
      </c>
      <c r="F6" s="5" t="inlineStr">
        <is>
          <t>Banana</t>
        </is>
      </c>
      <c r="G6" s="5" t="inlineStr">
        <is>
          <t>Veggies &amp; Hummus</t>
        </is>
      </c>
      <c r="H6" s="5" t="inlineStr">
        <is>
          <t>Muffin</t>
        </is>
      </c>
    </row>
    <row r="7">
      <c r="A7" s="4" t="inlineStr">
        <is>
          <t>Lunch</t>
        </is>
      </c>
      <c r="B7" s="4" t="inlineStr">
        <is>
          <t>Chicken Salad</t>
        </is>
      </c>
      <c r="C7" s="4" t="inlineStr">
        <is>
          <t>Turkey Wrap</t>
        </is>
      </c>
      <c r="D7" s="4" t="inlineStr">
        <is>
          <t>Soup &amp; Bread</t>
        </is>
      </c>
      <c r="E7" s="4" t="inlineStr">
        <is>
          <t>Grain Bowl</t>
        </is>
      </c>
      <c r="F7" s="4" t="inlineStr">
        <is>
          <t>Leftover Stir Fry</t>
        </is>
      </c>
      <c r="G7" s="4" t="inlineStr">
        <is>
          <t>BLT Sandwich</t>
        </is>
      </c>
      <c r="H7" s="4" t="inlineStr">
        <is>
          <t>Pizza Bagels</t>
        </is>
      </c>
    </row>
    <row r="8">
      <c r="A8" s="5" t="inlineStr">
        <is>
          <t>Snack PM</t>
        </is>
      </c>
      <c r="B8" s="5" t="inlineStr">
        <is>
          <t>Crackers &amp; Cheese</t>
        </is>
      </c>
      <c r="C8" s="5" t="inlineStr">
        <is>
          <t>Fruit Cup</t>
        </is>
      </c>
      <c r="D8" s="5" t="inlineStr">
        <is>
          <t>Popcorn</t>
        </is>
      </c>
      <c r="E8" s="5" t="inlineStr">
        <is>
          <t>Smoothie</t>
        </is>
      </c>
      <c r="F8" s="5" t="inlineStr">
        <is>
          <t>Rice Cakes</t>
        </is>
      </c>
      <c r="G8" s="5" t="inlineStr">
        <is>
          <t>Energy Balls</t>
        </is>
      </c>
      <c r="H8" s="5" t="inlineStr">
        <is>
          <t>Veggies</t>
        </is>
      </c>
    </row>
    <row r="9">
      <c r="A9" s="4" t="inlineStr">
        <is>
          <t>Dinner</t>
        </is>
      </c>
      <c r="B9" s="4" t="inlineStr">
        <is>
          <t>Grilled Salmon</t>
        </is>
      </c>
      <c r="C9" s="4" t="inlineStr">
        <is>
          <t>Pasta Bolognese</t>
        </is>
      </c>
      <c r="D9" s="4" t="inlineStr">
        <is>
          <t>Chicken Stir Fry</t>
        </is>
      </c>
      <c r="E9" s="4" t="inlineStr">
        <is>
          <t>Taco Night</t>
        </is>
      </c>
      <c r="F9" s="4" t="inlineStr">
        <is>
          <t>Sheet Pan Chicken</t>
        </is>
      </c>
      <c r="G9" s="4" t="inlineStr">
        <is>
          <t>Homemade Pizza</t>
        </is>
      </c>
      <c r="H9" s="4" t="inlineStr">
        <is>
          <t>Pot Roast</t>
        </is>
      </c>
    </row>
    <row r="10">
      <c r="A10" s="5" t="inlineStr">
        <is>
          <t>Dessert</t>
        </is>
      </c>
      <c r="B10" s="5" t="inlineStr">
        <is>
          <t>Fruit Salad</t>
        </is>
      </c>
      <c r="C10" s="5" t="inlineStr"/>
      <c r="D10" s="5" t="inlineStr">
        <is>
          <t>Brownies</t>
        </is>
      </c>
      <c r="E10" s="5" t="inlineStr"/>
      <c r="F10" s="5" t="inlineStr">
        <is>
          <t>Ice Cream</t>
        </is>
      </c>
      <c r="G10" s="5" t="inlineStr">
        <is>
          <t>Cookies</t>
        </is>
      </c>
      <c r="H10" s="5" t="inlineStr">
        <is>
          <t>Apple Crisp</t>
        </is>
      </c>
    </row>
    <row r="13">
      <c r="A13" s="21" t="inlineStr">
        <is>
          <t>📝 GROCERY LIST</t>
        </is>
      </c>
    </row>
    <row r="14">
      <c r="A14" s="3" t="inlineStr">
        <is>
          <t>Category</t>
        </is>
      </c>
      <c r="B14" s="3" t="inlineStr">
        <is>
          <t>Item</t>
        </is>
      </c>
      <c r="C14" s="3" t="inlineStr">
        <is>
          <t>Quantity</t>
        </is>
      </c>
      <c r="D14" s="3" t="inlineStr">
        <is>
          <t>Unit</t>
        </is>
      </c>
      <c r="E14" s="3" t="inlineStr">
        <is>
          <t>Est. Price</t>
        </is>
      </c>
      <c r="F14" s="3" t="inlineStr">
        <is>
          <t>Got It?</t>
        </is>
      </c>
      <c r="G14" s="3" t="inlineStr">
        <is>
          <t>Store</t>
        </is>
      </c>
      <c r="H14" s="3" t="inlineStr">
        <is>
          <t>Notes</t>
        </is>
      </c>
    </row>
    <row r="15">
      <c r="A15" s="4" t="inlineStr">
        <is>
          <t>Produce</t>
        </is>
      </c>
      <c r="B15" s="4" t="inlineStr">
        <is>
          <t>Bananas</t>
        </is>
      </c>
      <c r="C15" s="4" t="n">
        <v>1</v>
      </c>
      <c r="D15" s="4" t="inlineStr">
        <is>
          <t>bunch</t>
        </is>
      </c>
      <c r="E15" s="11" t="n">
        <v>1.29</v>
      </c>
      <c r="F15" s="4" t="inlineStr">
        <is>
          <t>✓</t>
        </is>
      </c>
      <c r="G15" s="4" t="inlineStr">
        <is>
          <t>Grocery</t>
        </is>
      </c>
      <c r="H15" s="4" t="inlineStr">
        <is>
          <t>Organic</t>
        </is>
      </c>
    </row>
    <row r="16">
      <c r="A16" s="5" t="inlineStr">
        <is>
          <t>Produce</t>
        </is>
      </c>
      <c r="B16" s="5" t="inlineStr">
        <is>
          <t>Baby Spinach</t>
        </is>
      </c>
      <c r="C16" s="5" t="n">
        <v>1</v>
      </c>
      <c r="D16" s="5" t="inlineStr">
        <is>
          <t>bag</t>
        </is>
      </c>
      <c r="E16" s="12" t="n">
        <v>3.49</v>
      </c>
      <c r="F16" s="5" t="inlineStr">
        <is>
          <t>✓</t>
        </is>
      </c>
      <c r="G16" s="5" t="inlineStr">
        <is>
          <t>Grocery</t>
        </is>
      </c>
      <c r="H16" s="5" t="inlineStr">
        <is>
          <t>For smoothies &amp; salads</t>
        </is>
      </c>
    </row>
    <row r="17">
      <c r="A17" s="4" t="inlineStr">
        <is>
          <t>Produce</t>
        </is>
      </c>
      <c r="B17" s="4" t="inlineStr">
        <is>
          <t>Avocados</t>
        </is>
      </c>
      <c r="C17" s="4" t="n">
        <v>4</v>
      </c>
      <c r="D17" s="4" t="inlineStr">
        <is>
          <t>each</t>
        </is>
      </c>
      <c r="E17" s="11" t="n">
        <v>4</v>
      </c>
      <c r="F17" s="4" t="inlineStr"/>
      <c r="G17" s="4" t="inlineStr">
        <is>
          <t>Grocery</t>
        </is>
      </c>
      <c r="H17" s="4" t="inlineStr">
        <is>
          <t>Ripe</t>
        </is>
      </c>
    </row>
    <row r="18">
      <c r="A18" s="5" t="inlineStr">
        <is>
          <t>Produce</t>
        </is>
      </c>
      <c r="B18" s="5" t="inlineStr">
        <is>
          <t>Tomatoes</t>
        </is>
      </c>
      <c r="C18" s="5" t="n">
        <v>1</v>
      </c>
      <c r="D18" s="5" t="inlineStr">
        <is>
          <t>lb</t>
        </is>
      </c>
      <c r="E18" s="12" t="n">
        <v>2.99</v>
      </c>
      <c r="F18" s="5" t="inlineStr"/>
      <c r="G18" s="5" t="inlineStr">
        <is>
          <t>Grocery</t>
        </is>
      </c>
      <c r="H18" s="5" t="inlineStr"/>
    </row>
    <row r="19">
      <c r="A19" s="4" t="inlineStr">
        <is>
          <t>Produce</t>
        </is>
      </c>
      <c r="B19" s="4" t="inlineStr">
        <is>
          <t>Onions</t>
        </is>
      </c>
      <c r="C19" s="4" t="n">
        <v>1</v>
      </c>
      <c r="D19" s="4" t="inlineStr">
        <is>
          <t>bag</t>
        </is>
      </c>
      <c r="E19" s="11" t="n">
        <v>3.49</v>
      </c>
      <c r="F19" s="4" t="inlineStr">
        <is>
          <t>✓</t>
        </is>
      </c>
      <c r="G19" s="4" t="inlineStr">
        <is>
          <t>Grocery</t>
        </is>
      </c>
      <c r="H19" s="4" t="inlineStr">
        <is>
          <t>Yellow</t>
        </is>
      </c>
    </row>
    <row r="20">
      <c r="A20" s="5" t="inlineStr">
        <is>
          <t>Produce</t>
        </is>
      </c>
      <c r="B20" s="5" t="inlineStr">
        <is>
          <t>Lemons</t>
        </is>
      </c>
      <c r="C20" s="5" t="n">
        <v>4</v>
      </c>
      <c r="D20" s="5" t="inlineStr">
        <is>
          <t>each</t>
        </is>
      </c>
      <c r="E20" s="12" t="n">
        <v>2</v>
      </c>
      <c r="F20" s="5" t="inlineStr"/>
      <c r="G20" s="5" t="inlineStr">
        <is>
          <t>Grocery</t>
        </is>
      </c>
      <c r="H20" s="5" t="inlineStr"/>
    </row>
    <row r="21">
      <c r="A21" s="4" t="inlineStr">
        <is>
          <t>Produce</t>
        </is>
      </c>
      <c r="B21" s="4" t="inlineStr">
        <is>
          <t>Apples</t>
        </is>
      </c>
      <c r="C21" s="4" t="n">
        <v>1</v>
      </c>
      <c r="D21" s="4" t="inlineStr">
        <is>
          <t>bag</t>
        </is>
      </c>
      <c r="E21" s="11" t="n">
        <v>4.99</v>
      </c>
      <c r="F21" s="4" t="inlineStr"/>
      <c r="G21" s="4" t="inlineStr">
        <is>
          <t>Grocery</t>
        </is>
      </c>
      <c r="H21" s="4" t="inlineStr">
        <is>
          <t>Honeycrisp</t>
        </is>
      </c>
    </row>
    <row r="22">
      <c r="A22" s="5" t="inlineStr">
        <is>
          <t>Produce</t>
        </is>
      </c>
      <c r="B22" s="5" t="inlineStr">
        <is>
          <t>Bell Peppers</t>
        </is>
      </c>
      <c r="C22" s="5" t="n">
        <v>3</v>
      </c>
      <c r="D22" s="5" t="inlineStr">
        <is>
          <t>each</t>
        </is>
      </c>
      <c r="E22" s="12" t="n">
        <v>3</v>
      </c>
      <c r="F22" s="5" t="inlineStr"/>
      <c r="G22" s="5" t="inlineStr">
        <is>
          <t>Grocery</t>
        </is>
      </c>
      <c r="H22" s="5" t="inlineStr">
        <is>
          <t>Mixed colors</t>
        </is>
      </c>
    </row>
    <row r="23">
      <c r="A23" s="4" t="inlineStr">
        <is>
          <t>Dairy &amp; Eggs</t>
        </is>
      </c>
      <c r="B23" s="4" t="inlineStr">
        <is>
          <t>Eggs (large)</t>
        </is>
      </c>
      <c r="C23" s="4" t="n">
        <v>1</v>
      </c>
      <c r="D23" s="4" t="inlineStr">
        <is>
          <t>dozen</t>
        </is>
      </c>
      <c r="E23" s="11" t="n">
        <v>3.99</v>
      </c>
      <c r="F23" s="4" t="inlineStr">
        <is>
          <t>✓</t>
        </is>
      </c>
      <c r="G23" s="4" t="inlineStr">
        <is>
          <t>Grocery</t>
        </is>
      </c>
      <c r="H23" s="4" t="inlineStr">
        <is>
          <t>Free range</t>
        </is>
      </c>
    </row>
    <row r="24">
      <c r="A24" s="5" t="inlineStr">
        <is>
          <t>Dairy &amp; Eggs</t>
        </is>
      </c>
      <c r="B24" s="5" t="inlineStr">
        <is>
          <t>Whole Milk</t>
        </is>
      </c>
      <c r="C24" s="5" t="n">
        <v>1</v>
      </c>
      <c r="D24" s="5" t="inlineStr">
        <is>
          <t>gallon</t>
        </is>
      </c>
      <c r="E24" s="12" t="n">
        <v>4.29</v>
      </c>
      <c r="F24" s="5" t="inlineStr">
        <is>
          <t>✓</t>
        </is>
      </c>
      <c r="G24" s="5" t="inlineStr">
        <is>
          <t>Grocery</t>
        </is>
      </c>
      <c r="H24" s="5" t="inlineStr">
        <is>
          <t>Organic</t>
        </is>
      </c>
    </row>
    <row r="25">
      <c r="A25" s="4" t="inlineStr">
        <is>
          <t>Dairy &amp; Eggs</t>
        </is>
      </c>
      <c r="B25" s="4" t="inlineStr">
        <is>
          <t>Greek Yogurt</t>
        </is>
      </c>
      <c r="C25" s="4" t="n">
        <v>1</v>
      </c>
      <c r="D25" s="4" t="inlineStr">
        <is>
          <t>container</t>
        </is>
      </c>
      <c r="E25" s="11" t="n">
        <v>5.49</v>
      </c>
      <c r="F25" s="4" t="inlineStr"/>
      <c r="G25" s="4" t="inlineStr">
        <is>
          <t>Grocery</t>
        </is>
      </c>
      <c r="H25" s="4" t="inlineStr">
        <is>
          <t>Plain</t>
        </is>
      </c>
    </row>
    <row r="26">
      <c r="A26" s="5" t="inlineStr">
        <is>
          <t>Dairy &amp; Eggs</t>
        </is>
      </c>
      <c r="B26" s="5" t="inlineStr">
        <is>
          <t>Shredded Cheese</t>
        </is>
      </c>
      <c r="C26" s="5" t="n">
        <v>1</v>
      </c>
      <c r="D26" s="5" t="inlineStr">
        <is>
          <t>bag</t>
        </is>
      </c>
      <c r="E26" s="12" t="n">
        <v>3.99</v>
      </c>
      <c r="F26" s="5" t="inlineStr"/>
      <c r="G26" s="5" t="inlineStr">
        <is>
          <t>Grocery</t>
        </is>
      </c>
      <c r="H26" s="5" t="inlineStr">
        <is>
          <t>Mexican blend</t>
        </is>
      </c>
    </row>
    <row r="27">
      <c r="A27" s="4" t="inlineStr">
        <is>
          <t>Dairy &amp; Eggs</t>
        </is>
      </c>
      <c r="B27" s="4" t="inlineStr">
        <is>
          <t>Butter</t>
        </is>
      </c>
      <c r="C27" s="4" t="n">
        <v>1</v>
      </c>
      <c r="D27" s="4" t="inlineStr">
        <is>
          <t>box</t>
        </is>
      </c>
      <c r="E27" s="11" t="n">
        <v>4.99</v>
      </c>
      <c r="F27" s="4" t="inlineStr">
        <is>
          <t>✓</t>
        </is>
      </c>
      <c r="G27" s="4" t="inlineStr">
        <is>
          <t>Grocery</t>
        </is>
      </c>
      <c r="H27" s="4" t="inlineStr">
        <is>
          <t>Unsalted</t>
        </is>
      </c>
    </row>
    <row r="28">
      <c r="A28" s="5" t="inlineStr">
        <is>
          <t>Meat &amp; Seafood</t>
        </is>
      </c>
      <c r="B28" s="5" t="inlineStr">
        <is>
          <t>Chicken Breast</t>
        </is>
      </c>
      <c r="C28" s="5" t="n">
        <v>2</v>
      </c>
      <c r="D28" s="5" t="inlineStr">
        <is>
          <t>lb</t>
        </is>
      </c>
      <c r="E28" s="12" t="n">
        <v>9.98</v>
      </c>
      <c r="F28" s="5" t="inlineStr"/>
      <c r="G28" s="5" t="inlineStr">
        <is>
          <t>Grocery</t>
        </is>
      </c>
      <c r="H28" s="5" t="inlineStr">
        <is>
          <t>Boneless skinless</t>
        </is>
      </c>
    </row>
    <row r="29">
      <c r="A29" s="4" t="inlineStr">
        <is>
          <t>Meat &amp; Seafood</t>
        </is>
      </c>
      <c r="B29" s="4" t="inlineStr">
        <is>
          <t>Salmon Fillets</t>
        </is>
      </c>
      <c r="C29" s="4" t="n">
        <v>1</v>
      </c>
      <c r="D29" s="4" t="inlineStr">
        <is>
          <t>lb</t>
        </is>
      </c>
      <c r="E29" s="11" t="n">
        <v>12.99</v>
      </c>
      <c r="F29" s="4" t="inlineStr"/>
      <c r="G29" s="4" t="inlineStr">
        <is>
          <t>Grocery</t>
        </is>
      </c>
      <c r="H29" s="4" t="inlineStr">
        <is>
          <t>Wild caught</t>
        </is>
      </c>
    </row>
    <row r="30">
      <c r="A30" s="5" t="inlineStr">
        <is>
          <t>Meat &amp; Seafood</t>
        </is>
      </c>
      <c r="B30" s="5" t="inlineStr">
        <is>
          <t>Ground Beef</t>
        </is>
      </c>
      <c r="C30" s="5" t="n">
        <v>1</v>
      </c>
      <c r="D30" s="5" t="inlineStr">
        <is>
          <t>lb</t>
        </is>
      </c>
      <c r="E30" s="12" t="n">
        <v>6.99</v>
      </c>
      <c r="F30" s="5" t="inlineStr"/>
      <c r="G30" s="5" t="inlineStr">
        <is>
          <t>Grocery</t>
        </is>
      </c>
      <c r="H30" s="5" t="inlineStr">
        <is>
          <t>90% lean</t>
        </is>
      </c>
    </row>
    <row r="31">
      <c r="A31" s="4" t="inlineStr">
        <is>
          <t>Meat &amp; Seafood</t>
        </is>
      </c>
      <c r="B31" s="4" t="inlineStr">
        <is>
          <t>Turkey Deli Meat</t>
        </is>
      </c>
      <c r="C31" s="4" t="n">
        <v>1</v>
      </c>
      <c r="D31" s="4" t="inlineStr">
        <is>
          <t>pack</t>
        </is>
      </c>
      <c r="E31" s="11" t="n">
        <v>5.49</v>
      </c>
      <c r="F31" s="4" t="inlineStr"/>
      <c r="G31" s="4" t="inlineStr">
        <is>
          <t>Grocery</t>
        </is>
      </c>
      <c r="H31" s="4" t="inlineStr">
        <is>
          <t>Low sodium</t>
        </is>
      </c>
    </row>
    <row r="32">
      <c r="A32" s="5" t="inlineStr">
        <is>
          <t>Bakery</t>
        </is>
      </c>
      <c r="B32" s="5" t="inlineStr">
        <is>
          <t>Whole Wheat Bread</t>
        </is>
      </c>
      <c r="C32" s="5" t="n">
        <v>1</v>
      </c>
      <c r="D32" s="5" t="inlineStr">
        <is>
          <t>each</t>
        </is>
      </c>
      <c r="E32" s="12" t="n">
        <v>3.99</v>
      </c>
      <c r="F32" s="5" t="inlineStr">
        <is>
          <t>✓</t>
        </is>
      </c>
      <c r="G32" s="5" t="inlineStr">
        <is>
          <t>Grocery</t>
        </is>
      </c>
      <c r="H32" s="5" t="inlineStr"/>
    </row>
    <row r="33">
      <c r="A33" s="4" t="inlineStr">
        <is>
          <t>Bakery</t>
        </is>
      </c>
      <c r="B33" s="4" t="inlineStr">
        <is>
          <t>Tortillas</t>
        </is>
      </c>
      <c r="C33" s="4" t="n">
        <v>1</v>
      </c>
      <c r="D33" s="4" t="inlineStr">
        <is>
          <t>pack</t>
        </is>
      </c>
      <c r="E33" s="11" t="n">
        <v>3.49</v>
      </c>
      <c r="F33" s="4" t="inlineStr"/>
      <c r="G33" s="4" t="inlineStr">
        <is>
          <t>Grocery</t>
        </is>
      </c>
      <c r="H33" s="4" t="inlineStr">
        <is>
          <t>Flour, large</t>
        </is>
      </c>
    </row>
    <row r="34">
      <c r="A34" s="5" t="inlineStr">
        <is>
          <t>Bakery</t>
        </is>
      </c>
      <c r="B34" s="5" t="inlineStr">
        <is>
          <t>Pizza Dough</t>
        </is>
      </c>
      <c r="C34" s="5" t="n">
        <v>1</v>
      </c>
      <c r="D34" s="5" t="inlineStr">
        <is>
          <t>each</t>
        </is>
      </c>
      <c r="E34" s="12" t="n">
        <v>2.99</v>
      </c>
      <c r="F34" s="5" t="inlineStr"/>
      <c r="G34" s="5" t="inlineStr">
        <is>
          <t>Grocery</t>
        </is>
      </c>
      <c r="H34" s="5" t="inlineStr">
        <is>
          <t>From bakery</t>
        </is>
      </c>
    </row>
    <row r="35">
      <c r="A35" s="4" t="inlineStr">
        <is>
          <t>Pantry</t>
        </is>
      </c>
      <c r="B35" s="4" t="inlineStr">
        <is>
          <t>Pasta (Penne)</t>
        </is>
      </c>
      <c r="C35" s="4" t="n">
        <v>1</v>
      </c>
      <c r="D35" s="4" t="inlineStr">
        <is>
          <t>box</t>
        </is>
      </c>
      <c r="E35" s="11" t="n">
        <v>1.79</v>
      </c>
      <c r="F35" s="4" t="inlineStr">
        <is>
          <t>✓</t>
        </is>
      </c>
      <c r="G35" s="4" t="inlineStr">
        <is>
          <t>Grocery</t>
        </is>
      </c>
      <c r="H35" s="4" t="inlineStr"/>
    </row>
    <row r="36">
      <c r="A36" s="5" t="inlineStr">
        <is>
          <t>Pantry</t>
        </is>
      </c>
      <c r="B36" s="5" t="inlineStr">
        <is>
          <t>Marinara Sauce</t>
        </is>
      </c>
      <c r="C36" s="5" t="n">
        <v>1</v>
      </c>
      <c r="D36" s="5" t="inlineStr">
        <is>
          <t>bottle</t>
        </is>
      </c>
      <c r="E36" s="12" t="n">
        <v>3.49</v>
      </c>
      <c r="F36" s="5" t="inlineStr"/>
      <c r="G36" s="5" t="inlineStr">
        <is>
          <t>Grocery</t>
        </is>
      </c>
      <c r="H36" s="5" t="inlineStr"/>
    </row>
    <row r="37">
      <c r="A37" s="4" t="inlineStr">
        <is>
          <t>Pantry</t>
        </is>
      </c>
      <c r="B37" s="4" t="inlineStr">
        <is>
          <t>Rice (Jasmine)</t>
        </is>
      </c>
      <c r="C37" s="4" t="n">
        <v>1</v>
      </c>
      <c r="D37" s="4" t="inlineStr">
        <is>
          <t>bag</t>
        </is>
      </c>
      <c r="E37" s="11" t="n">
        <v>4.99</v>
      </c>
      <c r="F37" s="4" t="inlineStr"/>
      <c r="G37" s="4" t="inlineStr">
        <is>
          <t>Grocery</t>
        </is>
      </c>
      <c r="H37" s="4" t="inlineStr"/>
    </row>
    <row r="38">
      <c r="A38" s="5" t="inlineStr">
        <is>
          <t>Pantry</t>
        </is>
      </c>
      <c r="B38" s="5" t="inlineStr">
        <is>
          <t>Olive Oil</t>
        </is>
      </c>
      <c r="C38" s="5" t="n">
        <v>1</v>
      </c>
      <c r="D38" s="5" t="inlineStr">
        <is>
          <t>bottle</t>
        </is>
      </c>
      <c r="E38" s="12" t="n">
        <v>8.99</v>
      </c>
      <c r="F38" s="5" t="inlineStr"/>
      <c r="G38" s="5" t="inlineStr">
        <is>
          <t>Grocery</t>
        </is>
      </c>
      <c r="H38" s="5" t="inlineStr">
        <is>
          <t>Extra virgin</t>
        </is>
      </c>
    </row>
    <row r="39">
      <c r="A39" s="4" t="inlineStr">
        <is>
          <t>Pantry</t>
        </is>
      </c>
      <c r="B39" s="4" t="inlineStr">
        <is>
          <t>Oatmeal</t>
        </is>
      </c>
      <c r="C39" s="4" t="n">
        <v>1</v>
      </c>
      <c r="D39" s="4" t="inlineStr">
        <is>
          <t>container</t>
        </is>
      </c>
      <c r="E39" s="11" t="n">
        <v>4.49</v>
      </c>
      <c r="F39" s="4" t="inlineStr"/>
      <c r="G39" s="4" t="inlineStr">
        <is>
          <t>Grocery</t>
        </is>
      </c>
      <c r="H39" s="4" t="inlineStr">
        <is>
          <t>Rolled oats</t>
        </is>
      </c>
    </row>
    <row r="40">
      <c r="A40" s="5" t="inlineStr">
        <is>
          <t>Frozen</t>
        </is>
      </c>
      <c r="B40" s="5" t="inlineStr">
        <is>
          <t>Frozen Fruit Mix</t>
        </is>
      </c>
      <c r="C40" s="5" t="n">
        <v>1</v>
      </c>
      <c r="D40" s="5" t="inlineStr">
        <is>
          <t>bag</t>
        </is>
      </c>
      <c r="E40" s="12" t="n">
        <v>4.99</v>
      </c>
      <c r="F40" s="5" t="inlineStr"/>
      <c r="G40" s="5" t="inlineStr">
        <is>
          <t>Grocery</t>
        </is>
      </c>
      <c r="H40" s="5" t="inlineStr">
        <is>
          <t>For smoothies</t>
        </is>
      </c>
    </row>
    <row r="41">
      <c r="A41" s="4" t="inlineStr">
        <is>
          <t>Frozen</t>
        </is>
      </c>
      <c r="B41" s="4" t="inlineStr">
        <is>
          <t>Ice Cream</t>
        </is>
      </c>
      <c r="C41" s="4" t="n">
        <v>1</v>
      </c>
      <c r="D41" s="4" t="inlineStr">
        <is>
          <t>container</t>
        </is>
      </c>
      <c r="E41" s="11" t="n">
        <v>5.99</v>
      </c>
      <c r="F41" s="4" t="inlineStr"/>
      <c r="G41" s="4" t="inlineStr">
        <is>
          <t>Grocery</t>
        </is>
      </c>
      <c r="H41" s="4" t="inlineStr">
        <is>
          <t>Vanilla</t>
        </is>
      </c>
    </row>
    <row r="42">
      <c r="A42" s="5" t="inlineStr">
        <is>
          <t>Beverages</t>
        </is>
      </c>
      <c r="B42" s="5" t="inlineStr">
        <is>
          <t>Coffee Beans</t>
        </is>
      </c>
      <c r="C42" s="5" t="n">
        <v>1</v>
      </c>
      <c r="D42" s="5" t="inlineStr">
        <is>
          <t>bag</t>
        </is>
      </c>
      <c r="E42" s="12" t="n">
        <v>12.99</v>
      </c>
      <c r="F42" s="5" t="inlineStr"/>
      <c r="G42" s="5" t="inlineStr">
        <is>
          <t>Grocery</t>
        </is>
      </c>
      <c r="H42" s="5" t="inlineStr">
        <is>
          <t>Medium roast</t>
        </is>
      </c>
    </row>
    <row r="43">
      <c r="A43" s="4" t="inlineStr">
        <is>
          <t>Household</t>
        </is>
      </c>
      <c r="B43" s="4" t="inlineStr">
        <is>
          <t>Paper Towels</t>
        </is>
      </c>
      <c r="C43" s="4" t="n">
        <v>1</v>
      </c>
      <c r="D43" s="4" t="inlineStr">
        <is>
          <t>pack</t>
        </is>
      </c>
      <c r="E43" s="11" t="n">
        <v>8.99</v>
      </c>
      <c r="F43" s="4" t="inlineStr"/>
      <c r="G43" s="4" t="inlineStr">
        <is>
          <t>Grocery</t>
        </is>
      </c>
      <c r="H43" s="4" t="inlineStr"/>
    </row>
    <row r="44">
      <c r="A44" s="5" t="inlineStr">
        <is>
          <t>Household</t>
        </is>
      </c>
      <c r="B44" s="5" t="inlineStr">
        <is>
          <t>Dish Soap</t>
        </is>
      </c>
      <c r="C44" s="5" t="n">
        <v>1</v>
      </c>
      <c r="D44" s="5" t="inlineStr">
        <is>
          <t>bottle</t>
        </is>
      </c>
      <c r="E44" s="12" t="n">
        <v>3.49</v>
      </c>
      <c r="F44" s="5" t="inlineStr"/>
      <c r="G44" s="5" t="inlineStr">
        <is>
          <t>Grocery</t>
        </is>
      </c>
      <c r="H44" s="5" t="inlineStr"/>
    </row>
    <row r="46">
      <c r="A46" s="15" t="inlineStr">
        <is>
          <t>ESTIMATED GROCERY TOTAL</t>
        </is>
      </c>
      <c r="B46" s="9" t="n"/>
      <c r="C46" s="9" t="n"/>
      <c r="D46" s="9" t="n"/>
      <c r="E46" s="22">
        <f>SUM(E15:E44)</f>
        <v/>
      </c>
      <c r="F46" s="9" t="n"/>
      <c r="G46" s="9" t="n"/>
      <c r="H46" s="9" t="n"/>
    </row>
  </sheetData>
  <mergeCells count="4">
    <mergeCell ref="A13:H13"/>
    <mergeCell ref="A2:H2"/>
    <mergeCell ref="A46:D46"/>
    <mergeCell ref="A1:H1"/>
  </mergeCells>
  <dataValidations count="3">
    <dataValidation sqref="A15 A16 A17 A18 A19 A20 A21 A22 A23 A24 A25 A26 A27 A28 A29 A30 A31 A32 A33 A34 A35 A36 A37 A38 A39 A40 A41 A42 A43 A44" showDropDown="0" showInputMessage="0" showErrorMessage="0" allowBlank="1" type="list">
      <formula1>"Produce,Dairy &amp; Eggs,Meat &amp; Seafood,Bakery,Pantry,Frozen,Beverages,Snacks,Household,Personal Care"</formula1>
    </dataValidation>
    <dataValidation sqref="D15 D16 D17 D18 D19 D20 D21 D22 D23 D24 D25 D26 D27 D28 D29 D30 D31 D32 D33 D34 D35 D36 D37 D38 D39 D40 D41 D42 D43 D44" showDropDown="0" showInputMessage="0" showErrorMessage="0" allowBlank="1" type="list">
      <formula1>"each,lb,oz,bunch,bag,box,pack,can,bottle,gallon,dozen,container"</formula1>
    </dataValidation>
    <dataValidation sqref="F15 F16 F17 F18 F19 F20 F21 F22 F23 F24 F25 F26 F27 F28 F29 F30 F31 F32 F33 F34 F35 F36 F37 F38 F39 F40 F41 F42 F43 F44"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tabColor rgb="00FEB2B2"/>
    <outlinePr summaryBelow="1" summaryRight="1"/>
    <pageSetUpPr/>
  </sheetPr>
  <dimension ref="A1:H74"/>
  <sheetViews>
    <sheetView workbookViewId="0">
      <selection activeCell="A1" sqref="A1"/>
    </sheetView>
  </sheetViews>
  <sheetFormatPr baseColWidth="8" defaultRowHeight="15"/>
  <cols>
    <col width="100" customWidth="1" min="1" max="1"/>
  </cols>
  <sheetData>
    <row r="1" ht="50" customHeight="1">
      <c r="A1" s="23" t="inlineStr">
        <is>
          <t>🏠 HOME ORGANIZATION &amp; CLEANING PLANNER 2026 — USER GUIDE</t>
        </is>
      </c>
    </row>
    <row r="4" ht="30" customHeight="1">
      <c r="A4" s="24" t="inlineStr">
        <is>
          <t>📋 GETTING STARTED</t>
        </is>
      </c>
    </row>
    <row r="5" ht="22" customHeight="1">
      <c r="A5" s="25" t="inlineStr">
        <is>
          <t>Welcome to your Home Organization &amp; Cleaning Planner! This spreadsheet is designed to help you manage every aspect of your home — from daily cleaning to long-term maintenance.</t>
        </is>
      </c>
    </row>
    <row r="7" ht="30" customHeight="1">
      <c r="A7" s="24" t="inlineStr">
        <is>
          <t>🧹 TAB 1: WEEKLY CLEANING SCHEDULE</t>
        </is>
      </c>
    </row>
    <row r="8" ht="22" customHeight="1">
      <c r="A8" s="25" t="inlineStr">
        <is>
          <t>• Each row = a room or area in your home (20 pre-loaded)</t>
        </is>
      </c>
    </row>
    <row r="9" ht="22" customHeight="1">
      <c r="A9" s="25" t="inlineStr">
        <is>
          <t>• Use the dropdown (✓) to check off daily tasks Mon-Sun</t>
        </is>
      </c>
    </row>
    <row r="10" ht="22" customHeight="1">
      <c r="A10" s="25" t="inlineStr">
        <is>
          <t>• The 'Weekly Deep Clean Task' column reminds you of bigger weekly jobs</t>
        </is>
      </c>
    </row>
    <row r="11" ht="22" customHeight="1">
      <c r="A11" s="25" t="inlineStr">
        <is>
          <t>• Set Priority (High/Medium/Low) to focus on what matters most</t>
        </is>
      </c>
    </row>
    <row r="12" ht="22" customHeight="1">
      <c r="A12" s="25" t="inlineStr">
        <is>
          <t>• TIP: Do a quick 15-min tidy each evening to stay ahead!</t>
        </is>
      </c>
    </row>
    <row r="14" ht="30" customHeight="1">
      <c r="A14" s="24" t="inlineStr">
        <is>
          <t>🧽 TAB 2: DEEP CLEANING CHECKLIST</t>
        </is>
      </c>
    </row>
    <row r="15" ht="22" customHeight="1">
      <c r="A15" s="25" t="inlineStr">
        <is>
          <t>• 60 pre-loaded deep cleaning tasks organized by room</t>
        </is>
      </c>
    </row>
    <row r="16" ht="22" customHeight="1">
      <c r="A16" s="25" t="inlineStr">
        <is>
          <t>• 'Next Due' auto-calculates based on frequency + last done date</t>
        </is>
      </c>
    </row>
    <row r="17" ht="22" customHeight="1">
      <c r="A17" s="25" t="inlineStr">
        <is>
          <t>• Use 'Assigned To' for family chore distribution</t>
        </is>
      </c>
    </row>
    <row r="18" ht="22" customHeight="1">
      <c r="A18" s="25" t="inlineStr">
        <is>
          <t>• Status: Done / Due / Overdue / Scheduled</t>
        </is>
      </c>
    </row>
    <row r="19" ht="22" customHeight="1">
      <c r="A19" s="25" t="inlineStr">
        <is>
          <t>• TIP: Tackle 2-3 deep cleaning tasks per week to stay on track</t>
        </is>
      </c>
    </row>
    <row r="21" ht="30" customHeight="1">
      <c r="A21" s="24" t="inlineStr">
        <is>
          <t>📦 TAB 3: DECLUTTER TRACKER</t>
        </is>
      </c>
    </row>
    <row r="22" ht="22" customHeight="1">
      <c r="A22" s="25" t="inlineStr">
        <is>
          <t>• Track Keep / Donate / Trash / Sell counts for each area</t>
        </is>
      </c>
    </row>
    <row r="23" ht="22" customHeight="1">
      <c r="A23" s="25" t="inlineStr">
        <is>
          <t>• Before &amp; After photos help motivate you — track if taken!</t>
        </is>
      </c>
    </row>
    <row r="24" ht="22" customHeight="1">
      <c r="A24" s="25" t="inlineStr">
        <is>
          <t>• Totals auto-calculate at the bottom</t>
        </is>
      </c>
    </row>
    <row r="25" ht="22" customHeight="1">
      <c r="A25" s="25" t="inlineStr">
        <is>
          <t>• TIP: Use the 'one in, one out' rule to maintain progress</t>
        </is>
      </c>
    </row>
    <row r="27" ht="30" customHeight="1">
      <c r="A27" s="24" t="inlineStr">
        <is>
          <t>🏡 TAB 4: HOME INVENTORY</t>
        </is>
      </c>
    </row>
    <row r="28" ht="22" customHeight="1">
      <c r="A28" s="25" t="inlineStr">
        <is>
          <t>• Essential for insurance claims! Document 100+ items</t>
        </is>
      </c>
    </row>
    <row r="29" ht="22" customHeight="1">
      <c r="A29" s="25" t="inlineStr">
        <is>
          <t>• Track purchase price, current value, serial numbers, warranties</t>
        </is>
      </c>
    </row>
    <row r="30" ht="22" customHeight="1">
      <c r="A30" s="25" t="inlineStr">
        <is>
          <t>• Total inventory value auto-calculates</t>
        </is>
      </c>
    </row>
    <row r="31" ht="22" customHeight="1">
      <c r="A31" s="25" t="inlineStr">
        <is>
          <t>• TIP: Take photos of receipts and serial numbers for each item</t>
        </is>
      </c>
    </row>
    <row r="33" ht="30" customHeight="1">
      <c r="A33" s="24" t="inlineStr">
        <is>
          <t>🔧 TAB 5: HOME MAINTENANCE</t>
        </is>
      </c>
    </row>
    <row r="34" ht="22" customHeight="1">
      <c r="A34" s="25" t="inlineStr">
        <is>
          <t>• 40 pre-loaded maintenance tasks with auto-calculated due dates</t>
        </is>
      </c>
    </row>
    <row r="35" ht="22" customHeight="1">
      <c r="A35" s="25" t="inlineStr">
        <is>
          <t>• Track contractor info, costs, and whether professional help is needed</t>
        </is>
      </c>
    </row>
    <row r="36" ht="22" customHeight="1">
      <c r="A36" s="25" t="inlineStr">
        <is>
          <t>• Annual cost estimate at the bottom</t>
        </is>
      </c>
    </row>
    <row r="37" ht="22" customHeight="1">
      <c r="A37" s="25" t="inlineStr">
        <is>
          <t>• TIP: Set calendar reminders for seasonal tasks</t>
        </is>
      </c>
    </row>
    <row r="39" ht="30" customHeight="1">
      <c r="A39" s="24" t="inlineStr">
        <is>
          <t>💰 TAB 6: HOUSEHOLD BUDGET</t>
        </is>
      </c>
    </row>
    <row r="40" ht="22" customHeight="1">
      <c r="A40" s="25" t="inlineStr">
        <is>
          <t>• 20 common household expense categories</t>
        </is>
      </c>
    </row>
    <row r="41" ht="22" customHeight="1">
      <c r="A41" s="25" t="inlineStr">
        <is>
          <t>• Green = under budget, Red = over budget (auto-highlighted)</t>
        </is>
      </c>
    </row>
    <row r="42" ht="22" customHeight="1">
      <c r="A42" s="25" t="inlineStr">
        <is>
          <t>• Annual projection included</t>
        </is>
      </c>
    </row>
    <row r="43" ht="22" customHeight="1">
      <c r="A43" s="25" t="inlineStr">
        <is>
          <t>• TIP: Review weekly and adjust categories as needed</t>
        </is>
      </c>
    </row>
    <row r="45" ht="30" customHeight="1">
      <c r="A45" s="24" t="inlineStr">
        <is>
          <t>🍽️ TAB 7: MEAL PLANNING &amp; GROCERIES</t>
        </is>
      </c>
    </row>
    <row r="46" ht="22" customHeight="1">
      <c r="A46" s="25" t="inlineStr">
        <is>
          <t>• Weekly meal grid with all meals + snacks</t>
        </is>
      </c>
    </row>
    <row r="47" ht="22" customHeight="1">
      <c r="A47" s="25" t="inlineStr">
        <is>
          <t>• Grocery list with categories, quantities &amp; estimated costs</t>
        </is>
      </c>
    </row>
    <row r="48" ht="22" customHeight="1">
      <c r="A48" s="25" t="inlineStr">
        <is>
          <t>• Auto-total for grocery budget planning</t>
        </is>
      </c>
    </row>
    <row r="49" ht="22" customHeight="1">
      <c r="A49" s="25" t="inlineStr">
        <is>
          <t>• TIP: Plan meals around what's on sale + what you already have</t>
        </is>
      </c>
    </row>
    <row r="51" ht="30" customHeight="1">
      <c r="A51" s="24" t="inlineStr">
        <is>
          <t>💡 PRO CLEANING TIPS</t>
        </is>
      </c>
    </row>
    <row r="52" ht="22" customHeight="1">
      <c r="A52" s="25" t="inlineStr">
        <is>
          <t>1. Clean top to bottom, left to right in every room</t>
        </is>
      </c>
    </row>
    <row r="53" ht="22" customHeight="1">
      <c r="A53" s="25" t="inlineStr">
        <is>
          <t>2. Keep a cleaning caddy with essentials for quick access</t>
        </is>
      </c>
    </row>
    <row r="54" ht="22" customHeight="1">
      <c r="A54" s="25" t="inlineStr">
        <is>
          <t>3. The '2-minute rule': if it takes less than 2 minutes, do it now</t>
        </is>
      </c>
    </row>
    <row r="55" ht="22" customHeight="1">
      <c r="A55" s="25" t="inlineStr">
        <is>
          <t>4. Assign age-appropriate chores to all family members</t>
        </is>
      </c>
    </row>
    <row r="56" ht="22" customHeight="1">
      <c r="A56" s="25" t="inlineStr">
        <is>
          <t>5. Declutter before deep cleaning — less stuff = easier cleaning</t>
        </is>
      </c>
    </row>
    <row r="57" ht="22" customHeight="1">
      <c r="A57" s="25" t="inlineStr">
        <is>
          <t>6. Use baking soda + vinegar for natural cleaning solutions</t>
        </is>
      </c>
    </row>
    <row r="58" ht="22" customHeight="1">
      <c r="A58" s="25" t="inlineStr">
        <is>
          <t>7. Microfiber cloths are your best friend — wash &amp; reuse!</t>
        </is>
      </c>
    </row>
    <row r="59" ht="22" customHeight="1">
      <c r="A59" s="25" t="inlineStr">
        <is>
          <t>8. Clean your cleaning tools monthly (vacuum filters, mop heads)</t>
        </is>
      </c>
    </row>
    <row r="60" ht="22" customHeight="1">
      <c r="A60" s="25" t="inlineStr">
        <is>
          <t>9. Set a timer for 15 minutes — you'll be amazed what you can do</t>
        </is>
      </c>
    </row>
    <row r="61" ht="22" customHeight="1">
      <c r="A61" s="25" t="inlineStr">
        <is>
          <t>10. Celebrate your wins! A clean home = a peaceful mind 🎉</t>
        </is>
      </c>
    </row>
    <row r="63" ht="30" customHeight="1">
      <c r="A63" s="24" t="inlineStr">
        <is>
          <t>⚠️ IMPORTANT NOTES</t>
        </is>
      </c>
    </row>
    <row r="64" ht="22" customHeight="1">
      <c r="A64" s="25" t="inlineStr">
        <is>
          <t>• This is a DIGITAL DOWNLOAD — no physical product will be shipped</t>
        </is>
      </c>
    </row>
    <row r="65" ht="22" customHeight="1">
      <c r="A65" s="25" t="inlineStr">
        <is>
          <t>• Works in Excel, Google Sheets, and Numbers</t>
        </is>
      </c>
    </row>
    <row r="66" ht="22" customHeight="1">
      <c r="A66" s="25" t="inlineStr">
        <is>
          <t>• Customize everything! Add/remove rows, change categories</t>
        </is>
      </c>
    </row>
    <row r="67" ht="22" customHeight="1">
      <c r="A67" s="25" t="inlineStr">
        <is>
          <t>• Formulas are pre-built — just enter your data and watch the magic</t>
        </is>
      </c>
    </row>
    <row r="68" ht="22" customHeight="1">
      <c r="A68" s="25" t="inlineStr">
        <is>
          <t>• For best results: save a backup copy before making changes</t>
        </is>
      </c>
    </row>
    <row r="69" ht="22" customHeight="1">
      <c r="A69" s="25" t="inlineStr">
        <is>
          <t>• Print any tab for a physical reference (Letter or A4 size)</t>
        </is>
      </c>
    </row>
    <row r="71" ht="30" customHeight="1">
      <c r="A71" s="24" t="inlineStr">
        <is>
          <t>❤️ THANK YOU!</t>
        </is>
      </c>
    </row>
    <row r="72" ht="22" customHeight="1">
      <c r="A72" s="25" t="inlineStr">
        <is>
          <t>Thank you for purchasing the Home Organization &amp; Cleaning Planner 2026!</t>
        </is>
      </c>
    </row>
    <row r="73" ht="22" customHeight="1">
      <c r="A73" s="25" t="inlineStr">
        <is>
          <t>If you love it, please leave a ⭐⭐⭐⭐⭐ review — it helps so much!</t>
        </is>
      </c>
    </row>
    <row r="74" ht="22" customHeight="1">
      <c r="A74" s="25" t="inlineStr">
        <is>
          <t>Questions? Message us through Etsy — we're happy to help!</t>
        </is>
      </c>
    </row>
  </sheetData>
  <mergeCells count="62">
    <mergeCell ref="A9:H9"/>
    <mergeCell ref="A67:H67"/>
    <mergeCell ref="A48:H48"/>
    <mergeCell ref="A30:H30"/>
    <mergeCell ref="A39:H39"/>
    <mergeCell ref="A15:H15"/>
    <mergeCell ref="A59:H59"/>
    <mergeCell ref="A24:H24"/>
    <mergeCell ref="A73:H73"/>
    <mergeCell ref="A51:H51"/>
    <mergeCell ref="A64:H64"/>
    <mergeCell ref="A60:H60"/>
    <mergeCell ref="A36:H36"/>
    <mergeCell ref="A11:H11"/>
    <mergeCell ref="A49:H49"/>
    <mergeCell ref="A1:H1"/>
    <mergeCell ref="A45:H45"/>
    <mergeCell ref="A61:H61"/>
    <mergeCell ref="A69:H69"/>
    <mergeCell ref="A7:H7"/>
    <mergeCell ref="A25:H25"/>
    <mergeCell ref="A65:H65"/>
    <mergeCell ref="A16:H16"/>
    <mergeCell ref="A54:H54"/>
    <mergeCell ref="A41:H41"/>
    <mergeCell ref="A66:H66"/>
    <mergeCell ref="A37:H37"/>
    <mergeCell ref="A46:H46"/>
    <mergeCell ref="A27:H27"/>
    <mergeCell ref="A74:H74"/>
    <mergeCell ref="A12:H12"/>
    <mergeCell ref="A18:H18"/>
    <mergeCell ref="A56:H56"/>
    <mergeCell ref="A21:H21"/>
    <mergeCell ref="A55:H55"/>
    <mergeCell ref="A57:H57"/>
    <mergeCell ref="A71:H71"/>
    <mergeCell ref="A42:H42"/>
    <mergeCell ref="A33:H33"/>
    <mergeCell ref="A14:H14"/>
    <mergeCell ref="A47:H47"/>
    <mergeCell ref="A5:H5"/>
    <mergeCell ref="A23:H23"/>
    <mergeCell ref="A8:H8"/>
    <mergeCell ref="A22:H22"/>
    <mergeCell ref="A17:H17"/>
    <mergeCell ref="A40:H40"/>
    <mergeCell ref="A4:H4"/>
    <mergeCell ref="A53:H53"/>
    <mergeCell ref="A29:H29"/>
    <mergeCell ref="A35:H35"/>
    <mergeCell ref="A43:H43"/>
    <mergeCell ref="A63:H63"/>
    <mergeCell ref="A52:H52"/>
    <mergeCell ref="A10:H10"/>
    <mergeCell ref="A28:H28"/>
    <mergeCell ref="A72:H72"/>
    <mergeCell ref="A19:H19"/>
    <mergeCell ref="A68:H68"/>
    <mergeCell ref="A31:H31"/>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2026-02-09T03:04:48Z</dcterms:created>
  <dcterms:modified xsi:type="dcterms:W3CDTF">2026-02-09T03:04:48Z</dcterms:modified>
</cp:coreProperties>
</file>