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Wedding Dashboard" sheetId="2" state="visible" r:id="rId2"/>
    <sheet name="Budget Tracker" sheetId="3" state="visible" r:id="rId3"/>
    <sheet name="Guest List &amp; RSVPs" sheetId="4" state="visible" r:id="rId4"/>
    <sheet name="Vendor Tracker" sheetId="5" state="visible" r:id="rId5"/>
    <sheet name="Timeline &amp; Checklist" sheetId="6" state="visible" r:id="rId6"/>
    <sheet name="Seating Chart" sheetId="7" state="visible" r:id="rId7"/>
    <sheet name="Day-Of Timeline" sheetId="8" state="visible" r:id="rId8"/>
    <sheet name="Gift &amp; Thank You 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4A2040"/>
      <sz val="13"/>
    </font>
    <font>
      <name val="Calibri"/>
      <b val="1"/>
      <color rgb="00FFFFFF"/>
      <sz val="14"/>
    </font>
    <font>
      <name val="Calibri"/>
      <color rgb="004A2040"/>
      <sz val="11"/>
    </font>
    <font>
      <name val="Calibri"/>
      <b val="1"/>
      <color rgb="00FFFFFF"/>
      <sz val="13"/>
    </font>
    <font>
      <name val="Calibri"/>
      <color rgb="004A2040"/>
      <sz val="10"/>
    </font>
    <font>
      <name val="Calibri"/>
      <i val="1"/>
      <color rgb="00B76E79"/>
      <sz val="12"/>
    </font>
    <font>
      <name val="Calibri"/>
      <b val="1"/>
      <color rgb="00B76E79"/>
      <sz val="11"/>
    </font>
    <font>
      <name val="Calibri"/>
      <b val="1"/>
      <color rgb="004A2040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4A2040"/>
      <sz val="11"/>
    </font>
  </fonts>
  <fills count="10">
    <fill>
      <patternFill/>
    </fill>
    <fill>
      <patternFill patternType="gray125"/>
    </fill>
    <fill>
      <patternFill patternType="solid">
        <fgColor rgb="004A2040"/>
      </patternFill>
    </fill>
    <fill>
      <patternFill patternType="solid">
        <fgColor rgb="00F7E7CE"/>
      </patternFill>
    </fill>
    <fill>
      <patternFill patternType="solid">
        <fgColor rgb="009CAF88"/>
      </patternFill>
    </fill>
    <fill>
      <patternFill patternType="solid">
        <fgColor rgb="00FFFFFF"/>
      </patternFill>
    </fill>
    <fill>
      <patternFill patternType="solid">
        <fgColor rgb="00FFFFF0"/>
      </patternFill>
    </fill>
    <fill>
      <patternFill patternType="solid">
        <fgColor rgb="00B76E79"/>
      </patternFill>
    </fill>
    <fill>
      <patternFill patternType="solid">
        <fgColor rgb="00C5A55A"/>
      </patternFill>
    </fill>
    <fill>
      <patternFill patternType="solid">
        <fgColor rgb="00C9A9A6"/>
      </patternFill>
    </fill>
  </fills>
  <borders count="2">
    <border>
      <left/>
      <right/>
      <top/>
      <bottom/>
      <diagonal/>
    </border>
    <border>
      <left style="thin">
        <color rgb="00C9A9A6"/>
      </left>
      <right style="thin">
        <color rgb="00C9A9A6"/>
      </right>
      <top style="thin">
        <color rgb="00C9A9A6"/>
      </top>
      <bottom style="thin">
        <color rgb="00C9A9A6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8" fillId="6" borderId="1" applyAlignment="1" pivotButton="0" quotePrefix="0" xfId="0">
      <alignment horizontal="right" vertical="center" wrapText="1"/>
    </xf>
    <xf numFmtId="164" fontId="9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5" fontId="2" fillId="6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165" fontId="2" fillId="5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10" fillId="7" borderId="1" pivotButton="0" quotePrefix="0" xfId="0"/>
    <xf numFmtId="165" fontId="10" fillId="7" borderId="1" pivotButton="0" quotePrefix="0" xfId="0"/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9CAF88"/>
        </patternFill>
      </fill>
    </dxf>
    <dxf>
      <font>
        <b val="1"/>
        <color rgb="00FFFFFF"/>
      </font>
      <fill>
        <patternFill patternType="solid">
          <fgColor rgb="00C9A9A6"/>
        </patternFill>
      </fill>
    </dxf>
    <dxf>
      <font>
        <b val="1"/>
        <color rgb="004A2040"/>
      </font>
      <fill>
        <patternFill patternType="solid">
          <fgColor rgb="00C5A55A"/>
        </patternFill>
      </fill>
    </dxf>
    <dxf>
      <font>
        <b val="1"/>
        <color rgb="00FFFFFF"/>
      </font>
      <fill>
        <patternFill patternType="solid">
          <fgColor rgb="00D9534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Breakdown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E8C4C8"/>
              </a:solidFill>
              <a:ln>
                <a:prstDash val="solid"/>
              </a:ln>
            </spPr>
          </dPt>
          <dPt>
            <idx val="1"/>
            <spPr>
              <a:solidFill>
                <a:srgbClr val="B76E79"/>
              </a:solidFill>
              <a:ln>
                <a:prstDash val="solid"/>
              </a:ln>
            </spPr>
          </dPt>
          <dPt>
            <idx val="2"/>
            <spPr>
              <a:solidFill>
                <a:srgbClr val="F7E7CE"/>
              </a:solidFill>
              <a:ln>
                <a:prstDash val="solid"/>
              </a:ln>
            </spPr>
          </dPt>
          <dPt>
            <idx val="3"/>
            <spPr>
              <a:solidFill>
                <a:srgbClr val="9CAF88"/>
              </a:solidFill>
              <a:ln>
                <a:prstDash val="solid"/>
              </a:ln>
            </spPr>
          </dPt>
          <dPt>
            <idx val="4"/>
            <spPr>
              <a:solidFill>
                <a:srgbClr val="C9A9A6"/>
              </a:solidFill>
              <a:ln>
                <a:prstDash val="solid"/>
              </a:ln>
            </spPr>
          </dPt>
          <dPt>
            <idx val="5"/>
            <spPr>
              <a:solidFill>
                <a:srgbClr val="C5A55A"/>
              </a:solidFill>
              <a:ln>
                <a:prstDash val="solid"/>
              </a:ln>
            </spPr>
          </dPt>
          <dPt>
            <idx val="6"/>
            <spPr>
              <a:solidFill>
                <a:srgbClr val="4A2040"/>
              </a:solidFill>
              <a:ln>
                <a:prstDash val="solid"/>
              </a:ln>
            </spPr>
          </dPt>
          <dPt>
            <idx val="7"/>
            <spPr>
              <a:solidFill>
                <a:srgbClr val="D4A5A5"/>
              </a:solidFill>
              <a:ln>
                <a:prstDash val="solid"/>
              </a:ln>
            </spPr>
          </dPt>
          <dPt>
            <idx val="8"/>
            <spPr>
              <a:solidFill>
                <a:srgbClr val="8FB996"/>
              </a:solidFill>
              <a:ln>
                <a:prstDash val="solid"/>
              </a:ln>
            </spPr>
          </dPt>
          <dPt>
            <idx val="9"/>
            <spPr>
              <a:solidFill>
                <a:srgbClr val="E6D5C3"/>
              </a:solidFill>
              <a:ln>
                <a:prstDash val="solid"/>
              </a:ln>
            </spPr>
          </dPt>
          <dPt>
            <idx val="10"/>
            <spPr>
              <a:solidFill>
                <a:srgbClr val="7D5A5A"/>
              </a:solidFill>
              <a:ln>
                <a:prstDash val="solid"/>
              </a:ln>
            </spPr>
          </dPt>
          <dPt>
            <idx val="11"/>
            <spPr>
              <a:solidFill>
                <a:srgbClr val="A3C1AD"/>
              </a:solidFill>
              <a:ln>
                <a:prstDash val="solid"/>
              </a:ln>
            </spPr>
          </dPt>
          <dPt>
            <idx val="12"/>
            <spPr>
              <a:solidFill>
                <a:srgbClr val="C9B1D0"/>
              </a:solidFill>
              <a:ln>
                <a:prstDash val="solid"/>
              </a:ln>
            </spPr>
          </dPt>
          <dPt>
            <idx val="13"/>
            <spPr>
              <a:solidFill>
                <a:srgbClr val="F0C987"/>
              </a:solidFill>
              <a:ln>
                <a:prstDash val="solid"/>
              </a:ln>
            </spPr>
          </dPt>
          <dPt>
            <idx val="14"/>
            <spPr>
              <a:solidFill>
                <a:srgbClr val="B5838D"/>
              </a:solidFill>
              <a:ln>
                <a:prstDash val="solid"/>
              </a:ln>
            </spPr>
          </dPt>
          <dPt>
            <idx val="15"/>
            <spPr>
              <a:solidFill>
                <a:srgbClr val="6D6875"/>
              </a:solidFill>
              <a:ln>
                <a:prstDash val="solid"/>
              </a:ln>
            </spPr>
          </dPt>
          <dPt>
            <idx val="16"/>
            <spPr>
              <a:solidFill>
                <a:srgbClr val="FFCDB2"/>
              </a:solidFill>
              <a:ln>
                <a:prstDash val="solid"/>
              </a:ln>
            </spPr>
          </dPt>
          <dPt>
            <idx val="17"/>
            <spPr>
              <a:solidFill>
                <a:srgbClr val="B5E48C"/>
              </a:solidFill>
              <a:ln>
                <a:prstDash val="solid"/>
              </a:ln>
            </spPr>
          </dPt>
          <dPt>
            <idx val="18"/>
            <spPr>
              <a:solidFill>
                <a:srgbClr val="E5989B"/>
              </a:solidFill>
              <a:ln>
                <a:prstDash val="solid"/>
              </a:ln>
            </spPr>
          </dPt>
          <dPt>
            <idx val="19"/>
            <spPr>
              <a:solidFill>
                <a:srgbClr val="FFB4A2"/>
              </a:solidFill>
              <a:ln>
                <a:prstDash val="solid"/>
              </a:ln>
            </spPr>
          </dPt>
          <dPt>
            <idx val="20"/>
            <spPr>
              <a:solidFill>
                <a:srgbClr val="CDB4DB"/>
              </a:solidFill>
              <a:ln>
                <a:prstDash val="solid"/>
              </a:ln>
            </spPr>
          </dPt>
          <dPt>
            <idx val="21"/>
            <spPr>
              <a:solidFill>
                <a:srgbClr val="A2D2FF"/>
              </a:solidFill>
              <a:ln>
                <a:prstDash val="solid"/>
              </a:ln>
            </spPr>
          </dPt>
          <dPt>
            <idx val="22"/>
            <spPr>
              <a:solidFill>
                <a:srgbClr val="BDE0FE"/>
              </a:solidFill>
              <a:ln>
                <a:prstDash val="solid"/>
              </a:ln>
            </spPr>
          </dPt>
          <cat>
            <numRef>
              <f>'Budget Tracker'!$A$4:$A$26</f>
            </numRef>
          </cat>
          <val>
            <numRef>
              <f>'Budget Tracker'!$B$4:$B$26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4A2040"/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  <col width="4" customWidth="1" min="4" max="4"/>
    <col width="26" customWidth="1" min="5" max="5"/>
    <col width="80" customWidth="1" min="6" max="6"/>
    <col width="4" customWidth="1" min="7" max="7"/>
  </cols>
  <sheetData>
    <row r="1" ht="42" customHeight="1">
      <c r="A1" s="1" t="inlineStr">
        <is>
          <t>Wedding Planner Bundle — How to Use</t>
        </is>
      </c>
    </row>
    <row r="2" ht="26" customHeight="1">
      <c r="A2" s="2" t="inlineStr">
        <is>
          <t>Your Complete Guide to Every Tab  |  Tips &amp; Best Practices</t>
        </is>
      </c>
    </row>
    <row r="4" ht="30" customHeight="1">
      <c r="B4" s="3" t="inlineStr">
        <is>
          <t>General Tips</t>
        </is>
      </c>
    </row>
    <row r="5" ht="22" customHeight="1">
      <c r="B5" s="4" t="inlineStr">
        <is>
          <t xml:space="preserve">  •  Save a backup copy before making major changes.</t>
        </is>
      </c>
    </row>
    <row r="6" ht="22" customHeight="1">
      <c r="B6" s="5" t="inlineStr">
        <is>
          <t xml:space="preserve">  •  Use Ctrl+S frequently — spreadsheets do not auto-save.</t>
        </is>
      </c>
    </row>
    <row r="7" ht="22" customHeight="1">
      <c r="B7" s="4" t="inlineStr">
        <is>
          <t xml:space="preserve">  •  Do NOT delete formula cells (they are in the TOTAL/summary rows).</t>
        </is>
      </c>
    </row>
    <row r="8" ht="22" customHeight="1">
      <c r="B8" s="5" t="inlineStr">
        <is>
          <t xml:space="preserve">  •  Dropdown menus appear when you click a cell — look for the small arrow.</t>
        </is>
      </c>
    </row>
    <row r="9" ht="22" customHeight="1">
      <c r="B9" s="4" t="inlineStr">
        <is>
          <t xml:space="preserve">  •  Colored cells indicate formulas or conditional formatting — avoid overwriting.</t>
        </is>
      </c>
    </row>
    <row r="10" ht="22" customHeight="1">
      <c r="B10" s="5" t="inlineStr">
        <is>
          <t xml:space="preserve">  •  Print individual tabs by right-clicking the tab → Print.</t>
        </is>
      </c>
    </row>
    <row r="11" ht="22" customHeight="1">
      <c r="B11" s="4" t="inlineStr">
        <is>
          <t xml:space="preserve">  •  This workbook is fully customizable — change colors, add rows, adjust as needed!</t>
        </is>
      </c>
    </row>
    <row r="13" ht="28" customHeight="1">
      <c r="B13" s="6" t="inlineStr">
        <is>
          <t>Wedding Dashboard</t>
        </is>
      </c>
      <c r="C13" s="7" t="n"/>
      <c r="E13" s="6" t="inlineStr">
        <is>
          <t>Budget Tracker</t>
        </is>
      </c>
      <c r="F13" s="7" t="n"/>
    </row>
    <row r="14" ht="22" customHeight="1">
      <c r="B14" s="8" t="inlineStr">
        <is>
          <t xml:space="preserve">  •  This is your command center — start here every time you open the file.</t>
        </is>
      </c>
      <c r="E14" s="8" t="inlineStr">
        <is>
          <t xml:space="preserve">  •  All 23 common wedding categories are pre-loaded — add more rows as needed.</t>
        </is>
      </c>
    </row>
    <row r="15" ht="22" customHeight="1">
      <c r="B15" s="9" t="inlineStr">
        <is>
          <t xml:space="preserve">  •  Enter your wedding date in cell C6; the countdown formula updates automatically.</t>
        </is>
      </c>
      <c r="E15" s="9" t="inlineStr">
        <is>
          <t xml:space="preserve">  •  Enter Estimated Cost first, then update Actual Cost as you book vendors.</t>
        </is>
      </c>
    </row>
    <row r="16" ht="22" customHeight="1">
      <c r="B16" s="8" t="inlineStr">
        <is>
          <t xml:space="preserve">  •  The budget summary pulls totals from the Budget Tracker tab via formulas.</t>
        </is>
      </c>
      <c r="E16" s="8" t="inlineStr">
        <is>
          <t xml:space="preserve">  •  The Deposit Paid and Balance Due columns help you track payment schedules.</t>
        </is>
      </c>
    </row>
    <row r="17" ht="22" customHeight="1">
      <c r="B17" s="9" t="inlineStr">
        <is>
          <t xml:space="preserve">  •  The RSVP summary also links to the Guest List tab for real-time counts.</t>
        </is>
      </c>
      <c r="E17" s="9" t="inlineStr">
        <is>
          <t xml:space="preserve">  •  Mark 'Yes' in the Paid In Full column when a vendor is fully settled.</t>
        </is>
      </c>
    </row>
    <row r="18" ht="22" customHeight="1">
      <c r="B18" s="8" t="inlineStr">
        <is>
          <t xml:space="preserve">  •  Use the Key Contacts section to keep your most important numbers handy.</t>
        </is>
      </c>
      <c r="E18" s="8" t="inlineStr">
        <is>
          <t xml:space="preserve">  •  The pie chart auto-updates to show your budget breakdown visually.</t>
        </is>
      </c>
    </row>
    <row r="19" ht="22" customHeight="1">
      <c r="B19" s="9" t="inlineStr">
        <is>
          <t xml:space="preserve">  •  Review the countdown checklist to stay on track with planning milestones.</t>
        </is>
      </c>
      <c r="E19" s="9" t="inlineStr">
        <is>
          <t xml:space="preserve">  •  Totals at the bottom auto-calculate — never manually change the TOTAL row.</t>
        </is>
      </c>
    </row>
    <row r="21" ht="28" customHeight="1">
      <c r="B21" s="6" t="inlineStr">
        <is>
          <t>Guest List &amp; RSVPs</t>
        </is>
      </c>
      <c r="C21" s="7" t="n"/>
      <c r="E21" s="6" t="inlineStr">
        <is>
          <t>Vendor Tracker</t>
        </is>
      </c>
      <c r="F21" s="7" t="n"/>
    </row>
    <row r="22" ht="22" customHeight="1">
      <c r="B22" s="8" t="inlineStr">
        <is>
          <t xml:space="preserve">  •  Pre-formatted for 150 guests — insert rows above the totals to add more.</t>
        </is>
      </c>
      <c r="E22" s="8" t="inlineStr">
        <is>
          <t xml:space="preserve">  •  20 vendor categories are pre-filled — customize names and details.</t>
        </is>
      </c>
    </row>
    <row r="23" ht="22" customHeight="1">
      <c r="B23" s="9" t="inlineStr">
        <is>
          <t xml:space="preserve">  •  Use the Side dropdown (Bride/Groom/Both) to balance your guest list.</t>
        </is>
      </c>
      <c r="E23" s="9" t="inlineStr">
        <is>
          <t xml:space="preserve">  •  Store ALL vendor contact info here for easy reference on the wedding day.</t>
        </is>
      </c>
    </row>
    <row r="24" ht="22" customHeight="1">
      <c r="B24" s="8" t="inlineStr">
        <is>
          <t xml:space="preserve">  •  Track Plus Ones separately so catering counts are accurate.</t>
        </is>
      </c>
      <c r="E24" s="8" t="inlineStr">
        <is>
          <t xml:space="preserve">  •  Track contracts, deposits, and balances to avoid missed payments.</t>
        </is>
      </c>
    </row>
    <row r="25" ht="22" customHeight="1">
      <c r="B25" s="9" t="inlineStr">
        <is>
          <t xml:space="preserve">  •  Update RSVP Status as responses arrive (Invited → Attending/Declined/Pending).</t>
        </is>
      </c>
      <c r="E25" s="9" t="inlineStr">
        <is>
          <t xml:space="preserve">  •  Balance Due auto-calculates as (Total Cost − Deposit Amount).</t>
        </is>
      </c>
    </row>
    <row r="26" ht="22" customHeight="1">
      <c r="B26" s="8" t="inlineStr">
        <is>
          <t xml:space="preserve">  •  The auto-count totals at the bottom give you instant RSVP summaries.</t>
        </is>
      </c>
      <c r="E26" s="8" t="inlineStr">
        <is>
          <t xml:space="preserve">  •  Use the Notes column for special arrangements or package details.</t>
        </is>
      </c>
    </row>
    <row r="27" ht="22" customHeight="1">
      <c r="B27" s="9" t="inlineStr">
        <is>
          <t xml:space="preserve">  •  Mark Thank You Sent to keep track of your gratitude notes.</t>
        </is>
      </c>
    </row>
    <row r="28" ht="28" customHeight="1">
      <c r="B28" s="6" t="inlineStr">
        <is>
          <t>Timeline / Checklist</t>
        </is>
      </c>
      <c r="C28" s="7" t="n"/>
      <c r="E28" s="6" t="inlineStr">
        <is>
          <t>Seating Chart</t>
        </is>
      </c>
      <c r="F28" s="7" t="n"/>
    </row>
    <row r="29" ht="22" customHeight="1">
      <c r="B29" s="8" t="inlineStr">
        <is>
          <t xml:space="preserve">  •  Organized from 12 months out to Wedding Day in logical timeframes.</t>
        </is>
      </c>
      <c r="E29" s="8" t="inlineStr">
        <is>
          <t xml:space="preserve">  •  Pre-set for 20 tables of 8 guests each (160 seats).</t>
        </is>
      </c>
    </row>
    <row r="30" ht="22" customHeight="1">
      <c r="B30" s="9" t="inlineStr">
        <is>
          <t xml:space="preserve">  •  Each task has Priority (High/Medium/Low) and Status tracking.</t>
        </is>
      </c>
      <c r="E30" s="9" t="inlineStr">
        <is>
          <t xml:space="preserve">  •  Use Table Name/Theme for creative table identifiers.</t>
        </is>
      </c>
    </row>
    <row r="31" ht="22" customHeight="1">
      <c r="B31" s="8" t="inlineStr">
        <is>
          <t xml:space="preserve">  •  Assign tasks to specific people (Bride, Groom, MOH, Best Man, etc.).</t>
        </is>
      </c>
      <c r="E31" s="8" t="inlineStr">
        <is>
          <t xml:space="preserve">  •  Enter guest names from your Guest List to cross-reference table assignments.</t>
        </is>
      </c>
    </row>
    <row r="32" ht="22" customHeight="1">
      <c r="B32" s="9" t="inlineStr">
        <is>
          <t xml:space="preserve">  •  Status conditional formatting: Green=Done, Gold=In Progress, Mauve=Not Started.</t>
        </is>
      </c>
      <c r="E32" s="9" t="inlineStr">
        <is>
          <t xml:space="preserve">  •  Note dietary restrictions and special needs for catering and venue staff.</t>
        </is>
      </c>
    </row>
    <row r="33" ht="22" customHeight="1">
      <c r="B33" s="8" t="inlineStr">
        <is>
          <t xml:space="preserve">  •  Add your own tasks as needed — keep the Timeframe column consistent.</t>
        </is>
      </c>
      <c r="E33" s="8" t="inlineStr">
        <is>
          <t xml:space="preserve">  •  Update the Table # column on the Guest List tab to match.</t>
        </is>
      </c>
    </row>
    <row r="35" ht="28" customHeight="1">
      <c r="B35" s="6" t="inlineStr">
        <is>
          <t>Day-Of Timeline</t>
        </is>
      </c>
      <c r="C35" s="7" t="n"/>
      <c r="E35" s="6" t="inlineStr">
        <is>
          <t>Gift &amp; Thank You Tracker</t>
        </is>
      </c>
      <c r="F35" s="7" t="n"/>
    </row>
    <row r="36" ht="22" customHeight="1">
      <c r="B36" s="8" t="inlineStr">
        <is>
          <t xml:space="preserve">  •  A minute-by-minute schedule from 8 AM to 11 PM.</t>
        </is>
      </c>
      <c r="E36" s="8" t="inlineStr">
        <is>
          <t xml:space="preserve">  •  Log each gift as it arrives — don't rely on memory!</t>
        </is>
      </c>
    </row>
    <row r="37" ht="22" customHeight="1">
      <c r="B37" s="9" t="inlineStr">
        <is>
          <t xml:space="preserve">  •  Assign a Person Responsible for each event so everyone knows their role.</t>
        </is>
      </c>
      <c r="E37" s="9" t="inlineStr">
        <is>
          <t xml:space="preserve">  •  Estimated Value helps with insurance and registry tracking.</t>
        </is>
      </c>
    </row>
    <row r="38" ht="22" customHeight="1">
      <c r="B38" s="8" t="inlineStr">
        <is>
          <t xml:space="preserve">  •  Print copies for your coordinator, DJ, photographer, and bridal party.</t>
        </is>
      </c>
      <c r="E38" s="8" t="inlineStr">
        <is>
          <t xml:space="preserve">  •  Mark Thank You Written and Date Sent to ensure no one is overlooked.</t>
        </is>
      </c>
    </row>
    <row r="39" ht="22" customHeight="1">
      <c r="B39" s="9" t="inlineStr">
        <is>
          <t xml:space="preserve">  •  Adjust times to match your ceremony and reception schedule.</t>
        </is>
      </c>
      <c r="E39" s="9" t="inlineStr">
        <is>
          <t xml:space="preserve">  •  Etiquette tip: send thank-you notes within 2-3 months of receiving a gift.</t>
        </is>
      </c>
    </row>
    <row r="40" ht="22" customHeight="1">
      <c r="B40" s="8" t="inlineStr">
        <is>
          <t xml:space="preserve">  •  Use Status column day-of to mark events as they happen.</t>
        </is>
      </c>
      <c r="E40" s="8" t="inlineStr">
        <is>
          <t xml:space="preserve">  •  Use Notes for personal details to mention in your thank-you card.</t>
        </is>
      </c>
    </row>
    <row r="44">
      <c r="B44" s="10" t="inlineStr">
        <is>
          <t>Congratulations on your engagement! Wishing you a beautiful wedding day.</t>
        </is>
      </c>
    </row>
  </sheetData>
  <mergeCells count="54">
    <mergeCell ref="B4:F4"/>
    <mergeCell ref="B7:F7"/>
    <mergeCell ref="B16:C16"/>
    <mergeCell ref="B25:C25"/>
    <mergeCell ref="E24:F24"/>
    <mergeCell ref="E33:F33"/>
    <mergeCell ref="B22:C22"/>
    <mergeCell ref="E23:F23"/>
    <mergeCell ref="E14:F14"/>
    <mergeCell ref="B31:C31"/>
    <mergeCell ref="B18:C18"/>
    <mergeCell ref="E17:F17"/>
    <mergeCell ref="B27:C27"/>
    <mergeCell ref="E39:F39"/>
    <mergeCell ref="B39:C39"/>
    <mergeCell ref="E38:F38"/>
    <mergeCell ref="E29:F29"/>
    <mergeCell ref="B11:F11"/>
    <mergeCell ref="E19:F19"/>
    <mergeCell ref="B23:C23"/>
    <mergeCell ref="B14:C14"/>
    <mergeCell ref="B8:F8"/>
    <mergeCell ref="B17:C17"/>
    <mergeCell ref="E40:F40"/>
    <mergeCell ref="E31:F31"/>
    <mergeCell ref="B44:F44"/>
    <mergeCell ref="B38:C38"/>
    <mergeCell ref="A1:G1"/>
    <mergeCell ref="B29:C29"/>
    <mergeCell ref="E30:F30"/>
    <mergeCell ref="E15:F15"/>
    <mergeCell ref="B10:F10"/>
    <mergeCell ref="B19:C19"/>
    <mergeCell ref="B37:C37"/>
    <mergeCell ref="E36:F36"/>
    <mergeCell ref="B40:C40"/>
    <mergeCell ref="E26:F26"/>
    <mergeCell ref="B9:F9"/>
    <mergeCell ref="B24:C24"/>
    <mergeCell ref="B30:C30"/>
    <mergeCell ref="B6:F6"/>
    <mergeCell ref="B15:C15"/>
    <mergeCell ref="E16:F16"/>
    <mergeCell ref="B33:C33"/>
    <mergeCell ref="E25:F25"/>
    <mergeCell ref="E32:F32"/>
    <mergeCell ref="B5:F5"/>
    <mergeCell ref="B36:C36"/>
    <mergeCell ref="A2:G2"/>
    <mergeCell ref="E22:F22"/>
    <mergeCell ref="B32:C32"/>
    <mergeCell ref="E37:F37"/>
    <mergeCell ref="B26:C26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6E79"/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4" customWidth="1" min="4" max="4"/>
    <col width="24" customWidth="1" min="5" max="5"/>
    <col width="22" customWidth="1" min="6" max="6"/>
    <col width="4" customWidth="1" min="7" max="7"/>
    <col width="24" customWidth="1" min="8" max="8"/>
    <col width="22" customWidth="1" min="9" max="9"/>
    <col width="4" customWidth="1" min="10" max="10"/>
  </cols>
  <sheetData>
    <row r="1" ht="42" customHeight="1">
      <c r="A1" s="1" t="inlineStr">
        <is>
          <t>Wedding Dashboard</t>
        </is>
      </c>
    </row>
    <row r="2" ht="26" customHeight="1">
      <c r="A2" s="2" t="inlineStr">
        <is>
          <t>Your Wedding At A Glance  |  Key Metrics &amp; Countdown</t>
        </is>
      </c>
    </row>
    <row r="4" ht="30" customHeight="1">
      <c r="B4" s="11" t="inlineStr">
        <is>
          <t>Wedding Date &amp; Countdown</t>
        </is>
      </c>
      <c r="C4" s="7" t="n"/>
      <c r="E4" s="3" t="inlineStr">
        <is>
          <t>RSVP Summary</t>
        </is>
      </c>
      <c r="F4" s="12" t="n"/>
      <c r="H4" s="13" t="inlineStr">
        <is>
          <t>Quick To-Do Checklist</t>
        </is>
      </c>
      <c r="I4" s="14" t="n"/>
    </row>
    <row r="5" ht="28" customHeight="1">
      <c r="B5" s="15" t="inlineStr">
        <is>
          <t>Wedding Date:</t>
        </is>
      </c>
      <c r="C5" s="16" t="inlineStr">
        <is>
          <t>06/20/2026</t>
        </is>
      </c>
      <c r="E5" s="15" t="inlineStr">
        <is>
          <t>Total Invited:</t>
        </is>
      </c>
      <c r="F5" s="17">
        <f>COUNTA('Guest List &amp; RSVPs'!B5:B154)</f>
        <v/>
      </c>
      <c r="H5" s="18" t="inlineStr">
        <is>
          <t>Task</t>
        </is>
      </c>
      <c r="I5" s="18" t="inlineStr">
        <is>
          <t>Priority</t>
        </is>
      </c>
    </row>
    <row r="6" ht="28" customHeight="1">
      <c r="B6" s="19" t="inlineStr">
        <is>
          <t>Days Until Wedding:</t>
        </is>
      </c>
      <c r="C6" s="20">
        <f>IF(C4="","",C4-TODAY())</f>
        <v/>
      </c>
      <c r="E6" s="19" t="inlineStr">
        <is>
          <t>Attending:</t>
        </is>
      </c>
      <c r="F6" s="21">
        <f>COUNTIF('Guest List &amp; RSVPs'!K5:K154,"Attending")</f>
        <v/>
      </c>
      <c r="H6" s="22" t="inlineStr">
        <is>
          <t>Book venue</t>
        </is>
      </c>
      <c r="I6" s="23" t="inlineStr">
        <is>
          <t>High</t>
        </is>
      </c>
    </row>
    <row r="7" ht="28" customHeight="1">
      <c r="B7" s="15" t="inlineStr">
        <is>
          <t>Weeks Until Wedding:</t>
        </is>
      </c>
      <c r="C7" s="24">
        <f>IF(C4="","",INT((C4-TODAY())/7))</f>
        <v/>
      </c>
      <c r="E7" s="15" t="inlineStr">
        <is>
          <t>Declined:</t>
        </is>
      </c>
      <c r="F7" s="17">
        <f>COUNTIF('Guest List &amp; RSVPs'!K5:K154,"Declined")</f>
        <v/>
      </c>
      <c r="H7" s="25" t="inlineStr">
        <is>
          <t>Hire photographer</t>
        </is>
      </c>
      <c r="I7" s="26" t="inlineStr">
        <is>
          <t>High</t>
        </is>
      </c>
    </row>
    <row r="8">
      <c r="E8" s="19" t="inlineStr">
        <is>
          <t>Pending:</t>
        </is>
      </c>
      <c r="F8" s="21">
        <f>COUNTIF('Guest List &amp; RSVPs'!K5:K154,"Pending")</f>
        <v/>
      </c>
      <c r="H8" s="22" t="inlineStr">
        <is>
          <t>Send save-the-dates</t>
        </is>
      </c>
      <c r="I8" s="23" t="inlineStr">
        <is>
          <t>High</t>
        </is>
      </c>
    </row>
    <row r="9" ht="30" customHeight="1">
      <c r="B9" s="27" t="inlineStr">
        <is>
          <t>Budget Summary</t>
        </is>
      </c>
      <c r="C9" s="28" t="n"/>
      <c r="H9" s="25" t="inlineStr">
        <is>
          <t>Choose wedding party</t>
        </is>
      </c>
      <c r="I9" s="26" t="inlineStr">
        <is>
          <t>Medium</t>
        </is>
      </c>
    </row>
    <row r="10" ht="28" customHeight="1">
      <c r="B10" s="15" t="inlineStr">
        <is>
          <t>Total Budget (Estimated):</t>
        </is>
      </c>
      <c r="C10" s="29">
        <f>'Budget Tracker'!C27</f>
        <v/>
      </c>
      <c r="E10" s="30" t="inlineStr">
        <is>
          <t>Vendor Payment Status</t>
        </is>
      </c>
      <c r="F10" s="31" t="n"/>
      <c r="H10" s="22" t="inlineStr">
        <is>
          <t>Book caterer</t>
        </is>
      </c>
      <c r="I10" s="23" t="inlineStr">
        <is>
          <t>High</t>
        </is>
      </c>
    </row>
    <row r="11" ht="28" customHeight="1">
      <c r="B11" s="19" t="inlineStr">
        <is>
          <t>Total Spent (Actual):</t>
        </is>
      </c>
      <c r="C11" s="32">
        <f>'Budget Tracker'!D27</f>
        <v/>
      </c>
      <c r="E11" s="15" t="inlineStr">
        <is>
          <t>Contracts Signed:</t>
        </is>
      </c>
      <c r="F11" s="17">
        <f>COUNTIF('Vendor Tracker'!H5:H24,"Yes")</f>
        <v/>
      </c>
      <c r="H11" s="25" t="inlineStr">
        <is>
          <t>Order invitations</t>
        </is>
      </c>
      <c r="I11" s="26" t="inlineStr">
        <is>
          <t>Medium</t>
        </is>
      </c>
    </row>
    <row r="12" ht="28" customHeight="1">
      <c r="B12" s="15" t="inlineStr">
        <is>
          <t>Remaining:</t>
        </is>
      </c>
      <c r="C12" s="29">
        <f>'Budget Tracker'!C27-'Budget Tracker'!D27</f>
        <v/>
      </c>
      <c r="E12" s="19" t="inlineStr">
        <is>
          <t>Deposits Paid:</t>
        </is>
      </c>
      <c r="F12" s="21">
        <f>COUNTIF('Vendor Tracker'!J5:J24,"Yes")</f>
        <v/>
      </c>
      <c r="H12" s="22" t="inlineStr">
        <is>
          <t>Schedule tastings</t>
        </is>
      </c>
      <c r="I12" s="23" t="inlineStr">
        <is>
          <t>Medium</t>
        </is>
      </c>
    </row>
    <row r="13" ht="28" customHeight="1">
      <c r="B13" s="19" t="inlineStr">
        <is>
          <t>% Used:</t>
        </is>
      </c>
      <c r="C13" s="33">
        <f>IF('Budget Tracker'!C27=0,0,'Budget Tracker'!D27/'Budget Tracker'!C27)</f>
        <v/>
      </c>
      <c r="E13" s="15" t="inlineStr">
        <is>
          <t>Fully Paid:</t>
        </is>
      </c>
      <c r="F13" s="17">
        <f>COUNTIF('Vendor Tracker'!N5:N24,"Paid")</f>
        <v/>
      </c>
      <c r="H13" s="25" t="inlineStr">
        <is>
          <t>Plan honeymoon</t>
        </is>
      </c>
      <c r="I13" s="26" t="inlineStr">
        <is>
          <t>Medium</t>
        </is>
      </c>
    </row>
    <row r="14">
      <c r="E14" s="19" t="inlineStr">
        <is>
          <t>Total Vendor Cost:</t>
        </is>
      </c>
      <c r="F14" s="32">
        <f>SUM('Vendor Tracker'!K5:K24)</f>
        <v/>
      </c>
      <c r="H14" s="22" t="inlineStr">
        <is>
          <t>Buy wedding rings</t>
        </is>
      </c>
      <c r="I14" s="23" t="inlineStr">
        <is>
          <t>High</t>
        </is>
      </c>
    </row>
    <row r="15">
      <c r="B15" s="11" t="inlineStr">
        <is>
          <t>Key Contacts</t>
        </is>
      </c>
      <c r="C15" s="7" t="n"/>
      <c r="D15" s="7" t="n"/>
      <c r="E15" s="7" t="n"/>
      <c r="F15" s="7" t="n"/>
      <c r="H15" s="25" t="inlineStr">
        <is>
          <t>Final dress fitting</t>
        </is>
      </c>
      <c r="I15" s="26" t="inlineStr">
        <is>
          <t>High</t>
        </is>
      </c>
    </row>
    <row r="16" ht="24" customHeight="1">
      <c r="A16" s="18" t="inlineStr">
        <is>
          <t>Role</t>
        </is>
      </c>
      <c r="B16" s="18" t="inlineStr">
        <is>
          <t>Role</t>
        </is>
      </c>
      <c r="C16" s="18" t="inlineStr">
        <is>
          <t>Name</t>
        </is>
      </c>
      <c r="D16" s="18" t="inlineStr">
        <is>
          <t>Phone</t>
        </is>
      </c>
      <c r="E16" s="18" t="inlineStr">
        <is>
          <t>Email</t>
        </is>
      </c>
      <c r="F16" s="18" t="inlineStr">
        <is>
          <t>Notes</t>
        </is>
      </c>
      <c r="H16" s="22" t="inlineStr">
        <is>
          <t>Confirm all vendors</t>
        </is>
      </c>
      <c r="I16" s="23" t="inlineStr">
        <is>
          <t>High</t>
        </is>
      </c>
    </row>
    <row r="17">
      <c r="B17" s="23" t="inlineStr">
        <is>
          <t>Wedding Coordinator</t>
        </is>
      </c>
      <c r="C17" s="23" t="n"/>
      <c r="D17" s="23" t="n"/>
      <c r="E17" s="23" t="n"/>
      <c r="F17" s="23" t="n"/>
      <c r="H17" s="25" t="inlineStr">
        <is>
          <t>Write vows</t>
        </is>
      </c>
      <c r="I17" s="26" t="inlineStr">
        <is>
          <t>Medium</t>
        </is>
      </c>
    </row>
    <row r="18">
      <c r="B18" s="26" t="inlineStr">
        <is>
          <t>Venue Contact</t>
        </is>
      </c>
      <c r="C18" s="26" t="n"/>
      <c r="D18" s="26" t="n"/>
      <c r="E18" s="26" t="n"/>
      <c r="F18" s="26" t="n"/>
    </row>
    <row r="19">
      <c r="B19" s="23" t="inlineStr">
        <is>
          <t>Caterer</t>
        </is>
      </c>
      <c r="C19" s="23" t="n"/>
      <c r="D19" s="23" t="n"/>
      <c r="E19" s="23" t="n"/>
      <c r="F19" s="23" t="n"/>
    </row>
    <row r="20">
      <c r="B20" s="26" t="inlineStr">
        <is>
          <t>Photographer</t>
        </is>
      </c>
      <c r="C20" s="26" t="n"/>
      <c r="D20" s="26" t="n"/>
      <c r="E20" s="26" t="n"/>
      <c r="F20" s="26" t="n"/>
    </row>
    <row r="21">
      <c r="B21" s="23" t="inlineStr">
        <is>
          <t>DJ / Band</t>
        </is>
      </c>
      <c r="C21" s="23" t="n"/>
      <c r="D21" s="23" t="n"/>
      <c r="E21" s="23" t="n"/>
      <c r="F21" s="23" t="n"/>
    </row>
    <row r="22">
      <c r="B22" s="26" t="inlineStr">
        <is>
          <t>Florist</t>
        </is>
      </c>
      <c r="C22" s="26" t="n"/>
      <c r="D22" s="26" t="n"/>
      <c r="E22" s="26" t="n"/>
      <c r="F22" s="26" t="n"/>
    </row>
    <row r="23">
      <c r="B23" s="23" t="inlineStr">
        <is>
          <t>Officiant</t>
        </is>
      </c>
      <c r="C23" s="23" t="n"/>
      <c r="D23" s="23" t="n"/>
      <c r="E23" s="23" t="n"/>
      <c r="F23" s="23" t="n"/>
    </row>
    <row r="24">
      <c r="B24" s="26" t="inlineStr">
        <is>
          <t>Hair &amp; Makeup</t>
        </is>
      </c>
      <c r="C24" s="26" t="n"/>
      <c r="D24" s="26" t="n"/>
      <c r="E24" s="26" t="n"/>
      <c r="F24" s="26" t="n"/>
    </row>
  </sheetData>
  <mergeCells count="8">
    <mergeCell ref="A1:J1"/>
    <mergeCell ref="E4:F4"/>
    <mergeCell ref="E10:F10"/>
    <mergeCell ref="B15:F15"/>
    <mergeCell ref="H4:I4"/>
    <mergeCell ref="A2:J2"/>
    <mergeCell ref="B9:C9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A55A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30" customWidth="1" min="7" max="7"/>
    <col width="4" customWidth="1" min="8" max="8"/>
  </cols>
  <sheetData>
    <row r="1" ht="42" customHeight="1">
      <c r="A1" s="1" t="inlineStr">
        <is>
          <t>Wedding Budget Tracker</t>
        </is>
      </c>
    </row>
    <row r="2" ht="26" customHeight="1">
      <c r="A2" s="2" t="inlineStr">
        <is>
          <t>Track Every Dollar  |  Estimated vs. Actual  |  Auto-Calculated Totals</t>
        </is>
      </c>
    </row>
    <row r="3" ht="26" customHeight="1">
      <c r="A3" s="18" t="inlineStr">
        <is>
          <t>Category</t>
        </is>
      </c>
      <c r="B3" s="18" t="inlineStr">
        <is>
          <t>Estimated Cost</t>
        </is>
      </c>
      <c r="C3" s="18" t="inlineStr">
        <is>
          <t>Actual Cost</t>
        </is>
      </c>
      <c r="D3" s="18" t="inlineStr">
        <is>
          <t>Deposit Paid</t>
        </is>
      </c>
      <c r="E3" s="18" t="inlineStr">
        <is>
          <t>Balance Due</t>
        </is>
      </c>
      <c r="F3" s="18" t="inlineStr">
        <is>
          <t>Paid In Full</t>
        </is>
      </c>
      <c r="G3" s="18" t="inlineStr">
        <is>
          <t>Notes</t>
        </is>
      </c>
    </row>
    <row r="4">
      <c r="A4" s="22" t="inlineStr">
        <is>
          <t>Venue</t>
        </is>
      </c>
      <c r="B4" s="34" t="n"/>
      <c r="C4" s="34" t="n"/>
      <c r="D4" s="34" t="n"/>
      <c r="E4" s="34">
        <f>IF(C4="","",C4-D4)</f>
        <v/>
      </c>
      <c r="F4" s="23" t="n"/>
      <c r="G4" s="22" t="n"/>
    </row>
    <row r="5">
      <c r="A5" s="25" t="inlineStr">
        <is>
          <t>Catering</t>
        </is>
      </c>
      <c r="B5" s="35" t="n"/>
      <c r="C5" s="35" t="n"/>
      <c r="D5" s="35" t="n"/>
      <c r="E5" s="35">
        <f>IF(C5="","",C5-D5)</f>
        <v/>
      </c>
      <c r="F5" s="26" t="n"/>
      <c r="G5" s="25" t="n"/>
    </row>
    <row r="6">
      <c r="A6" s="22" t="inlineStr">
        <is>
          <t>Photography</t>
        </is>
      </c>
      <c r="B6" s="34" t="n"/>
      <c r="C6" s="34" t="n"/>
      <c r="D6" s="34" t="n"/>
      <c r="E6" s="34">
        <f>IF(C6="","",C6-D6)</f>
        <v/>
      </c>
      <c r="F6" s="23" t="n"/>
      <c r="G6" s="22" t="n"/>
    </row>
    <row r="7">
      <c r="A7" s="25" t="inlineStr">
        <is>
          <t>Videography</t>
        </is>
      </c>
      <c r="B7" s="35" t="n"/>
      <c r="C7" s="35" t="n"/>
      <c r="D7" s="35" t="n"/>
      <c r="E7" s="35">
        <f>IF(C7="","",C7-D7)</f>
        <v/>
      </c>
      <c r="F7" s="26" t="n"/>
      <c r="G7" s="25" t="n"/>
    </row>
    <row r="8">
      <c r="A8" s="22" t="inlineStr">
        <is>
          <t>Flowers / Florist</t>
        </is>
      </c>
      <c r="B8" s="34" t="n"/>
      <c r="C8" s="34" t="n"/>
      <c r="D8" s="34" t="n"/>
      <c r="E8" s="34">
        <f>IF(C8="","",C8-D8)</f>
        <v/>
      </c>
      <c r="F8" s="23" t="n"/>
      <c r="G8" s="22" t="n"/>
    </row>
    <row r="9">
      <c r="A9" s="25" t="inlineStr">
        <is>
          <t>Music / DJ</t>
        </is>
      </c>
      <c r="B9" s="35" t="n"/>
      <c r="C9" s="35" t="n"/>
      <c r="D9" s="35" t="n"/>
      <c r="E9" s="35">
        <f>IF(C9="","",C9-D9)</f>
        <v/>
      </c>
      <c r="F9" s="26" t="n"/>
      <c r="G9" s="25" t="n"/>
    </row>
    <row r="10">
      <c r="A10" s="22" t="inlineStr">
        <is>
          <t>Wedding Dress</t>
        </is>
      </c>
      <c r="B10" s="34" t="n"/>
      <c r="C10" s="34" t="n"/>
      <c r="D10" s="34" t="n"/>
      <c r="E10" s="34">
        <f>IF(C10="","",C10-D10)</f>
        <v/>
      </c>
      <c r="F10" s="23" t="n"/>
      <c r="G10" s="22" t="n"/>
    </row>
    <row r="11">
      <c r="A11" s="25" t="inlineStr">
        <is>
          <t>Groom's Attire</t>
        </is>
      </c>
      <c r="B11" s="35" t="n"/>
      <c r="C11" s="35" t="n"/>
      <c r="D11" s="35" t="n"/>
      <c r="E11" s="35">
        <f>IF(C11="","",C11-D11)</f>
        <v/>
      </c>
      <c r="F11" s="26" t="n"/>
      <c r="G11" s="25" t="n"/>
    </row>
    <row r="12">
      <c r="A12" s="22" t="inlineStr">
        <is>
          <t>Bridesmaids</t>
        </is>
      </c>
      <c r="B12" s="34" t="n"/>
      <c r="C12" s="34" t="n"/>
      <c r="D12" s="34" t="n"/>
      <c r="E12" s="34">
        <f>IF(C12="","",C12-D12)</f>
        <v/>
      </c>
      <c r="F12" s="23" t="n"/>
      <c r="G12" s="22" t="n"/>
    </row>
    <row r="13">
      <c r="A13" s="25" t="inlineStr">
        <is>
          <t>Groomsmen</t>
        </is>
      </c>
      <c r="B13" s="35" t="n"/>
      <c r="C13" s="35" t="n"/>
      <c r="D13" s="35" t="n"/>
      <c r="E13" s="35">
        <f>IF(C13="","",C13-D13)</f>
        <v/>
      </c>
      <c r="F13" s="26" t="n"/>
      <c r="G13" s="25" t="n"/>
    </row>
    <row r="14">
      <c r="A14" s="22" t="inlineStr">
        <is>
          <t>Hair &amp; Makeup</t>
        </is>
      </c>
      <c r="B14" s="34" t="n"/>
      <c r="C14" s="34" t="n"/>
      <c r="D14" s="34" t="n"/>
      <c r="E14" s="34">
        <f>IF(C14="","",C14-D14)</f>
        <v/>
      </c>
      <c r="F14" s="23" t="n"/>
      <c r="G14" s="22" t="n"/>
    </row>
    <row r="15">
      <c r="A15" s="25" t="inlineStr">
        <is>
          <t>Invitations / Stationery</t>
        </is>
      </c>
      <c r="B15" s="35" t="n"/>
      <c r="C15" s="35" t="n"/>
      <c r="D15" s="35" t="n"/>
      <c r="E15" s="35">
        <f>IF(C15="","",C15-D15)</f>
        <v/>
      </c>
      <c r="F15" s="26" t="n"/>
      <c r="G15" s="25" t="n"/>
    </row>
    <row r="16">
      <c r="A16" s="22" t="inlineStr">
        <is>
          <t>Wedding Cake</t>
        </is>
      </c>
      <c r="B16" s="34" t="n"/>
      <c r="C16" s="34" t="n"/>
      <c r="D16" s="34" t="n"/>
      <c r="E16" s="34">
        <f>IF(C16="","",C16-D16)</f>
        <v/>
      </c>
      <c r="F16" s="23" t="n"/>
      <c r="G16" s="22" t="n"/>
    </row>
    <row r="17">
      <c r="A17" s="25" t="inlineStr">
        <is>
          <t>Favors</t>
        </is>
      </c>
      <c r="B17" s="35" t="n"/>
      <c r="C17" s="35" t="n"/>
      <c r="D17" s="35" t="n"/>
      <c r="E17" s="35">
        <f>IF(C17="","",C17-D17)</f>
        <v/>
      </c>
      <c r="F17" s="26" t="n"/>
      <c r="G17" s="25" t="n"/>
    </row>
    <row r="18">
      <c r="A18" s="22" t="inlineStr">
        <is>
          <t>Transportation</t>
        </is>
      </c>
      <c r="B18" s="34" t="n"/>
      <c r="C18" s="34" t="n"/>
      <c r="D18" s="34" t="n"/>
      <c r="E18" s="34">
        <f>IF(C18="","",C18-D18)</f>
        <v/>
      </c>
      <c r="F18" s="23" t="n"/>
      <c r="G18" s="22" t="n"/>
    </row>
    <row r="19">
      <c r="A19" s="25" t="inlineStr">
        <is>
          <t>Officiant</t>
        </is>
      </c>
      <c r="B19" s="35" t="n"/>
      <c r="C19" s="35" t="n"/>
      <c r="D19" s="35" t="n"/>
      <c r="E19" s="35">
        <f>IF(C19="","",C19-D19)</f>
        <v/>
      </c>
      <c r="F19" s="26" t="n"/>
      <c r="G19" s="25" t="n"/>
    </row>
    <row r="20">
      <c r="A20" s="22" t="inlineStr">
        <is>
          <t>Wedding Rings</t>
        </is>
      </c>
      <c r="B20" s="34" t="n"/>
      <c r="C20" s="34" t="n"/>
      <c r="D20" s="34" t="n"/>
      <c r="E20" s="34">
        <f>IF(C20="","",C20-D20)</f>
        <v/>
      </c>
      <c r="F20" s="23" t="n"/>
      <c r="G20" s="22" t="n"/>
    </row>
    <row r="21">
      <c r="A21" s="25" t="inlineStr">
        <is>
          <t>Decorations</t>
        </is>
      </c>
      <c r="B21" s="35" t="n"/>
      <c r="C21" s="35" t="n"/>
      <c r="D21" s="35" t="n"/>
      <c r="E21" s="35">
        <f>IF(C21="","",C21-D21)</f>
        <v/>
      </c>
      <c r="F21" s="26" t="n"/>
      <c r="G21" s="25" t="n"/>
    </row>
    <row r="22">
      <c r="A22" s="22" t="inlineStr">
        <is>
          <t>Rentals</t>
        </is>
      </c>
      <c r="B22" s="34" t="n"/>
      <c r="C22" s="34" t="n"/>
      <c r="D22" s="34" t="n"/>
      <c r="E22" s="34">
        <f>IF(C22="","",C22-D22)</f>
        <v/>
      </c>
      <c r="F22" s="23" t="n"/>
      <c r="G22" s="22" t="n"/>
    </row>
    <row r="23">
      <c r="A23" s="25" t="inlineStr">
        <is>
          <t>Coordinator / Planner</t>
        </is>
      </c>
      <c r="B23" s="35" t="n"/>
      <c r="C23" s="35" t="n"/>
      <c r="D23" s="35" t="n"/>
      <c r="E23" s="35">
        <f>IF(C23="","",C23-D23)</f>
        <v/>
      </c>
      <c r="F23" s="26" t="n"/>
      <c r="G23" s="25" t="n"/>
    </row>
    <row r="24">
      <c r="A24" s="22" t="inlineStr">
        <is>
          <t>Honeymoon</t>
        </is>
      </c>
      <c r="B24" s="34" t="n"/>
      <c r="C24" s="34" t="n"/>
      <c r="D24" s="34" t="n"/>
      <c r="E24" s="34">
        <f>IF(C24="","",C24-D24)</f>
        <v/>
      </c>
      <c r="F24" s="23" t="n"/>
      <c r="G24" s="22" t="n"/>
    </row>
    <row r="25">
      <c r="A25" s="25" t="inlineStr">
        <is>
          <t>Gifts</t>
        </is>
      </c>
      <c r="B25" s="35" t="n"/>
      <c r="C25" s="35" t="n"/>
      <c r="D25" s="35" t="n"/>
      <c r="E25" s="35">
        <f>IF(C25="","",C25-D25)</f>
        <v/>
      </c>
      <c r="F25" s="26" t="n"/>
      <c r="G25" s="25" t="n"/>
    </row>
    <row r="26">
      <c r="A26" s="22" t="inlineStr">
        <is>
          <t>Miscellaneous</t>
        </is>
      </c>
      <c r="B26" s="34" t="n"/>
      <c r="C26" s="34" t="n"/>
      <c r="D26" s="34" t="n"/>
      <c r="E26" s="34">
        <f>IF(C26="","",C26-D26)</f>
        <v/>
      </c>
      <c r="F26" s="23" t="n"/>
      <c r="G26" s="22" t="n"/>
    </row>
    <row r="27" ht="28" customHeight="1">
      <c r="A27" s="36" t="inlineStr">
        <is>
          <t>TOTAL</t>
        </is>
      </c>
      <c r="B27" s="37">
        <f>SUM(B4:B26)</f>
        <v/>
      </c>
      <c r="C27" s="37">
        <f>SUM(C4:C26)</f>
        <v/>
      </c>
      <c r="D27" s="37">
        <f>SUM(D4:D26)</f>
        <v/>
      </c>
      <c r="E27" s="37">
        <f>SUM(E4:E26)</f>
        <v/>
      </c>
      <c r="F27" s="36" t="n"/>
      <c r="G27" s="36" t="n"/>
    </row>
  </sheetData>
  <mergeCells count="2">
    <mergeCell ref="A2:H2"/>
    <mergeCell ref="A1:H1"/>
  </mergeCells>
  <dataValidations count="1">
    <dataValidation sqref="F4:F26" showDropDown="0" showInputMessage="0" showErrorMessage="0" allowBlank="1" errorTitle="Invalid Entry" error="Please select from the dropdown list." promptTitle="Choose" prompt="Select an option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8C4C8"/>
    <outlinePr summaryBelow="1" summaryRight="1"/>
    <pageSetUpPr/>
  </sheetPr>
  <dimension ref="A1:N1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28" customWidth="1" min="4" max="4"/>
    <col width="12" customWidth="1" min="5" max="5"/>
    <col width="16" customWidth="1" min="6" max="6"/>
    <col width="12" customWidth="1" min="7" max="7"/>
    <col width="20" customWidth="1" min="8" max="8"/>
    <col width="18" customWidth="1" min="9" max="9"/>
    <col width="16" customWidth="1" min="10" max="10"/>
    <col width="10" customWidth="1" min="11" max="11"/>
    <col width="16" customWidth="1" min="12" max="12"/>
    <col width="16" customWidth="1" min="13" max="13"/>
    <col width="22" customWidth="1" min="14" max="14"/>
  </cols>
  <sheetData>
    <row r="1" ht="42" customHeight="1">
      <c r="A1" s="1" t="inlineStr">
        <is>
          <t>Guest List &amp; RSVPs</t>
        </is>
      </c>
    </row>
    <row r="2" ht="26" customHeight="1">
      <c r="A2" s="2" t="inlineStr">
        <is>
          <t>Track Every Guest  |  RSVPs  |  Dietary Needs  |  Thank You Notes</t>
        </is>
      </c>
    </row>
    <row r="3" ht="24" customHeight="1">
      <c r="A3" s="18" t="inlineStr">
        <is>
          <t>Guest Name</t>
        </is>
      </c>
      <c r="B3" s="18" t="inlineStr">
        <is>
          <t>Email</t>
        </is>
      </c>
      <c r="C3" s="18" t="inlineStr">
        <is>
          <t>Phone</t>
        </is>
      </c>
      <c r="D3" s="18" t="inlineStr">
        <is>
          <t>Address</t>
        </is>
      </c>
      <c r="E3" s="18" t="inlineStr">
        <is>
          <t>Side</t>
        </is>
      </c>
      <c r="F3" s="18" t="inlineStr">
        <is>
          <t>Relationship</t>
        </is>
      </c>
      <c r="G3" s="18" t="inlineStr">
        <is>
          <t>Plus One</t>
        </is>
      </c>
      <c r="H3" s="18" t="inlineStr">
        <is>
          <t>Plus One Name</t>
        </is>
      </c>
      <c r="I3" s="18" t="inlineStr">
        <is>
          <t>Dietary Needs</t>
        </is>
      </c>
      <c r="J3" s="18" t="inlineStr">
        <is>
          <t>RSVP Status</t>
        </is>
      </c>
      <c r="K3" s="18" t="inlineStr">
        <is>
          <t>Table #</t>
        </is>
      </c>
      <c r="L3" s="18" t="inlineStr">
        <is>
          <t>Gift Received</t>
        </is>
      </c>
      <c r="M3" s="18" t="inlineStr">
        <is>
          <t>Thank You Sent</t>
        </is>
      </c>
      <c r="N3" s="18" t="inlineStr">
        <is>
          <t>Notes</t>
        </is>
      </c>
    </row>
    <row r="4">
      <c r="A4" s="22" t="n"/>
      <c r="B4" s="23" t="n"/>
      <c r="C4" s="23" t="n"/>
      <c r="D4" s="22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2" t="n"/>
    </row>
    <row r="5">
      <c r="A5" s="25" t="n"/>
      <c r="B5" s="26" t="n"/>
      <c r="C5" s="26" t="n"/>
      <c r="D5" s="25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5" t="n"/>
    </row>
    <row r="6">
      <c r="A6" s="22" t="n"/>
      <c r="B6" s="23" t="n"/>
      <c r="C6" s="23" t="n"/>
      <c r="D6" s="22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2" t="n"/>
    </row>
    <row r="7">
      <c r="A7" s="25" t="n"/>
      <c r="B7" s="26" t="n"/>
      <c r="C7" s="26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5" t="n"/>
    </row>
    <row r="8">
      <c r="A8" s="22" t="n"/>
      <c r="B8" s="23" t="n"/>
      <c r="C8" s="23" t="n"/>
      <c r="D8" s="22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2" t="n"/>
    </row>
    <row r="9">
      <c r="A9" s="25" t="n"/>
      <c r="B9" s="26" t="n"/>
      <c r="C9" s="26" t="n"/>
      <c r="D9" s="25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5" t="n"/>
    </row>
    <row r="10">
      <c r="A10" s="22" t="n"/>
      <c r="B10" s="23" t="n"/>
      <c r="C10" s="23" t="n"/>
      <c r="D10" s="22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2" t="n"/>
    </row>
    <row r="11">
      <c r="A11" s="25" t="n"/>
      <c r="B11" s="26" t="n"/>
      <c r="C11" s="26" t="n"/>
      <c r="D11" s="25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5" t="n"/>
    </row>
    <row r="12">
      <c r="A12" s="22" t="n"/>
      <c r="B12" s="23" t="n"/>
      <c r="C12" s="23" t="n"/>
      <c r="D12" s="22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2" t="n"/>
    </row>
    <row r="13">
      <c r="A13" s="25" t="n"/>
      <c r="B13" s="26" t="n"/>
      <c r="C13" s="26" t="n"/>
      <c r="D13" s="25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5" t="n"/>
    </row>
    <row r="14">
      <c r="A14" s="22" t="n"/>
      <c r="B14" s="23" t="n"/>
      <c r="C14" s="23" t="n"/>
      <c r="D14" s="22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2" t="n"/>
    </row>
    <row r="15">
      <c r="A15" s="25" t="n"/>
      <c r="B15" s="26" t="n"/>
      <c r="C15" s="26" t="n"/>
      <c r="D15" s="25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5" t="n"/>
    </row>
    <row r="16">
      <c r="A16" s="22" t="n"/>
      <c r="B16" s="23" t="n"/>
      <c r="C16" s="23" t="n"/>
      <c r="D16" s="22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2" t="n"/>
    </row>
    <row r="17">
      <c r="A17" s="25" t="n"/>
      <c r="B17" s="26" t="n"/>
      <c r="C17" s="26" t="n"/>
      <c r="D17" s="25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5" t="n"/>
    </row>
    <row r="18">
      <c r="A18" s="22" t="n"/>
      <c r="B18" s="23" t="n"/>
      <c r="C18" s="23" t="n"/>
      <c r="D18" s="22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2" t="n"/>
    </row>
    <row r="19">
      <c r="A19" s="25" t="n"/>
      <c r="B19" s="26" t="n"/>
      <c r="C19" s="26" t="n"/>
      <c r="D19" s="25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5" t="n"/>
    </row>
    <row r="20">
      <c r="A20" s="22" t="n"/>
      <c r="B20" s="23" t="n"/>
      <c r="C20" s="23" t="n"/>
      <c r="D20" s="22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2" t="n"/>
    </row>
    <row r="21">
      <c r="A21" s="25" t="n"/>
      <c r="B21" s="26" t="n"/>
      <c r="C21" s="26" t="n"/>
      <c r="D21" s="25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5" t="n"/>
    </row>
    <row r="22">
      <c r="A22" s="22" t="n"/>
      <c r="B22" s="23" t="n"/>
      <c r="C22" s="23" t="n"/>
      <c r="D22" s="22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2" t="n"/>
    </row>
    <row r="23">
      <c r="A23" s="25" t="n"/>
      <c r="B23" s="26" t="n"/>
      <c r="C23" s="26" t="n"/>
      <c r="D23" s="25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5" t="n"/>
    </row>
    <row r="24">
      <c r="A24" s="22" t="n"/>
      <c r="B24" s="23" t="n"/>
      <c r="C24" s="23" t="n"/>
      <c r="D24" s="22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2" t="n"/>
    </row>
    <row r="25">
      <c r="A25" s="25" t="n"/>
      <c r="B25" s="26" t="n"/>
      <c r="C25" s="26" t="n"/>
      <c r="D25" s="25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5" t="n"/>
    </row>
    <row r="26">
      <c r="A26" s="22" t="n"/>
      <c r="B26" s="23" t="n"/>
      <c r="C26" s="23" t="n"/>
      <c r="D26" s="22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2" t="n"/>
    </row>
    <row r="27">
      <c r="A27" s="25" t="n"/>
      <c r="B27" s="26" t="n"/>
      <c r="C27" s="26" t="n"/>
      <c r="D27" s="25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5" t="n"/>
    </row>
    <row r="28">
      <c r="A28" s="22" t="n"/>
      <c r="B28" s="23" t="n"/>
      <c r="C28" s="23" t="n"/>
      <c r="D28" s="22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2" t="n"/>
    </row>
    <row r="29">
      <c r="A29" s="25" t="n"/>
      <c r="B29" s="26" t="n"/>
      <c r="C29" s="26" t="n"/>
      <c r="D29" s="25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5" t="n"/>
    </row>
    <row r="30">
      <c r="A30" s="22" t="n"/>
      <c r="B30" s="23" t="n"/>
      <c r="C30" s="23" t="n"/>
      <c r="D30" s="22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2" t="n"/>
    </row>
    <row r="31">
      <c r="A31" s="25" t="n"/>
      <c r="B31" s="26" t="n"/>
      <c r="C31" s="26" t="n"/>
      <c r="D31" s="25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5" t="n"/>
    </row>
    <row r="32">
      <c r="A32" s="22" t="n"/>
      <c r="B32" s="23" t="n"/>
      <c r="C32" s="23" t="n"/>
      <c r="D32" s="22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2" t="n"/>
    </row>
    <row r="33">
      <c r="A33" s="25" t="n"/>
      <c r="B33" s="26" t="n"/>
      <c r="C33" s="26" t="n"/>
      <c r="D33" s="25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5" t="n"/>
    </row>
    <row r="34">
      <c r="A34" s="22" t="n"/>
      <c r="B34" s="23" t="n"/>
      <c r="C34" s="23" t="n"/>
      <c r="D34" s="22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2" t="n"/>
    </row>
    <row r="35">
      <c r="A35" s="25" t="n"/>
      <c r="B35" s="26" t="n"/>
      <c r="C35" s="26" t="n"/>
      <c r="D35" s="25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5" t="n"/>
    </row>
    <row r="36">
      <c r="A36" s="22" t="n"/>
      <c r="B36" s="23" t="n"/>
      <c r="C36" s="23" t="n"/>
      <c r="D36" s="22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2" t="n"/>
    </row>
    <row r="37">
      <c r="A37" s="25" t="n"/>
      <c r="B37" s="26" t="n"/>
      <c r="C37" s="26" t="n"/>
      <c r="D37" s="25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5" t="n"/>
    </row>
    <row r="38">
      <c r="A38" s="22" t="n"/>
      <c r="B38" s="23" t="n"/>
      <c r="C38" s="23" t="n"/>
      <c r="D38" s="22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2" t="n"/>
    </row>
    <row r="39">
      <c r="A39" s="25" t="n"/>
      <c r="B39" s="26" t="n"/>
      <c r="C39" s="26" t="n"/>
      <c r="D39" s="25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5" t="n"/>
    </row>
    <row r="40">
      <c r="A40" s="22" t="n"/>
      <c r="B40" s="23" t="n"/>
      <c r="C40" s="23" t="n"/>
      <c r="D40" s="22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2" t="n"/>
    </row>
    <row r="41">
      <c r="A41" s="25" t="n"/>
      <c r="B41" s="26" t="n"/>
      <c r="C41" s="26" t="n"/>
      <c r="D41" s="25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5" t="n"/>
    </row>
    <row r="42">
      <c r="A42" s="22" t="n"/>
      <c r="B42" s="23" t="n"/>
      <c r="C42" s="23" t="n"/>
      <c r="D42" s="22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2" t="n"/>
    </row>
    <row r="43">
      <c r="A43" s="25" t="n"/>
      <c r="B43" s="26" t="n"/>
      <c r="C43" s="26" t="n"/>
      <c r="D43" s="25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5" t="n"/>
    </row>
    <row r="44">
      <c r="A44" s="22" t="n"/>
      <c r="B44" s="23" t="n"/>
      <c r="C44" s="23" t="n"/>
      <c r="D44" s="22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2" t="n"/>
    </row>
    <row r="45">
      <c r="A45" s="25" t="n"/>
      <c r="B45" s="26" t="n"/>
      <c r="C45" s="26" t="n"/>
      <c r="D45" s="25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5" t="n"/>
    </row>
    <row r="46">
      <c r="A46" s="22" t="n"/>
      <c r="B46" s="23" t="n"/>
      <c r="C46" s="23" t="n"/>
      <c r="D46" s="22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2" t="n"/>
    </row>
    <row r="47">
      <c r="A47" s="25" t="n"/>
      <c r="B47" s="26" t="n"/>
      <c r="C47" s="26" t="n"/>
      <c r="D47" s="25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5" t="n"/>
    </row>
    <row r="48">
      <c r="A48" s="22" t="n"/>
      <c r="B48" s="23" t="n"/>
      <c r="C48" s="23" t="n"/>
      <c r="D48" s="22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2" t="n"/>
    </row>
    <row r="49">
      <c r="A49" s="25" t="n"/>
      <c r="B49" s="26" t="n"/>
      <c r="C49" s="26" t="n"/>
      <c r="D49" s="25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5" t="n"/>
    </row>
    <row r="50">
      <c r="A50" s="22" t="n"/>
      <c r="B50" s="23" t="n"/>
      <c r="C50" s="23" t="n"/>
      <c r="D50" s="22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2" t="n"/>
    </row>
    <row r="51">
      <c r="A51" s="25" t="n"/>
      <c r="B51" s="26" t="n"/>
      <c r="C51" s="26" t="n"/>
      <c r="D51" s="25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5" t="n"/>
    </row>
    <row r="52">
      <c r="A52" s="22" t="n"/>
      <c r="B52" s="23" t="n"/>
      <c r="C52" s="23" t="n"/>
      <c r="D52" s="22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2" t="n"/>
    </row>
    <row r="53">
      <c r="A53" s="25" t="n"/>
      <c r="B53" s="26" t="n"/>
      <c r="C53" s="26" t="n"/>
      <c r="D53" s="25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5" t="n"/>
    </row>
    <row r="54">
      <c r="A54" s="22" t="n"/>
      <c r="B54" s="23" t="n"/>
      <c r="C54" s="23" t="n"/>
      <c r="D54" s="22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2" t="n"/>
    </row>
    <row r="55">
      <c r="A55" s="25" t="n"/>
      <c r="B55" s="26" t="n"/>
      <c r="C55" s="26" t="n"/>
      <c r="D55" s="25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5" t="n"/>
    </row>
    <row r="56">
      <c r="A56" s="22" t="n"/>
      <c r="B56" s="23" t="n"/>
      <c r="C56" s="23" t="n"/>
      <c r="D56" s="22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2" t="n"/>
    </row>
    <row r="57">
      <c r="A57" s="25" t="n"/>
      <c r="B57" s="26" t="n"/>
      <c r="C57" s="26" t="n"/>
      <c r="D57" s="25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5" t="n"/>
    </row>
    <row r="58">
      <c r="A58" s="22" t="n"/>
      <c r="B58" s="23" t="n"/>
      <c r="C58" s="23" t="n"/>
      <c r="D58" s="22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2" t="n"/>
    </row>
    <row r="59">
      <c r="A59" s="25" t="n"/>
      <c r="B59" s="26" t="n"/>
      <c r="C59" s="26" t="n"/>
      <c r="D59" s="25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5" t="n"/>
    </row>
    <row r="60">
      <c r="A60" s="22" t="n"/>
      <c r="B60" s="23" t="n"/>
      <c r="C60" s="23" t="n"/>
      <c r="D60" s="22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2" t="n"/>
    </row>
    <row r="61">
      <c r="A61" s="25" t="n"/>
      <c r="B61" s="26" t="n"/>
      <c r="C61" s="26" t="n"/>
      <c r="D61" s="25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5" t="n"/>
    </row>
    <row r="62">
      <c r="A62" s="22" t="n"/>
      <c r="B62" s="23" t="n"/>
      <c r="C62" s="23" t="n"/>
      <c r="D62" s="22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2" t="n"/>
    </row>
    <row r="63">
      <c r="A63" s="25" t="n"/>
      <c r="B63" s="26" t="n"/>
      <c r="C63" s="26" t="n"/>
      <c r="D63" s="25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5" t="n"/>
    </row>
    <row r="64">
      <c r="A64" s="22" t="n"/>
      <c r="B64" s="23" t="n"/>
      <c r="C64" s="23" t="n"/>
      <c r="D64" s="22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2" t="n"/>
    </row>
    <row r="65">
      <c r="A65" s="25" t="n"/>
      <c r="B65" s="26" t="n"/>
      <c r="C65" s="26" t="n"/>
      <c r="D65" s="25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5" t="n"/>
    </row>
    <row r="66">
      <c r="A66" s="22" t="n"/>
      <c r="B66" s="23" t="n"/>
      <c r="C66" s="23" t="n"/>
      <c r="D66" s="22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2" t="n"/>
    </row>
    <row r="67">
      <c r="A67" s="25" t="n"/>
      <c r="B67" s="26" t="n"/>
      <c r="C67" s="26" t="n"/>
      <c r="D67" s="25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5" t="n"/>
    </row>
    <row r="68">
      <c r="A68" s="22" t="n"/>
      <c r="B68" s="23" t="n"/>
      <c r="C68" s="23" t="n"/>
      <c r="D68" s="22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2" t="n"/>
    </row>
    <row r="69">
      <c r="A69" s="25" t="n"/>
      <c r="B69" s="26" t="n"/>
      <c r="C69" s="26" t="n"/>
      <c r="D69" s="25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5" t="n"/>
    </row>
    <row r="70">
      <c r="A70" s="22" t="n"/>
      <c r="B70" s="23" t="n"/>
      <c r="C70" s="23" t="n"/>
      <c r="D70" s="22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2" t="n"/>
    </row>
    <row r="71">
      <c r="A71" s="25" t="n"/>
      <c r="B71" s="26" t="n"/>
      <c r="C71" s="26" t="n"/>
      <c r="D71" s="25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5" t="n"/>
    </row>
    <row r="72">
      <c r="A72" s="22" t="n"/>
      <c r="B72" s="23" t="n"/>
      <c r="C72" s="23" t="n"/>
      <c r="D72" s="22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2" t="n"/>
    </row>
    <row r="73">
      <c r="A73" s="25" t="n"/>
      <c r="B73" s="26" t="n"/>
      <c r="C73" s="26" t="n"/>
      <c r="D73" s="25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5" t="n"/>
    </row>
    <row r="74">
      <c r="A74" s="22" t="n"/>
      <c r="B74" s="23" t="n"/>
      <c r="C74" s="23" t="n"/>
      <c r="D74" s="22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2" t="n"/>
    </row>
    <row r="75">
      <c r="A75" s="25" t="n"/>
      <c r="B75" s="26" t="n"/>
      <c r="C75" s="26" t="n"/>
      <c r="D75" s="25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5" t="n"/>
    </row>
    <row r="76">
      <c r="A76" s="22" t="n"/>
      <c r="B76" s="23" t="n"/>
      <c r="C76" s="23" t="n"/>
      <c r="D76" s="22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2" t="n"/>
    </row>
    <row r="77">
      <c r="A77" s="25" t="n"/>
      <c r="B77" s="26" t="n"/>
      <c r="C77" s="26" t="n"/>
      <c r="D77" s="25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5" t="n"/>
    </row>
    <row r="78">
      <c r="A78" s="22" t="n"/>
      <c r="B78" s="23" t="n"/>
      <c r="C78" s="23" t="n"/>
      <c r="D78" s="22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2" t="n"/>
    </row>
    <row r="79">
      <c r="A79" s="25" t="n"/>
      <c r="B79" s="26" t="n"/>
      <c r="C79" s="26" t="n"/>
      <c r="D79" s="25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5" t="n"/>
    </row>
    <row r="80">
      <c r="A80" s="22" t="n"/>
      <c r="B80" s="23" t="n"/>
      <c r="C80" s="23" t="n"/>
      <c r="D80" s="22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2" t="n"/>
    </row>
    <row r="81">
      <c r="A81" s="25" t="n"/>
      <c r="B81" s="26" t="n"/>
      <c r="C81" s="26" t="n"/>
      <c r="D81" s="25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5" t="n"/>
    </row>
    <row r="82">
      <c r="A82" s="22" t="n"/>
      <c r="B82" s="23" t="n"/>
      <c r="C82" s="23" t="n"/>
      <c r="D82" s="22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2" t="n"/>
    </row>
    <row r="83">
      <c r="A83" s="25" t="n"/>
      <c r="B83" s="26" t="n"/>
      <c r="C83" s="26" t="n"/>
      <c r="D83" s="25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5" t="n"/>
    </row>
    <row r="84">
      <c r="A84" s="22" t="n"/>
      <c r="B84" s="23" t="n"/>
      <c r="C84" s="23" t="n"/>
      <c r="D84" s="22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2" t="n"/>
    </row>
    <row r="85">
      <c r="A85" s="25" t="n"/>
      <c r="B85" s="26" t="n"/>
      <c r="C85" s="26" t="n"/>
      <c r="D85" s="25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5" t="n"/>
    </row>
    <row r="86">
      <c r="A86" s="22" t="n"/>
      <c r="B86" s="23" t="n"/>
      <c r="C86" s="23" t="n"/>
      <c r="D86" s="22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2" t="n"/>
    </row>
    <row r="87">
      <c r="A87" s="25" t="n"/>
      <c r="B87" s="26" t="n"/>
      <c r="C87" s="26" t="n"/>
      <c r="D87" s="25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5" t="n"/>
    </row>
    <row r="88">
      <c r="A88" s="22" t="n"/>
      <c r="B88" s="23" t="n"/>
      <c r="C88" s="23" t="n"/>
      <c r="D88" s="22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2" t="n"/>
    </row>
    <row r="89">
      <c r="A89" s="25" t="n"/>
      <c r="B89" s="26" t="n"/>
      <c r="C89" s="26" t="n"/>
      <c r="D89" s="25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5" t="n"/>
    </row>
    <row r="90">
      <c r="A90" s="22" t="n"/>
      <c r="B90" s="23" t="n"/>
      <c r="C90" s="23" t="n"/>
      <c r="D90" s="22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2" t="n"/>
    </row>
    <row r="91">
      <c r="A91" s="25" t="n"/>
      <c r="B91" s="26" t="n"/>
      <c r="C91" s="26" t="n"/>
      <c r="D91" s="25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5" t="n"/>
    </row>
    <row r="92">
      <c r="A92" s="22" t="n"/>
      <c r="B92" s="23" t="n"/>
      <c r="C92" s="23" t="n"/>
      <c r="D92" s="22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2" t="n"/>
    </row>
    <row r="93">
      <c r="A93" s="25" t="n"/>
      <c r="B93" s="26" t="n"/>
      <c r="C93" s="26" t="n"/>
      <c r="D93" s="25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5" t="n"/>
    </row>
    <row r="94">
      <c r="A94" s="22" t="n"/>
      <c r="B94" s="23" t="n"/>
      <c r="C94" s="23" t="n"/>
      <c r="D94" s="22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2" t="n"/>
    </row>
    <row r="95">
      <c r="A95" s="25" t="n"/>
      <c r="B95" s="26" t="n"/>
      <c r="C95" s="26" t="n"/>
      <c r="D95" s="25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5" t="n"/>
    </row>
    <row r="96">
      <c r="A96" s="22" t="n"/>
      <c r="B96" s="23" t="n"/>
      <c r="C96" s="23" t="n"/>
      <c r="D96" s="22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2" t="n"/>
    </row>
    <row r="97">
      <c r="A97" s="25" t="n"/>
      <c r="B97" s="26" t="n"/>
      <c r="C97" s="26" t="n"/>
      <c r="D97" s="25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5" t="n"/>
    </row>
    <row r="98">
      <c r="A98" s="22" t="n"/>
      <c r="B98" s="23" t="n"/>
      <c r="C98" s="23" t="n"/>
      <c r="D98" s="22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2" t="n"/>
    </row>
    <row r="99">
      <c r="A99" s="25" t="n"/>
      <c r="B99" s="26" t="n"/>
      <c r="C99" s="26" t="n"/>
      <c r="D99" s="25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5" t="n"/>
    </row>
    <row r="100">
      <c r="A100" s="22" t="n"/>
      <c r="B100" s="23" t="n"/>
      <c r="C100" s="23" t="n"/>
      <c r="D100" s="22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2" t="n"/>
    </row>
    <row r="101">
      <c r="A101" s="25" t="n"/>
      <c r="B101" s="26" t="n"/>
      <c r="C101" s="26" t="n"/>
      <c r="D101" s="25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5" t="n"/>
    </row>
    <row r="102">
      <c r="A102" s="22" t="n"/>
      <c r="B102" s="23" t="n"/>
      <c r="C102" s="23" t="n"/>
      <c r="D102" s="22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2" t="n"/>
    </row>
    <row r="103">
      <c r="A103" s="25" t="n"/>
      <c r="B103" s="26" t="n"/>
      <c r="C103" s="26" t="n"/>
      <c r="D103" s="25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5" t="n"/>
    </row>
    <row r="104">
      <c r="A104" s="22" t="n"/>
      <c r="B104" s="23" t="n"/>
      <c r="C104" s="23" t="n"/>
      <c r="D104" s="22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2" t="n"/>
    </row>
    <row r="105">
      <c r="A105" s="25" t="n"/>
      <c r="B105" s="26" t="n"/>
      <c r="C105" s="26" t="n"/>
      <c r="D105" s="25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5" t="n"/>
    </row>
    <row r="106">
      <c r="A106" s="22" t="n"/>
      <c r="B106" s="23" t="n"/>
      <c r="C106" s="23" t="n"/>
      <c r="D106" s="22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2" t="n"/>
    </row>
    <row r="107">
      <c r="A107" s="25" t="n"/>
      <c r="B107" s="26" t="n"/>
      <c r="C107" s="26" t="n"/>
      <c r="D107" s="25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5" t="n"/>
    </row>
    <row r="108">
      <c r="A108" s="22" t="n"/>
      <c r="B108" s="23" t="n"/>
      <c r="C108" s="23" t="n"/>
      <c r="D108" s="22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2" t="n"/>
    </row>
    <row r="109">
      <c r="A109" s="25" t="n"/>
      <c r="B109" s="26" t="n"/>
      <c r="C109" s="26" t="n"/>
      <c r="D109" s="25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5" t="n"/>
    </row>
    <row r="110">
      <c r="A110" s="22" t="n"/>
      <c r="B110" s="23" t="n"/>
      <c r="C110" s="23" t="n"/>
      <c r="D110" s="22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2" t="n"/>
    </row>
    <row r="111">
      <c r="A111" s="25" t="n"/>
      <c r="B111" s="26" t="n"/>
      <c r="C111" s="26" t="n"/>
      <c r="D111" s="25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5" t="n"/>
    </row>
    <row r="112">
      <c r="A112" s="22" t="n"/>
      <c r="B112" s="23" t="n"/>
      <c r="C112" s="23" t="n"/>
      <c r="D112" s="22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2" t="n"/>
    </row>
    <row r="113">
      <c r="A113" s="25" t="n"/>
      <c r="B113" s="26" t="n"/>
      <c r="C113" s="26" t="n"/>
      <c r="D113" s="25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5" t="n"/>
    </row>
    <row r="114">
      <c r="A114" s="22" t="n"/>
      <c r="B114" s="23" t="n"/>
      <c r="C114" s="23" t="n"/>
      <c r="D114" s="22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2" t="n"/>
    </row>
    <row r="115">
      <c r="A115" s="25" t="n"/>
      <c r="B115" s="26" t="n"/>
      <c r="C115" s="26" t="n"/>
      <c r="D115" s="25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5" t="n"/>
    </row>
    <row r="116">
      <c r="A116" s="22" t="n"/>
      <c r="B116" s="23" t="n"/>
      <c r="C116" s="23" t="n"/>
      <c r="D116" s="22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2" t="n"/>
    </row>
    <row r="117">
      <c r="A117" s="25" t="n"/>
      <c r="B117" s="26" t="n"/>
      <c r="C117" s="26" t="n"/>
      <c r="D117" s="25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5" t="n"/>
    </row>
    <row r="118">
      <c r="A118" s="22" t="n"/>
      <c r="B118" s="23" t="n"/>
      <c r="C118" s="23" t="n"/>
      <c r="D118" s="22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2" t="n"/>
    </row>
    <row r="119">
      <c r="A119" s="25" t="n"/>
      <c r="B119" s="26" t="n"/>
      <c r="C119" s="26" t="n"/>
      <c r="D119" s="25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5" t="n"/>
    </row>
    <row r="120">
      <c r="A120" s="22" t="n"/>
      <c r="B120" s="23" t="n"/>
      <c r="C120" s="23" t="n"/>
      <c r="D120" s="22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2" t="n"/>
    </row>
    <row r="121">
      <c r="A121" s="25" t="n"/>
      <c r="B121" s="26" t="n"/>
      <c r="C121" s="26" t="n"/>
      <c r="D121" s="25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5" t="n"/>
    </row>
    <row r="122">
      <c r="A122" s="22" t="n"/>
      <c r="B122" s="23" t="n"/>
      <c r="C122" s="23" t="n"/>
      <c r="D122" s="22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2" t="n"/>
    </row>
    <row r="123">
      <c r="A123" s="25" t="n"/>
      <c r="B123" s="26" t="n"/>
      <c r="C123" s="26" t="n"/>
      <c r="D123" s="25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5" t="n"/>
    </row>
    <row r="124">
      <c r="A124" s="22" t="n"/>
      <c r="B124" s="23" t="n"/>
      <c r="C124" s="23" t="n"/>
      <c r="D124" s="22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2" t="n"/>
    </row>
    <row r="125">
      <c r="A125" s="25" t="n"/>
      <c r="B125" s="26" t="n"/>
      <c r="C125" s="26" t="n"/>
      <c r="D125" s="25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5" t="n"/>
    </row>
    <row r="126">
      <c r="A126" s="22" t="n"/>
      <c r="B126" s="23" t="n"/>
      <c r="C126" s="23" t="n"/>
      <c r="D126" s="22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2" t="n"/>
    </row>
    <row r="127">
      <c r="A127" s="25" t="n"/>
      <c r="B127" s="26" t="n"/>
      <c r="C127" s="26" t="n"/>
      <c r="D127" s="25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5" t="n"/>
    </row>
    <row r="128">
      <c r="A128" s="22" t="n"/>
      <c r="B128" s="23" t="n"/>
      <c r="C128" s="23" t="n"/>
      <c r="D128" s="22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2" t="n"/>
    </row>
    <row r="129">
      <c r="A129" s="25" t="n"/>
      <c r="B129" s="26" t="n"/>
      <c r="C129" s="26" t="n"/>
      <c r="D129" s="25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5" t="n"/>
    </row>
    <row r="130">
      <c r="A130" s="22" t="n"/>
      <c r="B130" s="23" t="n"/>
      <c r="C130" s="23" t="n"/>
      <c r="D130" s="22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2" t="n"/>
    </row>
    <row r="131">
      <c r="A131" s="25" t="n"/>
      <c r="B131" s="26" t="n"/>
      <c r="C131" s="26" t="n"/>
      <c r="D131" s="25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5" t="n"/>
    </row>
    <row r="132">
      <c r="A132" s="22" t="n"/>
      <c r="B132" s="23" t="n"/>
      <c r="C132" s="23" t="n"/>
      <c r="D132" s="22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2" t="n"/>
    </row>
    <row r="133">
      <c r="A133" s="25" t="n"/>
      <c r="B133" s="26" t="n"/>
      <c r="C133" s="26" t="n"/>
      <c r="D133" s="25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5" t="n"/>
    </row>
    <row r="134">
      <c r="A134" s="22" t="n"/>
      <c r="B134" s="23" t="n"/>
      <c r="C134" s="23" t="n"/>
      <c r="D134" s="22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2" t="n"/>
    </row>
    <row r="135">
      <c r="A135" s="25" t="n"/>
      <c r="B135" s="26" t="n"/>
      <c r="C135" s="26" t="n"/>
      <c r="D135" s="25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5" t="n"/>
    </row>
    <row r="136">
      <c r="A136" s="22" t="n"/>
      <c r="B136" s="23" t="n"/>
      <c r="C136" s="23" t="n"/>
      <c r="D136" s="22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2" t="n"/>
    </row>
    <row r="137">
      <c r="A137" s="25" t="n"/>
      <c r="B137" s="26" t="n"/>
      <c r="C137" s="26" t="n"/>
      <c r="D137" s="25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5" t="n"/>
    </row>
    <row r="138">
      <c r="A138" s="22" t="n"/>
      <c r="B138" s="23" t="n"/>
      <c r="C138" s="23" t="n"/>
      <c r="D138" s="22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2" t="n"/>
    </row>
    <row r="139">
      <c r="A139" s="25" t="n"/>
      <c r="B139" s="26" t="n"/>
      <c r="C139" s="26" t="n"/>
      <c r="D139" s="25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5" t="n"/>
    </row>
    <row r="140">
      <c r="A140" s="22" t="n"/>
      <c r="B140" s="23" t="n"/>
      <c r="C140" s="23" t="n"/>
      <c r="D140" s="22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2" t="n"/>
    </row>
    <row r="141">
      <c r="A141" s="25" t="n"/>
      <c r="B141" s="26" t="n"/>
      <c r="C141" s="26" t="n"/>
      <c r="D141" s="25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5" t="n"/>
    </row>
    <row r="142">
      <c r="A142" s="22" t="n"/>
      <c r="B142" s="23" t="n"/>
      <c r="C142" s="23" t="n"/>
      <c r="D142" s="22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2" t="n"/>
    </row>
    <row r="143">
      <c r="A143" s="25" t="n"/>
      <c r="B143" s="26" t="n"/>
      <c r="C143" s="26" t="n"/>
      <c r="D143" s="25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5" t="n"/>
    </row>
    <row r="144">
      <c r="A144" s="22" t="n"/>
      <c r="B144" s="23" t="n"/>
      <c r="C144" s="23" t="n"/>
      <c r="D144" s="22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2" t="n"/>
    </row>
    <row r="145">
      <c r="A145" s="25" t="n"/>
      <c r="B145" s="26" t="n"/>
      <c r="C145" s="26" t="n"/>
      <c r="D145" s="25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5" t="n"/>
    </row>
    <row r="146">
      <c r="A146" s="22" t="n"/>
      <c r="B146" s="23" t="n"/>
      <c r="C146" s="23" t="n"/>
      <c r="D146" s="22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2" t="n"/>
    </row>
    <row r="147">
      <c r="A147" s="25" t="n"/>
      <c r="B147" s="26" t="n"/>
      <c r="C147" s="26" t="n"/>
      <c r="D147" s="25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5" t="n"/>
    </row>
    <row r="148">
      <c r="A148" s="22" t="n"/>
      <c r="B148" s="23" t="n"/>
      <c r="C148" s="23" t="n"/>
      <c r="D148" s="22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2" t="n"/>
    </row>
    <row r="149">
      <c r="A149" s="25" t="n"/>
      <c r="B149" s="26" t="n"/>
      <c r="C149" s="26" t="n"/>
      <c r="D149" s="25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5" t="n"/>
    </row>
    <row r="150">
      <c r="A150" s="22" t="n"/>
      <c r="B150" s="23" t="n"/>
      <c r="C150" s="23" t="n"/>
      <c r="D150" s="22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2" t="n"/>
    </row>
    <row r="151">
      <c r="A151" s="25" t="n"/>
      <c r="B151" s="26" t="n"/>
      <c r="C151" s="26" t="n"/>
      <c r="D151" s="25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5" t="n"/>
    </row>
    <row r="152">
      <c r="A152" s="22" t="n"/>
      <c r="B152" s="23" t="n"/>
      <c r="C152" s="23" t="n"/>
      <c r="D152" s="22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2" t="n"/>
    </row>
    <row r="153">
      <c r="A153" s="25" t="n"/>
      <c r="B153" s="26" t="n"/>
      <c r="C153" s="26" t="n"/>
      <c r="D153" s="25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5" t="n"/>
    </row>
    <row r="155">
      <c r="A155" s="6" t="inlineStr">
        <is>
          <t>RSVP SUMMARY</t>
        </is>
      </c>
      <c r="B155" s="7" t="n"/>
    </row>
    <row r="156">
      <c r="A156" s="15" t="inlineStr">
        <is>
          <t>Total Invited:</t>
        </is>
      </c>
      <c r="B156" s="17">
        <f>COUNTA(A4:A153)</f>
        <v/>
      </c>
    </row>
    <row r="157">
      <c r="A157" s="19" t="inlineStr">
        <is>
          <t>Attending:</t>
        </is>
      </c>
      <c r="B157" s="21">
        <f>COUNTIF(J4:J153,"Attending")</f>
        <v/>
      </c>
    </row>
    <row r="158">
      <c r="A158" s="15" t="inlineStr">
        <is>
          <t>Declined:</t>
        </is>
      </c>
      <c r="B158" s="17">
        <f>COUNTIF(J4:J153,"Declined")</f>
        <v/>
      </c>
    </row>
    <row r="159">
      <c r="A159" s="19" t="inlineStr">
        <is>
          <t>Pending:</t>
        </is>
      </c>
      <c r="B159" s="21">
        <f>COUNTIF(J4:J153,"Pending")</f>
        <v/>
      </c>
    </row>
    <row r="160">
      <c r="A160" s="15" t="inlineStr">
        <is>
          <t>Plus Ones:</t>
        </is>
      </c>
      <c r="B160" s="17">
        <f>COUNTIF(G4:G153,"Yes")</f>
        <v/>
      </c>
    </row>
    <row r="161">
      <c r="A161" s="19" t="inlineStr">
        <is>
          <t>Thank Yous Sent:</t>
        </is>
      </c>
      <c r="B161" s="21">
        <f>COUNTIF(M4:M153,"Yes")</f>
        <v/>
      </c>
    </row>
  </sheetData>
  <mergeCells count="3">
    <mergeCell ref="A155:B155"/>
    <mergeCell ref="A2:N2"/>
    <mergeCell ref="A1:N1"/>
  </mergeCells>
  <conditionalFormatting sqref="J4:J153">
    <cfRule type="cellIs" priority="1" operator="equal" dxfId="0">
      <formula>"Attending"</formula>
    </cfRule>
    <cfRule type="cellIs" priority="2" operator="equal" dxfId="1">
      <formula>"Declined"</formula>
    </cfRule>
    <cfRule type="cellIs" priority="3" operator="equal" dxfId="2">
      <formula>"Pending"</formula>
    </cfRule>
  </conditionalFormatting>
  <dataValidations count="4">
    <dataValidation sqref="E4:E153" showDropDown="0" showInputMessage="0" showErrorMessage="0" allowBlank="1" errorTitle="Invalid Entry" error="Please select from the dropdown list." promptTitle="Choose" prompt="Select an option" type="list">
      <formula1>"Bride,Groom,Both"</formula1>
    </dataValidation>
    <dataValidation sqref="G4:G153" showDropDown="0" showInputMessage="0" showErrorMessage="0" allowBlank="1" errorTitle="Invalid Entry" error="Please select from the dropdown list." promptTitle="Choose" prompt="Select an option" type="list">
      <formula1>"Yes,No"</formula1>
    </dataValidation>
    <dataValidation sqref="J4:J153" showDropDown="0" showInputMessage="0" showErrorMessage="0" allowBlank="1" errorTitle="Invalid Entry" error="Please select from the dropdown list." promptTitle="Choose" prompt="Select an option" type="list">
      <formula1>"Invited,Attending,Declined,Pending"</formula1>
    </dataValidation>
    <dataValidation sqref="M4:M153" showDropDown="0" showInputMessage="0" showErrorMessage="0" allowBlank="1" errorTitle="Invalid Entry" error="Please select from the dropdown list." promptTitle="Choose" prompt="Select an option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AF88"/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6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6" customWidth="1" min="10" max="10"/>
    <col width="18" customWidth="1" min="11" max="11"/>
    <col width="16" customWidth="1" min="12" max="12"/>
    <col width="16" customWidth="1" min="13" max="13"/>
    <col width="26" customWidth="1" min="14" max="14"/>
    <col width="4" customWidth="1" min="15" max="15"/>
  </cols>
  <sheetData>
    <row r="1" ht="42" customHeight="1">
      <c r="A1" s="1" t="inlineStr">
        <is>
          <t>Vendor Tracker</t>
        </is>
      </c>
    </row>
    <row r="2" ht="26" customHeight="1">
      <c r="A2" s="2" t="inlineStr">
        <is>
          <t>Contacts  |  Contracts  |  Payments  |  All Vendor Details</t>
        </is>
      </c>
    </row>
    <row r="3" ht="24" customHeight="1">
      <c r="A3" s="18" t="inlineStr">
        <is>
          <t>Vendor Category</t>
        </is>
      </c>
      <c r="B3" s="18" t="inlineStr">
        <is>
          <t>Vendor Name</t>
        </is>
      </c>
      <c r="C3" s="18" t="inlineStr">
        <is>
          <t>Contact Name</t>
        </is>
      </c>
      <c r="D3" s="18" t="inlineStr">
        <is>
          <t>Phone</t>
        </is>
      </c>
      <c r="E3" s="18" t="inlineStr">
        <is>
          <t>Email</t>
        </is>
      </c>
      <c r="F3" s="18" t="inlineStr">
        <is>
          <t>Website</t>
        </is>
      </c>
      <c r="G3" s="18" t="inlineStr">
        <is>
          <t>Contract Signed</t>
        </is>
      </c>
      <c r="H3" s="18" t="inlineStr">
        <is>
          <t>Deposit Amount</t>
        </is>
      </c>
      <c r="I3" s="18" t="inlineStr">
        <is>
          <t>Deposit Paid</t>
        </is>
      </c>
      <c r="J3" s="18" t="inlineStr">
        <is>
          <t>Total Cost</t>
        </is>
      </c>
      <c r="K3" s="18" t="inlineStr">
        <is>
          <t>Payment Due Date</t>
        </is>
      </c>
      <c r="L3" s="18" t="inlineStr">
        <is>
          <t>Balance Due</t>
        </is>
      </c>
      <c r="M3" s="18" t="inlineStr">
        <is>
          <t>Payment Status</t>
        </is>
      </c>
      <c r="N3" s="18" t="inlineStr">
        <is>
          <t>Notes</t>
        </is>
      </c>
    </row>
    <row r="4">
      <c r="A4" s="22" t="inlineStr">
        <is>
          <t>Venue</t>
        </is>
      </c>
      <c r="B4" s="23" t="n"/>
      <c r="C4" s="23" t="n"/>
      <c r="D4" s="23" t="n"/>
      <c r="E4" s="23" t="n"/>
      <c r="F4" s="23" t="n"/>
      <c r="G4" s="23" t="n"/>
      <c r="H4" s="34" t="n"/>
      <c r="I4" s="23" t="n"/>
      <c r="J4" s="34" t="n"/>
      <c r="K4" s="38" t="n"/>
      <c r="L4" s="34">
        <f>IF(J4="","",J4-H4)</f>
        <v/>
      </c>
      <c r="M4" s="23" t="n"/>
      <c r="N4" s="22" t="n"/>
    </row>
    <row r="5">
      <c r="A5" s="25" t="inlineStr">
        <is>
          <t>Caterer</t>
        </is>
      </c>
      <c r="B5" s="26" t="n"/>
      <c r="C5" s="26" t="n"/>
      <c r="D5" s="26" t="n"/>
      <c r="E5" s="26" t="n"/>
      <c r="F5" s="26" t="n"/>
      <c r="G5" s="26" t="n"/>
      <c r="H5" s="35" t="n"/>
      <c r="I5" s="26" t="n"/>
      <c r="J5" s="35" t="n"/>
      <c r="K5" s="39" t="n"/>
      <c r="L5" s="35">
        <f>IF(J5="","",J5-H5)</f>
        <v/>
      </c>
      <c r="M5" s="26" t="n"/>
      <c r="N5" s="25" t="n"/>
    </row>
    <row r="6">
      <c r="A6" s="22" t="inlineStr">
        <is>
          <t>Photographer</t>
        </is>
      </c>
      <c r="B6" s="23" t="n"/>
      <c r="C6" s="23" t="n"/>
      <c r="D6" s="23" t="n"/>
      <c r="E6" s="23" t="n"/>
      <c r="F6" s="23" t="n"/>
      <c r="G6" s="23" t="n"/>
      <c r="H6" s="34" t="n"/>
      <c r="I6" s="23" t="n"/>
      <c r="J6" s="34" t="n"/>
      <c r="K6" s="38" t="n"/>
      <c r="L6" s="34">
        <f>IF(J6="","",J6-H6)</f>
        <v/>
      </c>
      <c r="M6" s="23" t="n"/>
      <c r="N6" s="22" t="n"/>
    </row>
    <row r="7">
      <c r="A7" s="25" t="inlineStr">
        <is>
          <t>Videographer</t>
        </is>
      </c>
      <c r="B7" s="26" t="n"/>
      <c r="C7" s="26" t="n"/>
      <c r="D7" s="26" t="n"/>
      <c r="E7" s="26" t="n"/>
      <c r="F7" s="26" t="n"/>
      <c r="G7" s="26" t="n"/>
      <c r="H7" s="35" t="n"/>
      <c r="I7" s="26" t="n"/>
      <c r="J7" s="35" t="n"/>
      <c r="K7" s="39" t="n"/>
      <c r="L7" s="35">
        <f>IF(J7="","",J7-H7)</f>
        <v/>
      </c>
      <c r="M7" s="26" t="n"/>
      <c r="N7" s="25" t="n"/>
    </row>
    <row r="8">
      <c r="A8" s="22" t="inlineStr">
        <is>
          <t>Florist</t>
        </is>
      </c>
      <c r="B8" s="23" t="n"/>
      <c r="C8" s="23" t="n"/>
      <c r="D8" s="23" t="n"/>
      <c r="E8" s="23" t="n"/>
      <c r="F8" s="23" t="n"/>
      <c r="G8" s="23" t="n"/>
      <c r="H8" s="34" t="n"/>
      <c r="I8" s="23" t="n"/>
      <c r="J8" s="34" t="n"/>
      <c r="K8" s="38" t="n"/>
      <c r="L8" s="34">
        <f>IF(J8="","",J8-H8)</f>
        <v/>
      </c>
      <c r="M8" s="23" t="n"/>
      <c r="N8" s="22" t="n"/>
    </row>
    <row r="9">
      <c r="A9" s="25" t="inlineStr">
        <is>
          <t>DJ / Band</t>
        </is>
      </c>
      <c r="B9" s="26" t="n"/>
      <c r="C9" s="26" t="n"/>
      <c r="D9" s="26" t="n"/>
      <c r="E9" s="26" t="n"/>
      <c r="F9" s="26" t="n"/>
      <c r="G9" s="26" t="n"/>
      <c r="H9" s="35" t="n"/>
      <c r="I9" s="26" t="n"/>
      <c r="J9" s="35" t="n"/>
      <c r="K9" s="39" t="n"/>
      <c r="L9" s="35">
        <f>IF(J9="","",J9-H9)</f>
        <v/>
      </c>
      <c r="M9" s="26" t="n"/>
      <c r="N9" s="25" t="n"/>
    </row>
    <row r="10">
      <c r="A10" s="22" t="inlineStr">
        <is>
          <t>Wedding Planner</t>
        </is>
      </c>
      <c r="B10" s="23" t="n"/>
      <c r="C10" s="23" t="n"/>
      <c r="D10" s="23" t="n"/>
      <c r="E10" s="23" t="n"/>
      <c r="F10" s="23" t="n"/>
      <c r="G10" s="23" t="n"/>
      <c r="H10" s="34" t="n"/>
      <c r="I10" s="23" t="n"/>
      <c r="J10" s="34" t="n"/>
      <c r="K10" s="38" t="n"/>
      <c r="L10" s="34">
        <f>IF(J10="","",J10-H10)</f>
        <v/>
      </c>
      <c r="M10" s="23" t="n"/>
      <c r="N10" s="22" t="n"/>
    </row>
    <row r="11">
      <c r="A11" s="25" t="inlineStr">
        <is>
          <t>Officiant</t>
        </is>
      </c>
      <c r="B11" s="26" t="n"/>
      <c r="C11" s="26" t="n"/>
      <c r="D11" s="26" t="n"/>
      <c r="E11" s="26" t="n"/>
      <c r="F11" s="26" t="n"/>
      <c r="G11" s="26" t="n"/>
      <c r="H11" s="35" t="n"/>
      <c r="I11" s="26" t="n"/>
      <c r="J11" s="35" t="n"/>
      <c r="K11" s="39" t="n"/>
      <c r="L11" s="35">
        <f>IF(J11="","",J11-H11)</f>
        <v/>
      </c>
      <c r="M11" s="26" t="n"/>
      <c r="N11" s="25" t="n"/>
    </row>
    <row r="12">
      <c r="A12" s="22" t="inlineStr">
        <is>
          <t>Baker (Cake)</t>
        </is>
      </c>
      <c r="B12" s="23" t="n"/>
      <c r="C12" s="23" t="n"/>
      <c r="D12" s="23" t="n"/>
      <c r="E12" s="23" t="n"/>
      <c r="F12" s="23" t="n"/>
      <c r="G12" s="23" t="n"/>
      <c r="H12" s="34" t="n"/>
      <c r="I12" s="23" t="n"/>
      <c r="J12" s="34" t="n"/>
      <c r="K12" s="38" t="n"/>
      <c r="L12" s="34">
        <f>IF(J12="","",J12-H12)</f>
        <v/>
      </c>
      <c r="M12" s="23" t="n"/>
      <c r="N12" s="22" t="n"/>
    </row>
    <row r="13">
      <c r="A13" s="25" t="inlineStr">
        <is>
          <t>Hair Stylist</t>
        </is>
      </c>
      <c r="B13" s="26" t="n"/>
      <c r="C13" s="26" t="n"/>
      <c r="D13" s="26" t="n"/>
      <c r="E13" s="26" t="n"/>
      <c r="F13" s="26" t="n"/>
      <c r="G13" s="26" t="n"/>
      <c r="H13" s="35" t="n"/>
      <c r="I13" s="26" t="n"/>
      <c r="J13" s="35" t="n"/>
      <c r="K13" s="39" t="n"/>
      <c r="L13" s="35">
        <f>IF(J13="","",J13-H13)</f>
        <v/>
      </c>
      <c r="M13" s="26" t="n"/>
      <c r="N13" s="25" t="n"/>
    </row>
    <row r="14">
      <c r="A14" s="22" t="inlineStr">
        <is>
          <t>Makeup Artist</t>
        </is>
      </c>
      <c r="B14" s="23" t="n"/>
      <c r="C14" s="23" t="n"/>
      <c r="D14" s="23" t="n"/>
      <c r="E14" s="23" t="n"/>
      <c r="F14" s="23" t="n"/>
      <c r="G14" s="23" t="n"/>
      <c r="H14" s="34" t="n"/>
      <c r="I14" s="23" t="n"/>
      <c r="J14" s="34" t="n"/>
      <c r="K14" s="38" t="n"/>
      <c r="L14" s="34">
        <f>IF(J14="","",J14-H14)</f>
        <v/>
      </c>
      <c r="M14" s="23" t="n"/>
      <c r="N14" s="22" t="n"/>
    </row>
    <row r="15">
      <c r="A15" s="25" t="inlineStr">
        <is>
          <t>Dress / Bridal Shop</t>
        </is>
      </c>
      <c r="B15" s="26" t="n"/>
      <c r="C15" s="26" t="n"/>
      <c r="D15" s="26" t="n"/>
      <c r="E15" s="26" t="n"/>
      <c r="F15" s="26" t="n"/>
      <c r="G15" s="26" t="n"/>
      <c r="H15" s="35" t="n"/>
      <c r="I15" s="26" t="n"/>
      <c r="J15" s="35" t="n"/>
      <c r="K15" s="39" t="n"/>
      <c r="L15" s="35">
        <f>IF(J15="","",J15-H15)</f>
        <v/>
      </c>
      <c r="M15" s="26" t="n"/>
      <c r="N15" s="25" t="n"/>
    </row>
    <row r="16">
      <c r="A16" s="22" t="inlineStr">
        <is>
          <t>Tuxedo / Suit Rental</t>
        </is>
      </c>
      <c r="B16" s="23" t="n"/>
      <c r="C16" s="23" t="n"/>
      <c r="D16" s="23" t="n"/>
      <c r="E16" s="23" t="n"/>
      <c r="F16" s="23" t="n"/>
      <c r="G16" s="23" t="n"/>
      <c r="H16" s="34" t="n"/>
      <c r="I16" s="23" t="n"/>
      <c r="J16" s="34" t="n"/>
      <c r="K16" s="38" t="n"/>
      <c r="L16" s="34">
        <f>IF(J16="","",J16-H16)</f>
        <v/>
      </c>
      <c r="M16" s="23" t="n"/>
      <c r="N16" s="22" t="n"/>
    </row>
    <row r="17">
      <c r="A17" s="25" t="inlineStr">
        <is>
          <t>Invitations / Stationer</t>
        </is>
      </c>
      <c r="B17" s="26" t="n"/>
      <c r="C17" s="26" t="n"/>
      <c r="D17" s="26" t="n"/>
      <c r="E17" s="26" t="n"/>
      <c r="F17" s="26" t="n"/>
      <c r="G17" s="26" t="n"/>
      <c r="H17" s="35" t="n"/>
      <c r="I17" s="26" t="n"/>
      <c r="J17" s="35" t="n"/>
      <c r="K17" s="39" t="n"/>
      <c r="L17" s="35">
        <f>IF(J17="","",J17-H17)</f>
        <v/>
      </c>
      <c r="M17" s="26" t="n"/>
      <c r="N17" s="25" t="n"/>
    </row>
    <row r="18">
      <c r="A18" s="22" t="inlineStr">
        <is>
          <t>Transportation / Limo</t>
        </is>
      </c>
      <c r="B18" s="23" t="n"/>
      <c r="C18" s="23" t="n"/>
      <c r="D18" s="23" t="n"/>
      <c r="E18" s="23" t="n"/>
      <c r="F18" s="23" t="n"/>
      <c r="G18" s="23" t="n"/>
      <c r="H18" s="34" t="n"/>
      <c r="I18" s="23" t="n"/>
      <c r="J18" s="34" t="n"/>
      <c r="K18" s="38" t="n"/>
      <c r="L18" s="34">
        <f>IF(J18="","",J18-H18)</f>
        <v/>
      </c>
      <c r="M18" s="23" t="n"/>
      <c r="N18" s="22" t="n"/>
    </row>
    <row r="19">
      <c r="A19" s="25" t="inlineStr">
        <is>
          <t>Rentals (Tables/Chairs)</t>
        </is>
      </c>
      <c r="B19" s="26" t="n"/>
      <c r="C19" s="26" t="n"/>
      <c r="D19" s="26" t="n"/>
      <c r="E19" s="26" t="n"/>
      <c r="F19" s="26" t="n"/>
      <c r="G19" s="26" t="n"/>
      <c r="H19" s="35" t="n"/>
      <c r="I19" s="26" t="n"/>
      <c r="J19" s="35" t="n"/>
      <c r="K19" s="39" t="n"/>
      <c r="L19" s="35">
        <f>IF(J19="","",J19-H19)</f>
        <v/>
      </c>
      <c r="M19" s="26" t="n"/>
      <c r="N19" s="25" t="n"/>
    </row>
    <row r="20">
      <c r="A20" s="22" t="inlineStr">
        <is>
          <t>Lighting / Decor</t>
        </is>
      </c>
      <c r="B20" s="23" t="n"/>
      <c r="C20" s="23" t="n"/>
      <c r="D20" s="23" t="n"/>
      <c r="E20" s="23" t="n"/>
      <c r="F20" s="23" t="n"/>
      <c r="G20" s="23" t="n"/>
      <c r="H20" s="34" t="n"/>
      <c r="I20" s="23" t="n"/>
      <c r="J20" s="34" t="n"/>
      <c r="K20" s="38" t="n"/>
      <c r="L20" s="34">
        <f>IF(J20="","",J20-H20)</f>
        <v/>
      </c>
      <c r="M20" s="23" t="n"/>
      <c r="N20" s="22" t="n"/>
    </row>
    <row r="21">
      <c r="A21" s="25" t="inlineStr">
        <is>
          <t>Photo Booth</t>
        </is>
      </c>
      <c r="B21" s="26" t="n"/>
      <c r="C21" s="26" t="n"/>
      <c r="D21" s="26" t="n"/>
      <c r="E21" s="26" t="n"/>
      <c r="F21" s="26" t="n"/>
      <c r="G21" s="26" t="n"/>
      <c r="H21" s="35" t="n"/>
      <c r="I21" s="26" t="n"/>
      <c r="J21" s="35" t="n"/>
      <c r="K21" s="39" t="n"/>
      <c r="L21" s="35">
        <f>IF(J21="","",J21-H21)</f>
        <v/>
      </c>
      <c r="M21" s="26" t="n"/>
      <c r="N21" s="25" t="n"/>
    </row>
    <row r="22">
      <c r="A22" s="22" t="inlineStr">
        <is>
          <t>Jeweler (Rings)</t>
        </is>
      </c>
      <c r="B22" s="23" t="n"/>
      <c r="C22" s="23" t="n"/>
      <c r="D22" s="23" t="n"/>
      <c r="E22" s="23" t="n"/>
      <c r="F22" s="23" t="n"/>
      <c r="G22" s="23" t="n"/>
      <c r="H22" s="34" t="n"/>
      <c r="I22" s="23" t="n"/>
      <c r="J22" s="34" t="n"/>
      <c r="K22" s="38" t="n"/>
      <c r="L22" s="34">
        <f>IF(J22="","",J22-H22)</f>
        <v/>
      </c>
      <c r="M22" s="23" t="n"/>
      <c r="N22" s="22" t="n"/>
    </row>
    <row r="23">
      <c r="A23" s="25" t="inlineStr">
        <is>
          <t>Hotel / Accommodations</t>
        </is>
      </c>
      <c r="B23" s="26" t="n"/>
      <c r="C23" s="26" t="n"/>
      <c r="D23" s="26" t="n"/>
      <c r="E23" s="26" t="n"/>
      <c r="F23" s="26" t="n"/>
      <c r="G23" s="26" t="n"/>
      <c r="H23" s="35" t="n"/>
      <c r="I23" s="26" t="n"/>
      <c r="J23" s="35" t="n"/>
      <c r="K23" s="39" t="n"/>
      <c r="L23" s="35">
        <f>IF(J23="","",J23-H23)</f>
        <v/>
      </c>
      <c r="M23" s="26" t="n"/>
      <c r="N23" s="25" t="n"/>
    </row>
    <row r="24">
      <c r="A24" s="40" t="inlineStr">
        <is>
          <t>TOTALS</t>
        </is>
      </c>
      <c r="B24" s="40" t="n"/>
      <c r="C24" s="40" t="n"/>
      <c r="D24" s="40" t="n"/>
      <c r="E24" s="40" t="n"/>
      <c r="F24" s="40" t="n"/>
      <c r="G24" s="40" t="n"/>
      <c r="H24" s="41">
        <f>SUM(H4:H23)</f>
        <v/>
      </c>
      <c r="I24" s="40" t="n"/>
      <c r="J24" s="41">
        <f>SUM(J4:J23)</f>
        <v/>
      </c>
      <c r="K24" s="40" t="n"/>
      <c r="L24" s="41">
        <f>SUM(L4:L23)</f>
        <v/>
      </c>
      <c r="M24" s="40" t="n"/>
      <c r="N24" s="40" t="n"/>
    </row>
  </sheetData>
  <mergeCells count="2">
    <mergeCell ref="A1:O1"/>
    <mergeCell ref="A2:O2"/>
  </mergeCells>
  <conditionalFormatting sqref="M4:M23">
    <cfRule type="cellIs" priority="1" operator="equal" dxfId="0">
      <formula>"Paid"</formula>
    </cfRule>
    <cfRule type="cellIs" priority="2" operator="equal" dxfId="3">
      <formula>"Unpaid"</formula>
    </cfRule>
  </conditionalFormatting>
  <dataValidations count="3">
    <dataValidation sqref="G4:G23" showDropDown="0" showInputMessage="0" showErrorMessage="0" allowBlank="1" errorTitle="Invalid Entry" error="Please select from the dropdown list." promptTitle="Choose" prompt="Select an option" type="list">
      <formula1>"Yes,No"</formula1>
    </dataValidation>
    <dataValidation sqref="I4:I23" showDropDown="0" showInputMessage="0" showErrorMessage="0" allowBlank="1" errorTitle="Invalid Entry" error="Please select from the dropdown list." promptTitle="Choose" prompt="Select an option" type="list">
      <formula1>"Yes,No"</formula1>
    </dataValidation>
    <dataValidation sqref="M4:M23" showDropDown="0" showInputMessage="0" showErrorMessage="0" allowBlank="1" errorTitle="Invalid Entry" error="Please select from the dropdown list." promptTitle="Choose" prompt="Select an option" type="list">
      <formula1>"Paid,Partial,Unpaid,N/A"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9A6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28" customWidth="1" min="8" max="8"/>
  </cols>
  <sheetData>
    <row r="1" ht="42" customHeight="1">
      <c r="A1" s="1" t="inlineStr">
        <is>
          <t>Wedding Timeline &amp; Master Checklist</t>
        </is>
      </c>
    </row>
    <row r="2" ht="26" customHeight="1">
      <c r="A2" s="2" t="inlineStr">
        <is>
          <t>12 Months to Wedding Day  |  Every Task Organized by Timeframe</t>
        </is>
      </c>
    </row>
    <row r="3" ht="24" customHeight="1">
      <c r="A3" s="18" t="inlineStr">
        <is>
          <t>Timeframe</t>
        </is>
      </c>
      <c r="B3" s="18" t="inlineStr">
        <is>
          <t>Task</t>
        </is>
      </c>
      <c r="C3" s="18" t="inlineStr">
        <is>
          <t>Category</t>
        </is>
      </c>
      <c r="D3" s="18" t="inlineStr">
        <is>
          <t>Assigned To</t>
        </is>
      </c>
      <c r="E3" s="18" t="inlineStr">
        <is>
          <t>Due Date</t>
        </is>
      </c>
      <c r="F3" s="18" t="inlineStr">
        <is>
          <t>Status</t>
        </is>
      </c>
      <c r="G3" s="18" t="inlineStr">
        <is>
          <t>Priority</t>
        </is>
      </c>
      <c r="H3" s="18" t="inlineStr">
        <is>
          <t>Notes</t>
        </is>
      </c>
    </row>
    <row r="4">
      <c r="A4" s="23" t="inlineStr">
        <is>
          <t>12 Months Before</t>
        </is>
      </c>
      <c r="B4" s="22" t="inlineStr">
        <is>
          <t>Set budget</t>
        </is>
      </c>
      <c r="C4" s="23" t="inlineStr">
        <is>
          <t>Budget</t>
        </is>
      </c>
      <c r="D4" s="23" t="inlineStr">
        <is>
          <t>Couple</t>
        </is>
      </c>
      <c r="E4" s="38" t="n"/>
      <c r="F4" s="23" t="n"/>
      <c r="G4" s="23" t="n"/>
      <c r="H4" s="22" t="n"/>
    </row>
    <row r="5">
      <c r="A5" s="26" t="inlineStr">
        <is>
          <t>12 Months Before</t>
        </is>
      </c>
      <c r="B5" s="25" t="inlineStr">
        <is>
          <t>Choose wedding date</t>
        </is>
      </c>
      <c r="C5" s="26" t="inlineStr">
        <is>
          <t>Planning</t>
        </is>
      </c>
      <c r="D5" s="26" t="inlineStr">
        <is>
          <t>Couple</t>
        </is>
      </c>
      <c r="E5" s="39" t="n"/>
      <c r="F5" s="26" t="n"/>
      <c r="G5" s="26" t="n"/>
      <c r="H5" s="25" t="n"/>
    </row>
    <row r="6">
      <c r="A6" s="23" t="inlineStr">
        <is>
          <t>12 Months Before</t>
        </is>
      </c>
      <c r="B6" s="22" t="inlineStr">
        <is>
          <t>Book venue</t>
        </is>
      </c>
      <c r="C6" s="23" t="inlineStr">
        <is>
          <t>Venue</t>
        </is>
      </c>
      <c r="D6" s="23" t="inlineStr">
        <is>
          <t>Couple</t>
        </is>
      </c>
      <c r="E6" s="38" t="n"/>
      <c r="F6" s="23" t="n"/>
      <c r="G6" s="23" t="n"/>
      <c r="H6" s="22" t="n"/>
    </row>
    <row r="7">
      <c r="A7" s="26" t="inlineStr">
        <is>
          <t>12 Months Before</t>
        </is>
      </c>
      <c r="B7" s="25" t="inlineStr">
        <is>
          <t>Hire wedding planner</t>
        </is>
      </c>
      <c r="C7" s="26" t="inlineStr">
        <is>
          <t>Planning</t>
        </is>
      </c>
      <c r="D7" s="26" t="inlineStr">
        <is>
          <t>Couple</t>
        </is>
      </c>
      <c r="E7" s="39" t="n"/>
      <c r="F7" s="26" t="n"/>
      <c r="G7" s="26" t="n"/>
      <c r="H7" s="25" t="n"/>
    </row>
    <row r="8">
      <c r="A8" s="23" t="inlineStr">
        <is>
          <t>12 Months Before</t>
        </is>
      </c>
      <c r="B8" s="22" t="inlineStr">
        <is>
          <t>Start guest list draft</t>
        </is>
      </c>
      <c r="C8" s="23" t="inlineStr">
        <is>
          <t>Guest List</t>
        </is>
      </c>
      <c r="D8" s="23" t="inlineStr">
        <is>
          <t>Couple</t>
        </is>
      </c>
      <c r="E8" s="38" t="n"/>
      <c r="F8" s="23" t="n"/>
      <c r="G8" s="23" t="n"/>
      <c r="H8" s="22" t="n"/>
    </row>
    <row r="9">
      <c r="A9" s="26" t="inlineStr">
        <is>
          <t>12 Months Before</t>
        </is>
      </c>
      <c r="B9" s="25" t="inlineStr">
        <is>
          <t>Research photographers</t>
        </is>
      </c>
      <c r="C9" s="26" t="inlineStr">
        <is>
          <t>Photography</t>
        </is>
      </c>
      <c r="D9" s="26" t="inlineStr">
        <is>
          <t>Bride</t>
        </is>
      </c>
      <c r="E9" s="39" t="n"/>
      <c r="F9" s="26" t="n"/>
      <c r="G9" s="26" t="n"/>
      <c r="H9" s="25" t="n"/>
    </row>
    <row r="10">
      <c r="A10" s="23" t="inlineStr">
        <is>
          <t>12 Months Before</t>
        </is>
      </c>
      <c r="B10" s="22" t="inlineStr">
        <is>
          <t>Begin dress shopping</t>
        </is>
      </c>
      <c r="C10" s="23" t="inlineStr">
        <is>
          <t>Attire</t>
        </is>
      </c>
      <c r="D10" s="23" t="inlineStr">
        <is>
          <t>Bride</t>
        </is>
      </c>
      <c r="E10" s="38" t="n"/>
      <c r="F10" s="23" t="n"/>
      <c r="G10" s="23" t="n"/>
      <c r="H10" s="22" t="n"/>
    </row>
    <row r="11">
      <c r="A11" s="26" t="inlineStr">
        <is>
          <t>12 Months Before</t>
        </is>
      </c>
      <c r="B11" s="25" t="inlineStr">
        <is>
          <t>Book officiant</t>
        </is>
      </c>
      <c r="C11" s="26" t="inlineStr">
        <is>
          <t>Ceremony</t>
        </is>
      </c>
      <c r="D11" s="26" t="inlineStr">
        <is>
          <t>Couple</t>
        </is>
      </c>
      <c r="E11" s="39" t="n"/>
      <c r="F11" s="26" t="n"/>
      <c r="G11" s="26" t="n"/>
      <c r="H11" s="25" t="n"/>
    </row>
    <row r="12">
      <c r="A12" s="23" t="inlineStr">
        <is>
          <t>9 Months Before</t>
        </is>
      </c>
      <c r="B12" s="22" t="inlineStr">
        <is>
          <t>Book photographer</t>
        </is>
      </c>
      <c r="C12" s="23" t="inlineStr">
        <is>
          <t>Photography</t>
        </is>
      </c>
      <c r="D12" s="23" t="inlineStr">
        <is>
          <t>Couple</t>
        </is>
      </c>
      <c r="E12" s="38" t="n"/>
      <c r="F12" s="23" t="n"/>
      <c r="G12" s="23" t="n"/>
      <c r="H12" s="22" t="n"/>
    </row>
    <row r="13">
      <c r="A13" s="26" t="inlineStr">
        <is>
          <t>9 Months Before</t>
        </is>
      </c>
      <c r="B13" s="25" t="inlineStr">
        <is>
          <t>Book videographer</t>
        </is>
      </c>
      <c r="C13" s="26" t="inlineStr">
        <is>
          <t>Photography</t>
        </is>
      </c>
      <c r="D13" s="26" t="inlineStr">
        <is>
          <t>Couple</t>
        </is>
      </c>
      <c r="E13" s="39" t="n"/>
      <c r="F13" s="26" t="n"/>
      <c r="G13" s="26" t="n"/>
      <c r="H13" s="25" t="n"/>
    </row>
    <row r="14">
      <c r="A14" s="23" t="inlineStr">
        <is>
          <t>9 Months Before</t>
        </is>
      </c>
      <c r="B14" s="22" t="inlineStr">
        <is>
          <t>Book caterer / tasting</t>
        </is>
      </c>
      <c r="C14" s="23" t="inlineStr">
        <is>
          <t>Catering</t>
        </is>
      </c>
      <c r="D14" s="23" t="inlineStr">
        <is>
          <t>Couple</t>
        </is>
      </c>
      <c r="E14" s="38" t="n"/>
      <c r="F14" s="23" t="n"/>
      <c r="G14" s="23" t="n"/>
      <c r="H14" s="22" t="n"/>
    </row>
    <row r="15">
      <c r="A15" s="26" t="inlineStr">
        <is>
          <t>9 Months Before</t>
        </is>
      </c>
      <c r="B15" s="25" t="inlineStr">
        <is>
          <t>Choose wedding party</t>
        </is>
      </c>
      <c r="C15" s="26" t="inlineStr">
        <is>
          <t>Planning</t>
        </is>
      </c>
      <c r="D15" s="26" t="inlineStr">
        <is>
          <t>Couple</t>
        </is>
      </c>
      <c r="E15" s="39" t="n"/>
      <c r="F15" s="26" t="n"/>
      <c r="G15" s="26" t="n"/>
      <c r="H15" s="25" t="n"/>
    </row>
    <row r="16">
      <c r="A16" s="23" t="inlineStr">
        <is>
          <t>9 Months Before</t>
        </is>
      </c>
      <c r="B16" s="22" t="inlineStr">
        <is>
          <t>Book florist</t>
        </is>
      </c>
      <c r="C16" s="23" t="inlineStr">
        <is>
          <t>Flowers</t>
        </is>
      </c>
      <c r="D16" s="23" t="inlineStr">
        <is>
          <t>Bride</t>
        </is>
      </c>
      <c r="E16" s="38" t="n"/>
      <c r="F16" s="23" t="n"/>
      <c r="G16" s="23" t="n"/>
      <c r="H16" s="22" t="n"/>
    </row>
    <row r="17">
      <c r="A17" s="26" t="inlineStr">
        <is>
          <t>9 Months Before</t>
        </is>
      </c>
      <c r="B17" s="25" t="inlineStr">
        <is>
          <t>Book DJ or band</t>
        </is>
      </c>
      <c r="C17" s="26" t="inlineStr">
        <is>
          <t>Music</t>
        </is>
      </c>
      <c r="D17" s="26" t="inlineStr">
        <is>
          <t>Couple</t>
        </is>
      </c>
      <c r="E17" s="39" t="n"/>
      <c r="F17" s="26" t="n"/>
      <c r="G17" s="26" t="n"/>
      <c r="H17" s="25" t="n"/>
    </row>
    <row r="18">
      <c r="A18" s="23" t="inlineStr">
        <is>
          <t>9 Months Before</t>
        </is>
      </c>
      <c r="B18" s="22" t="inlineStr">
        <is>
          <t>Register for gifts</t>
        </is>
      </c>
      <c r="C18" s="23" t="inlineStr">
        <is>
          <t>Gifts</t>
        </is>
      </c>
      <c r="D18" s="23" t="inlineStr">
        <is>
          <t>Couple</t>
        </is>
      </c>
      <c r="E18" s="38" t="n"/>
      <c r="F18" s="23" t="n"/>
      <c r="G18" s="23" t="n"/>
      <c r="H18" s="22" t="n"/>
    </row>
    <row r="19">
      <c r="A19" s="26" t="inlineStr">
        <is>
          <t>9 Months Before</t>
        </is>
      </c>
      <c r="B19" s="25" t="inlineStr">
        <is>
          <t>Book hotel room blocks</t>
        </is>
      </c>
      <c r="C19" s="26" t="inlineStr">
        <is>
          <t>Accommodations</t>
        </is>
      </c>
      <c r="D19" s="26" t="inlineStr">
        <is>
          <t>Couple</t>
        </is>
      </c>
      <c r="E19" s="39" t="n"/>
      <c r="F19" s="26" t="n"/>
      <c r="G19" s="26" t="n"/>
      <c r="H19" s="25" t="n"/>
    </row>
    <row r="20">
      <c r="A20" s="23" t="inlineStr">
        <is>
          <t>6 Months Before</t>
        </is>
      </c>
      <c r="B20" s="22" t="inlineStr">
        <is>
          <t>Order invitations</t>
        </is>
      </c>
      <c r="C20" s="23" t="inlineStr">
        <is>
          <t>Stationery</t>
        </is>
      </c>
      <c r="D20" s="23" t="inlineStr">
        <is>
          <t>Bride</t>
        </is>
      </c>
      <c r="E20" s="38" t="n"/>
      <c r="F20" s="23" t="n"/>
      <c r="G20" s="23" t="n"/>
      <c r="H20" s="22" t="n"/>
    </row>
    <row r="21">
      <c r="A21" s="26" t="inlineStr">
        <is>
          <t>6 Months Before</t>
        </is>
      </c>
      <c r="B21" s="25" t="inlineStr">
        <is>
          <t>Book transportation</t>
        </is>
      </c>
      <c r="C21" s="26" t="inlineStr">
        <is>
          <t>Logistics</t>
        </is>
      </c>
      <c r="D21" s="26" t="inlineStr">
        <is>
          <t>Groom</t>
        </is>
      </c>
      <c r="E21" s="39" t="n"/>
      <c r="F21" s="26" t="n"/>
      <c r="G21" s="26" t="n"/>
      <c r="H21" s="25" t="n"/>
    </row>
    <row r="22">
      <c r="A22" s="23" t="inlineStr">
        <is>
          <t>6 Months Before</t>
        </is>
      </c>
      <c r="B22" s="22" t="inlineStr">
        <is>
          <t>Plan honeymoon</t>
        </is>
      </c>
      <c r="C22" s="23" t="inlineStr">
        <is>
          <t>Honeymoon</t>
        </is>
      </c>
      <c r="D22" s="23" t="inlineStr">
        <is>
          <t>Couple</t>
        </is>
      </c>
      <c r="E22" s="38" t="n"/>
      <c r="F22" s="23" t="n"/>
      <c r="G22" s="23" t="n"/>
      <c r="H22" s="22" t="n"/>
    </row>
    <row r="23">
      <c r="A23" s="26" t="inlineStr">
        <is>
          <t>6 Months Before</t>
        </is>
      </c>
      <c r="B23" s="25" t="inlineStr">
        <is>
          <t>Choose wedding cake / baker</t>
        </is>
      </c>
      <c r="C23" s="26" t="inlineStr">
        <is>
          <t>Catering</t>
        </is>
      </c>
      <c r="D23" s="26" t="inlineStr">
        <is>
          <t>Couple</t>
        </is>
      </c>
      <c r="E23" s="39" t="n"/>
      <c r="F23" s="26" t="n"/>
      <c r="G23" s="26" t="n"/>
      <c r="H23" s="25" t="n"/>
    </row>
    <row r="24">
      <c r="A24" s="23" t="inlineStr">
        <is>
          <t>6 Months Before</t>
        </is>
      </c>
      <c r="B24" s="22" t="inlineStr">
        <is>
          <t>Shop for bridesmaids dresses</t>
        </is>
      </c>
      <c r="C24" s="23" t="inlineStr">
        <is>
          <t>Attire</t>
        </is>
      </c>
      <c r="D24" s="23" t="inlineStr">
        <is>
          <t>Bride</t>
        </is>
      </c>
      <c r="E24" s="38" t="n"/>
      <c r="F24" s="23" t="n"/>
      <c r="G24" s="23" t="n"/>
      <c r="H24" s="22" t="n"/>
    </row>
    <row r="25">
      <c r="A25" s="26" t="inlineStr">
        <is>
          <t>6 Months Before</t>
        </is>
      </c>
      <c r="B25" s="25" t="inlineStr">
        <is>
          <t>Book hair &amp; makeup</t>
        </is>
      </c>
      <c r="C25" s="26" t="inlineStr">
        <is>
          <t>Beauty</t>
        </is>
      </c>
      <c r="D25" s="26" t="inlineStr">
        <is>
          <t>Bride</t>
        </is>
      </c>
      <c r="E25" s="39" t="n"/>
      <c r="F25" s="26" t="n"/>
      <c r="G25" s="26" t="n"/>
      <c r="H25" s="25" t="n"/>
    </row>
    <row r="26">
      <c r="A26" s="23" t="inlineStr">
        <is>
          <t>6 Months Before</t>
        </is>
      </c>
      <c r="B26" s="22" t="inlineStr">
        <is>
          <t>Order wedding rings</t>
        </is>
      </c>
      <c r="C26" s="23" t="inlineStr">
        <is>
          <t>Rings</t>
        </is>
      </c>
      <c r="D26" s="23" t="inlineStr">
        <is>
          <t>Couple</t>
        </is>
      </c>
      <c r="E26" s="38" t="n"/>
      <c r="F26" s="23" t="n"/>
      <c r="G26" s="23" t="n"/>
      <c r="H26" s="22" t="n"/>
    </row>
    <row r="27">
      <c r="A27" s="26" t="inlineStr">
        <is>
          <t>4 Months Before</t>
        </is>
      </c>
      <c r="B27" s="25" t="inlineStr">
        <is>
          <t>Send save-the-dates</t>
        </is>
      </c>
      <c r="C27" s="26" t="inlineStr">
        <is>
          <t>Stationery</t>
        </is>
      </c>
      <c r="D27" s="26" t="inlineStr">
        <is>
          <t>Bride</t>
        </is>
      </c>
      <c r="E27" s="39" t="n"/>
      <c r="F27" s="26" t="n"/>
      <c r="G27" s="26" t="n"/>
      <c r="H27" s="25" t="n"/>
    </row>
    <row r="28">
      <c r="A28" s="23" t="inlineStr">
        <is>
          <t>4 Months Before</t>
        </is>
      </c>
      <c r="B28" s="22" t="inlineStr">
        <is>
          <t>Finalize ceremony details</t>
        </is>
      </c>
      <c r="C28" s="23" t="inlineStr">
        <is>
          <t>Ceremony</t>
        </is>
      </c>
      <c r="D28" s="23" t="inlineStr">
        <is>
          <t>Couple</t>
        </is>
      </c>
      <c r="E28" s="38" t="n"/>
      <c r="F28" s="23" t="n"/>
      <c r="G28" s="23" t="n"/>
      <c r="H28" s="22" t="n"/>
    </row>
    <row r="29">
      <c r="A29" s="26" t="inlineStr">
        <is>
          <t>4 Months Before</t>
        </is>
      </c>
      <c r="B29" s="25" t="inlineStr">
        <is>
          <t>Plan rehearsal dinner</t>
        </is>
      </c>
      <c r="C29" s="26" t="inlineStr">
        <is>
          <t>Events</t>
        </is>
      </c>
      <c r="D29" s="26" t="inlineStr">
        <is>
          <t>Groom</t>
        </is>
      </c>
      <c r="E29" s="39" t="n"/>
      <c r="F29" s="26" t="n"/>
      <c r="G29" s="26" t="n"/>
      <c r="H29" s="25" t="n"/>
    </row>
    <row r="30">
      <c r="A30" s="23" t="inlineStr">
        <is>
          <t>4 Months Before</t>
        </is>
      </c>
      <c r="B30" s="22" t="inlineStr">
        <is>
          <t>Book rentals (tables, chairs)</t>
        </is>
      </c>
      <c r="C30" s="23" t="inlineStr">
        <is>
          <t>Rentals</t>
        </is>
      </c>
      <c r="D30" s="23" t="inlineStr">
        <is>
          <t>Planner</t>
        </is>
      </c>
      <c r="E30" s="38" t="n"/>
      <c r="F30" s="23" t="n"/>
      <c r="G30" s="23" t="n"/>
      <c r="H30" s="22" t="n"/>
    </row>
    <row r="31">
      <c r="A31" s="26" t="inlineStr">
        <is>
          <t>4 Months Before</t>
        </is>
      </c>
      <c r="B31" s="25" t="inlineStr">
        <is>
          <t>Choose readings &amp; music</t>
        </is>
      </c>
      <c r="C31" s="26" t="inlineStr">
        <is>
          <t>Ceremony</t>
        </is>
      </c>
      <c r="D31" s="26" t="inlineStr">
        <is>
          <t>Couple</t>
        </is>
      </c>
      <c r="E31" s="39" t="n"/>
      <c r="F31" s="26" t="n"/>
      <c r="G31" s="26" t="n"/>
      <c r="H31" s="25" t="n"/>
    </row>
    <row r="32">
      <c r="A32" s="23" t="inlineStr">
        <is>
          <t>4 Months Before</t>
        </is>
      </c>
      <c r="B32" s="22" t="inlineStr">
        <is>
          <t>Schedule dress fittings</t>
        </is>
      </c>
      <c r="C32" s="23" t="inlineStr">
        <is>
          <t>Attire</t>
        </is>
      </c>
      <c r="D32" s="23" t="inlineStr">
        <is>
          <t>Bride</t>
        </is>
      </c>
      <c r="E32" s="38" t="n"/>
      <c r="F32" s="23" t="n"/>
      <c r="G32" s="23" t="n"/>
      <c r="H32" s="22" t="n"/>
    </row>
    <row r="33">
      <c r="A33" s="26" t="inlineStr">
        <is>
          <t>2 Months Before</t>
        </is>
      </c>
      <c r="B33" s="25" t="inlineStr">
        <is>
          <t>Mail invitations</t>
        </is>
      </c>
      <c r="C33" s="26" t="inlineStr">
        <is>
          <t>Stationery</t>
        </is>
      </c>
      <c r="D33" s="26" t="inlineStr">
        <is>
          <t>Bride</t>
        </is>
      </c>
      <c r="E33" s="39" t="n"/>
      <c r="F33" s="26" t="n"/>
      <c r="G33" s="26" t="n"/>
      <c r="H33" s="25" t="n"/>
    </row>
    <row r="34">
      <c r="A34" s="23" t="inlineStr">
        <is>
          <t>2 Months Before</t>
        </is>
      </c>
      <c r="B34" s="22" t="inlineStr">
        <is>
          <t>Finalize menu</t>
        </is>
      </c>
      <c r="C34" s="23" t="inlineStr">
        <is>
          <t>Catering</t>
        </is>
      </c>
      <c r="D34" s="23" t="inlineStr">
        <is>
          <t>Couple</t>
        </is>
      </c>
      <c r="E34" s="38" t="n"/>
      <c r="F34" s="23" t="n"/>
      <c r="G34" s="23" t="n"/>
      <c r="H34" s="22" t="n"/>
    </row>
    <row r="35">
      <c r="A35" s="26" t="inlineStr">
        <is>
          <t>2 Months Before</t>
        </is>
      </c>
      <c r="B35" s="25" t="inlineStr">
        <is>
          <t>Order favors</t>
        </is>
      </c>
      <c r="C35" s="26" t="inlineStr">
        <is>
          <t>Favors</t>
        </is>
      </c>
      <c r="D35" s="26" t="inlineStr">
        <is>
          <t>Bride</t>
        </is>
      </c>
      <c r="E35" s="39" t="n"/>
      <c r="F35" s="26" t="n"/>
      <c r="G35" s="26" t="n"/>
      <c r="H35" s="25" t="n"/>
    </row>
    <row r="36">
      <c r="A36" s="23" t="inlineStr">
        <is>
          <t>2 Months Before</t>
        </is>
      </c>
      <c r="B36" s="22" t="inlineStr">
        <is>
          <t>Plan seating chart</t>
        </is>
      </c>
      <c r="C36" s="23" t="inlineStr">
        <is>
          <t>Guest List</t>
        </is>
      </c>
      <c r="D36" s="23" t="inlineStr">
        <is>
          <t>Couple</t>
        </is>
      </c>
      <c r="E36" s="38" t="n"/>
      <c r="F36" s="23" t="n"/>
      <c r="G36" s="23" t="n"/>
      <c r="H36" s="22" t="n"/>
    </row>
    <row r="37">
      <c r="A37" s="26" t="inlineStr">
        <is>
          <t>2 Months Before</t>
        </is>
      </c>
      <c r="B37" s="25" t="inlineStr">
        <is>
          <t>Buy gifts for wedding party</t>
        </is>
      </c>
      <c r="C37" s="26" t="inlineStr">
        <is>
          <t>Gifts</t>
        </is>
      </c>
      <c r="D37" s="26" t="inlineStr">
        <is>
          <t>Couple</t>
        </is>
      </c>
      <c r="E37" s="39" t="n"/>
      <c r="F37" s="26" t="n"/>
      <c r="G37" s="26" t="n"/>
      <c r="H37" s="25" t="n"/>
    </row>
    <row r="38">
      <c r="A38" s="23" t="inlineStr">
        <is>
          <t>2 Months Before</t>
        </is>
      </c>
      <c r="B38" s="22" t="inlineStr">
        <is>
          <t>Confirm honeymoon bookings</t>
        </is>
      </c>
      <c r="C38" s="23" t="inlineStr">
        <is>
          <t>Honeymoon</t>
        </is>
      </c>
      <c r="D38" s="23" t="inlineStr">
        <is>
          <t>Couple</t>
        </is>
      </c>
      <c r="E38" s="38" t="n"/>
      <c r="F38" s="23" t="n"/>
      <c r="G38" s="23" t="n"/>
      <c r="H38" s="22" t="n"/>
    </row>
    <row r="39">
      <c r="A39" s="26" t="inlineStr">
        <is>
          <t>1 Month Before</t>
        </is>
      </c>
      <c r="B39" s="25" t="inlineStr">
        <is>
          <t>Final dress fitting</t>
        </is>
      </c>
      <c r="C39" s="26" t="inlineStr">
        <is>
          <t>Attire</t>
        </is>
      </c>
      <c r="D39" s="26" t="inlineStr">
        <is>
          <t>Bride</t>
        </is>
      </c>
      <c r="E39" s="39" t="n"/>
      <c r="F39" s="26" t="n"/>
      <c r="G39" s="26" t="n"/>
      <c r="H39" s="25" t="n"/>
    </row>
    <row r="40">
      <c r="A40" s="23" t="inlineStr">
        <is>
          <t>1 Month Before</t>
        </is>
      </c>
      <c r="B40" s="22" t="inlineStr">
        <is>
          <t>Get marriage license</t>
        </is>
      </c>
      <c r="C40" s="23" t="inlineStr">
        <is>
          <t>Legal</t>
        </is>
      </c>
      <c r="D40" s="23" t="inlineStr">
        <is>
          <t>Couple</t>
        </is>
      </c>
      <c r="E40" s="38" t="n"/>
      <c r="F40" s="23" t="n"/>
      <c r="G40" s="23" t="n"/>
      <c r="H40" s="22" t="n"/>
    </row>
    <row r="41">
      <c r="A41" s="26" t="inlineStr">
        <is>
          <t>1 Month Before</t>
        </is>
      </c>
      <c r="B41" s="25" t="inlineStr">
        <is>
          <t>Confirm all vendor details</t>
        </is>
      </c>
      <c r="C41" s="26" t="inlineStr">
        <is>
          <t>Vendors</t>
        </is>
      </c>
      <c r="D41" s="26" t="inlineStr">
        <is>
          <t>Planner</t>
        </is>
      </c>
      <c r="E41" s="39" t="n"/>
      <c r="F41" s="26" t="n"/>
      <c r="G41" s="26" t="n"/>
      <c r="H41" s="25" t="n"/>
    </row>
    <row r="42">
      <c r="A42" s="23" t="inlineStr">
        <is>
          <t>1 Month Before</t>
        </is>
      </c>
      <c r="B42" s="22" t="inlineStr">
        <is>
          <t>Create day-of timeline</t>
        </is>
      </c>
      <c r="C42" s="23" t="inlineStr">
        <is>
          <t>Planning</t>
        </is>
      </c>
      <c r="D42" s="23" t="inlineStr">
        <is>
          <t>Planner</t>
        </is>
      </c>
      <c r="E42" s="38" t="n"/>
      <c r="F42" s="23" t="n"/>
      <c r="G42" s="23" t="n"/>
      <c r="H42" s="22" t="n"/>
    </row>
    <row r="43">
      <c r="A43" s="26" t="inlineStr">
        <is>
          <t>1 Month Before</t>
        </is>
      </c>
      <c r="B43" s="25" t="inlineStr">
        <is>
          <t>Finalize seating chart</t>
        </is>
      </c>
      <c r="C43" s="26" t="inlineStr">
        <is>
          <t>Guest List</t>
        </is>
      </c>
      <c r="D43" s="26" t="inlineStr">
        <is>
          <t>Couple</t>
        </is>
      </c>
      <c r="E43" s="39" t="n"/>
      <c r="F43" s="26" t="n"/>
      <c r="G43" s="26" t="n"/>
      <c r="H43" s="25" t="n"/>
    </row>
    <row r="44">
      <c r="A44" s="23" t="inlineStr">
        <is>
          <t>1 Month Before</t>
        </is>
      </c>
      <c r="B44" s="22" t="inlineStr">
        <is>
          <t>Break in wedding shoes</t>
        </is>
      </c>
      <c r="C44" s="23" t="inlineStr">
        <is>
          <t>Attire</t>
        </is>
      </c>
      <c r="D44" s="23" t="inlineStr">
        <is>
          <t>Bride</t>
        </is>
      </c>
      <c r="E44" s="38" t="n"/>
      <c r="F44" s="23" t="n"/>
      <c r="G44" s="23" t="n"/>
      <c r="H44" s="22" t="n"/>
    </row>
    <row r="45">
      <c r="A45" s="26" t="inlineStr">
        <is>
          <t>1 Month Before</t>
        </is>
      </c>
      <c r="B45" s="25" t="inlineStr">
        <is>
          <t>Write vows</t>
        </is>
      </c>
      <c r="C45" s="26" t="inlineStr">
        <is>
          <t>Ceremony</t>
        </is>
      </c>
      <c r="D45" s="26" t="inlineStr">
        <is>
          <t>Couple</t>
        </is>
      </c>
      <c r="E45" s="39" t="n"/>
      <c r="F45" s="26" t="n"/>
      <c r="G45" s="26" t="n"/>
      <c r="H45" s="25" t="n"/>
    </row>
    <row r="46">
      <c r="A46" s="23" t="inlineStr">
        <is>
          <t>2 Weeks Before</t>
        </is>
      </c>
      <c r="B46" s="22" t="inlineStr">
        <is>
          <t>Confirm final guest count</t>
        </is>
      </c>
      <c r="C46" s="23" t="inlineStr">
        <is>
          <t>Guest List</t>
        </is>
      </c>
      <c r="D46" s="23" t="inlineStr">
        <is>
          <t>Couple</t>
        </is>
      </c>
      <c r="E46" s="38" t="n"/>
      <c r="F46" s="23" t="n"/>
      <c r="G46" s="23" t="n"/>
      <c r="H46" s="22" t="n"/>
    </row>
    <row r="47">
      <c r="A47" s="26" t="inlineStr">
        <is>
          <t>2 Weeks Before</t>
        </is>
      </c>
      <c r="B47" s="25" t="inlineStr">
        <is>
          <t>Final vendor payments</t>
        </is>
      </c>
      <c r="C47" s="26" t="inlineStr">
        <is>
          <t>Budget</t>
        </is>
      </c>
      <c r="D47" s="26" t="inlineStr">
        <is>
          <t>Couple</t>
        </is>
      </c>
      <c r="E47" s="39" t="n"/>
      <c r="F47" s="26" t="n"/>
      <c r="G47" s="26" t="n"/>
      <c r="H47" s="25" t="n"/>
    </row>
    <row r="48">
      <c r="A48" s="23" t="inlineStr">
        <is>
          <t>2 Weeks Before</t>
        </is>
      </c>
      <c r="B48" s="22" t="inlineStr">
        <is>
          <t>Prepare tips/envelopes for vendors</t>
        </is>
      </c>
      <c r="C48" s="23" t="inlineStr">
        <is>
          <t>Budget</t>
        </is>
      </c>
      <c r="D48" s="23" t="inlineStr">
        <is>
          <t>Couple</t>
        </is>
      </c>
      <c r="E48" s="38" t="n"/>
      <c r="F48" s="23" t="n"/>
      <c r="G48" s="23" t="n"/>
      <c r="H48" s="22" t="n"/>
    </row>
    <row r="49">
      <c r="A49" s="26" t="inlineStr">
        <is>
          <t>2 Weeks Before</t>
        </is>
      </c>
      <c r="B49" s="25" t="inlineStr">
        <is>
          <t>Confirm rehearsal dinner details</t>
        </is>
      </c>
      <c r="C49" s="26" t="inlineStr">
        <is>
          <t>Events</t>
        </is>
      </c>
      <c r="D49" s="26" t="inlineStr">
        <is>
          <t>Groom</t>
        </is>
      </c>
      <c r="E49" s="39" t="n"/>
      <c r="F49" s="26" t="n"/>
      <c r="G49" s="26" t="n"/>
      <c r="H49" s="25" t="n"/>
    </row>
    <row r="50">
      <c r="A50" s="23" t="inlineStr">
        <is>
          <t>2 Weeks Before</t>
        </is>
      </c>
      <c r="B50" s="22" t="inlineStr">
        <is>
          <t>Pack for honeymoon</t>
        </is>
      </c>
      <c r="C50" s="23" t="inlineStr">
        <is>
          <t>Honeymoon</t>
        </is>
      </c>
      <c r="D50" s="23" t="inlineStr">
        <is>
          <t>Couple</t>
        </is>
      </c>
      <c r="E50" s="38" t="n"/>
      <c r="F50" s="23" t="n"/>
      <c r="G50" s="23" t="n"/>
      <c r="H50" s="22" t="n"/>
    </row>
    <row r="51">
      <c r="A51" s="26" t="inlineStr">
        <is>
          <t>1 Week Before</t>
        </is>
      </c>
      <c r="B51" s="25" t="inlineStr">
        <is>
          <t>Confirm transportation</t>
        </is>
      </c>
      <c r="C51" s="26" t="inlineStr">
        <is>
          <t>Logistics</t>
        </is>
      </c>
      <c r="D51" s="26" t="inlineStr">
        <is>
          <t>Groom</t>
        </is>
      </c>
      <c r="E51" s="39" t="n"/>
      <c r="F51" s="26" t="n"/>
      <c r="G51" s="26" t="n"/>
      <c r="H51" s="25" t="n"/>
    </row>
    <row r="52">
      <c r="A52" s="23" t="inlineStr">
        <is>
          <t>1 Week Before</t>
        </is>
      </c>
      <c r="B52" s="22" t="inlineStr">
        <is>
          <t>Prepare emergency kit</t>
        </is>
      </c>
      <c r="C52" s="23" t="inlineStr">
        <is>
          <t>Planning</t>
        </is>
      </c>
      <c r="D52" s="23" t="inlineStr">
        <is>
          <t>MOH</t>
        </is>
      </c>
      <c r="E52" s="38" t="n"/>
      <c r="F52" s="23" t="n"/>
      <c r="G52" s="23" t="n"/>
      <c r="H52" s="22" t="n"/>
    </row>
    <row r="53">
      <c r="A53" s="26" t="inlineStr">
        <is>
          <t>1 Week Before</t>
        </is>
      </c>
      <c r="B53" s="25" t="inlineStr">
        <is>
          <t>Delegate day-of tasks</t>
        </is>
      </c>
      <c r="C53" s="26" t="inlineStr">
        <is>
          <t>Planning</t>
        </is>
      </c>
      <c r="D53" s="26" t="inlineStr">
        <is>
          <t>Planner</t>
        </is>
      </c>
      <c r="E53" s="39" t="n"/>
      <c r="F53" s="26" t="n"/>
      <c r="G53" s="26" t="n"/>
      <c r="H53" s="25" t="n"/>
    </row>
    <row r="54">
      <c r="A54" s="23" t="inlineStr">
        <is>
          <t>1 Week Before</t>
        </is>
      </c>
      <c r="B54" s="22" t="inlineStr">
        <is>
          <t>Steam/press wedding attire</t>
        </is>
      </c>
      <c r="C54" s="23" t="inlineStr">
        <is>
          <t>Attire</t>
        </is>
      </c>
      <c r="D54" s="23" t="inlineStr">
        <is>
          <t>Bride</t>
        </is>
      </c>
      <c r="E54" s="38" t="n"/>
      <c r="F54" s="23" t="n"/>
      <c r="G54" s="23" t="n"/>
      <c r="H54" s="22" t="n"/>
    </row>
    <row r="55">
      <c r="A55" s="26" t="inlineStr">
        <is>
          <t>1 Week Before</t>
        </is>
      </c>
      <c r="B55" s="25" t="inlineStr">
        <is>
          <t>Finalize playlist with DJ</t>
        </is>
      </c>
      <c r="C55" s="26" t="inlineStr">
        <is>
          <t>Music</t>
        </is>
      </c>
      <c r="D55" s="26" t="inlineStr">
        <is>
          <t>Couple</t>
        </is>
      </c>
      <c r="E55" s="39" t="n"/>
      <c r="F55" s="26" t="n"/>
      <c r="G55" s="26" t="n"/>
      <c r="H55" s="25" t="n"/>
    </row>
    <row r="56">
      <c r="A56" s="23" t="inlineStr">
        <is>
          <t>Day Before</t>
        </is>
      </c>
      <c r="B56" s="22" t="inlineStr">
        <is>
          <t>Rehearsal</t>
        </is>
      </c>
      <c r="C56" s="23" t="inlineStr">
        <is>
          <t>Ceremony</t>
        </is>
      </c>
      <c r="D56" s="23" t="inlineStr">
        <is>
          <t>Couple</t>
        </is>
      </c>
      <c r="E56" s="38" t="n"/>
      <c r="F56" s="23" t="n"/>
      <c r="G56" s="23" t="n"/>
      <c r="H56" s="22" t="n"/>
    </row>
    <row r="57">
      <c r="A57" s="26" t="inlineStr">
        <is>
          <t>Day Before</t>
        </is>
      </c>
      <c r="B57" s="25" t="inlineStr">
        <is>
          <t>Rehearsal dinner</t>
        </is>
      </c>
      <c r="C57" s="26" t="inlineStr">
        <is>
          <t>Events</t>
        </is>
      </c>
      <c r="D57" s="26" t="inlineStr">
        <is>
          <t>Couple</t>
        </is>
      </c>
      <c r="E57" s="39" t="n"/>
      <c r="F57" s="26" t="n"/>
      <c r="G57" s="26" t="n"/>
      <c r="H57" s="25" t="n"/>
    </row>
    <row r="58">
      <c r="A58" s="23" t="inlineStr">
        <is>
          <t>Day Before</t>
        </is>
      </c>
      <c r="B58" s="22" t="inlineStr">
        <is>
          <t>Deliver items to venue</t>
        </is>
      </c>
      <c r="C58" s="23" t="inlineStr">
        <is>
          <t>Logistics</t>
        </is>
      </c>
      <c r="D58" s="23" t="inlineStr">
        <is>
          <t>Planner</t>
        </is>
      </c>
      <c r="E58" s="38" t="n"/>
      <c r="F58" s="23" t="n"/>
      <c r="G58" s="23" t="n"/>
      <c r="H58" s="22" t="n"/>
    </row>
    <row r="59">
      <c r="A59" s="26" t="inlineStr">
        <is>
          <t>Day Before</t>
        </is>
      </c>
      <c r="B59" s="25" t="inlineStr">
        <is>
          <t>Get a good night's sleep!</t>
        </is>
      </c>
      <c r="C59" s="26" t="inlineStr">
        <is>
          <t>Self-Care</t>
        </is>
      </c>
      <c r="D59" s="26" t="inlineStr">
        <is>
          <t>Couple</t>
        </is>
      </c>
      <c r="E59" s="39" t="n"/>
      <c r="F59" s="26" t="n"/>
      <c r="G59" s="26" t="n"/>
      <c r="H59" s="25" t="n"/>
    </row>
    <row r="60">
      <c r="A60" s="23" t="inlineStr">
        <is>
          <t>Day Before</t>
        </is>
      </c>
      <c r="B60" s="22" t="inlineStr">
        <is>
          <t>Prepare day-of bag</t>
        </is>
      </c>
      <c r="C60" s="23" t="inlineStr">
        <is>
          <t>Planning</t>
        </is>
      </c>
      <c r="D60" s="23" t="inlineStr">
        <is>
          <t>Bride</t>
        </is>
      </c>
      <c r="E60" s="38" t="n"/>
      <c r="F60" s="23" t="n"/>
      <c r="G60" s="23" t="n"/>
      <c r="H60" s="22" t="n"/>
    </row>
    <row r="61">
      <c r="A61" s="26" t="inlineStr">
        <is>
          <t>Wedding Day</t>
        </is>
      </c>
      <c r="B61" s="25" t="inlineStr">
        <is>
          <t>Hair &amp; makeup</t>
        </is>
      </c>
      <c r="C61" s="26" t="inlineStr">
        <is>
          <t>Beauty</t>
        </is>
      </c>
      <c r="D61" s="26" t="inlineStr">
        <is>
          <t>Bride</t>
        </is>
      </c>
      <c r="E61" s="39" t="n"/>
      <c r="F61" s="26" t="n"/>
      <c r="G61" s="26" t="n"/>
      <c r="H61" s="25" t="n"/>
    </row>
    <row r="62">
      <c r="A62" s="23" t="inlineStr">
        <is>
          <t>Wedding Day</t>
        </is>
      </c>
      <c r="B62" s="22" t="inlineStr">
        <is>
          <t>Photographer arrival</t>
        </is>
      </c>
      <c r="C62" s="23" t="inlineStr">
        <is>
          <t>Photography</t>
        </is>
      </c>
      <c r="D62" s="23" t="inlineStr">
        <is>
          <t>Photographer</t>
        </is>
      </c>
      <c r="E62" s="38" t="n"/>
      <c r="F62" s="23" t="n"/>
      <c r="G62" s="23" t="n"/>
      <c r="H62" s="22" t="n"/>
    </row>
    <row r="63">
      <c r="A63" s="26" t="inlineStr">
        <is>
          <t>Wedding Day</t>
        </is>
      </c>
      <c r="B63" s="25" t="inlineStr">
        <is>
          <t>Get dressed</t>
        </is>
      </c>
      <c r="C63" s="26" t="inlineStr">
        <is>
          <t>Attire</t>
        </is>
      </c>
      <c r="D63" s="26" t="inlineStr">
        <is>
          <t>Couple</t>
        </is>
      </c>
      <c r="E63" s="39" t="n"/>
      <c r="F63" s="26" t="n"/>
      <c r="G63" s="26" t="n"/>
      <c r="H63" s="25" t="n"/>
    </row>
    <row r="64">
      <c r="A64" s="23" t="inlineStr">
        <is>
          <t>Wedding Day</t>
        </is>
      </c>
      <c r="B64" s="22" t="inlineStr">
        <is>
          <t>First look (optional)</t>
        </is>
      </c>
      <c r="C64" s="23" t="inlineStr">
        <is>
          <t>Photography</t>
        </is>
      </c>
      <c r="D64" s="23" t="inlineStr">
        <is>
          <t>Couple</t>
        </is>
      </c>
      <c r="E64" s="38" t="n"/>
      <c r="F64" s="23" t="n"/>
      <c r="G64" s="23" t="n"/>
      <c r="H64" s="22" t="n"/>
    </row>
    <row r="65">
      <c r="A65" s="26" t="inlineStr">
        <is>
          <t>Wedding Day</t>
        </is>
      </c>
      <c r="B65" s="25" t="inlineStr">
        <is>
          <t>Ceremony</t>
        </is>
      </c>
      <c r="C65" s="26" t="inlineStr">
        <is>
          <t>Ceremony</t>
        </is>
      </c>
      <c r="D65" s="26" t="inlineStr">
        <is>
          <t>All</t>
        </is>
      </c>
      <c r="E65" s="39" t="n"/>
      <c r="F65" s="26" t="n"/>
      <c r="G65" s="26" t="n"/>
      <c r="H65" s="25" t="n"/>
    </row>
    <row r="66">
      <c r="A66" s="23" t="inlineStr">
        <is>
          <t>Wedding Day</t>
        </is>
      </c>
      <c r="B66" s="22" t="inlineStr">
        <is>
          <t>Cocktail hour</t>
        </is>
      </c>
      <c r="C66" s="23" t="inlineStr">
        <is>
          <t>Reception</t>
        </is>
      </c>
      <c r="D66" s="23" t="inlineStr">
        <is>
          <t>Guests</t>
        </is>
      </c>
      <c r="E66" s="38" t="n"/>
      <c r="F66" s="23" t="n"/>
      <c r="G66" s="23" t="n"/>
      <c r="H66" s="22" t="n"/>
    </row>
    <row r="67">
      <c r="A67" s="26" t="inlineStr">
        <is>
          <t>Wedding Day</t>
        </is>
      </c>
      <c r="B67" s="25" t="inlineStr">
        <is>
          <t>Reception &amp; dancing</t>
        </is>
      </c>
      <c r="C67" s="26" t="inlineStr">
        <is>
          <t>Reception</t>
        </is>
      </c>
      <c r="D67" s="26" t="inlineStr">
        <is>
          <t>All</t>
        </is>
      </c>
      <c r="E67" s="39" t="n"/>
      <c r="F67" s="26" t="n"/>
      <c r="G67" s="26" t="n"/>
      <c r="H67" s="25" t="n"/>
    </row>
    <row r="68">
      <c r="A68" s="23" t="inlineStr">
        <is>
          <t>Wedding Day</t>
        </is>
      </c>
      <c r="B68" s="22" t="inlineStr">
        <is>
          <t>Send-off / exit</t>
        </is>
      </c>
      <c r="C68" s="23" t="inlineStr">
        <is>
          <t>Reception</t>
        </is>
      </c>
      <c r="D68" s="23" t="inlineStr">
        <is>
          <t>All</t>
        </is>
      </c>
      <c r="E68" s="38" t="n"/>
      <c r="F68" s="23" t="n"/>
      <c r="G68" s="23" t="n"/>
      <c r="H68" s="22" t="n"/>
    </row>
  </sheetData>
  <mergeCells count="2">
    <mergeCell ref="A2:H2"/>
    <mergeCell ref="A1:H1"/>
  </mergeCells>
  <conditionalFormatting sqref="F4:F68">
    <cfRule type="cellIs" priority="1" operator="equal" dxfId="0">
      <formula>"Done"</formula>
    </cfRule>
    <cfRule type="cellIs" priority="2" operator="equal" dxfId="2">
      <formula>"In Progress"</formula>
    </cfRule>
    <cfRule type="cellIs" priority="3" operator="equal" dxfId="1">
      <formula>"Not Started"</formula>
    </cfRule>
  </conditionalFormatting>
  <conditionalFormatting sqref="G4:G68">
    <cfRule type="cellIs" priority="4" operator="equal" dxfId="3">
      <formula>"High"</formula>
    </cfRule>
    <cfRule type="cellIs" priority="5" operator="equal" dxfId="2">
      <formula>"Medium"</formula>
    </cfRule>
    <cfRule type="cellIs" priority="6" operator="equal" dxfId="0">
      <formula>"Low"</formula>
    </cfRule>
  </conditionalFormatting>
  <dataValidations count="2">
    <dataValidation sqref="F4:F68" showDropDown="0" showInputMessage="0" showErrorMessage="0" allowBlank="1" errorTitle="Invalid Entry" error="Please select from the dropdown list." promptTitle="Choose" prompt="Select an option" type="list">
      <formula1>"Not Started,In Progress,Done"</formula1>
    </dataValidation>
    <dataValidation sqref="G4:G68" showDropDown="0" showInputMessage="0" showErrorMessage="0" allowBlank="1" errorTitle="Invalid Entry" error="Please select from the dropdown list." promptTitle="Choose" prompt="Select an option" type="list">
      <formula1>"Low,Medium,High"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7E7CE"/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  <col width="24" customWidth="1" min="13" max="13"/>
  </cols>
  <sheetData>
    <row r="1" ht="42" customHeight="1">
      <c r="A1" s="1" t="inlineStr">
        <is>
          <t>Seating Chart</t>
        </is>
      </c>
    </row>
    <row r="2" ht="26" customHeight="1">
      <c r="A2" s="2" t="inlineStr">
        <is>
          <t>Table Assignments  |  20 Tables x 8 Guests  |  Dietary &amp; Special Needs</t>
        </is>
      </c>
    </row>
    <row r="3" ht="24" customHeight="1">
      <c r="A3" s="18" t="inlineStr">
        <is>
          <t>Table #</t>
        </is>
      </c>
      <c r="B3" s="18" t="inlineStr">
        <is>
          <t>Table Name / Theme</t>
        </is>
      </c>
      <c r="C3" s="18" t="inlineStr">
        <is>
          <t>Capacity</t>
        </is>
      </c>
      <c r="D3" s="18" t="inlineStr">
        <is>
          <t>Guest 1</t>
        </is>
      </c>
      <c r="E3" s="18" t="inlineStr">
        <is>
          <t>Guest 2</t>
        </is>
      </c>
      <c r="F3" s="18" t="inlineStr">
        <is>
          <t>Guest 3</t>
        </is>
      </c>
      <c r="G3" s="18" t="inlineStr">
        <is>
          <t>Guest 4</t>
        </is>
      </c>
      <c r="H3" s="18" t="inlineStr">
        <is>
          <t>Guest 5</t>
        </is>
      </c>
      <c r="I3" s="18" t="inlineStr">
        <is>
          <t>Guest 6</t>
        </is>
      </c>
      <c r="J3" s="18" t="inlineStr">
        <is>
          <t>Guest 7</t>
        </is>
      </c>
      <c r="K3" s="18" t="inlineStr">
        <is>
          <t>Guest 8</t>
        </is>
      </c>
      <c r="L3" s="18" t="inlineStr">
        <is>
          <t>Dietary Notes</t>
        </is>
      </c>
      <c r="M3" s="18" t="inlineStr">
        <is>
          <t>Special Needs</t>
        </is>
      </c>
    </row>
    <row r="4">
      <c r="A4" s="23" t="n">
        <v>1</v>
      </c>
      <c r="B4" s="22" t="n"/>
      <c r="C4" s="23" t="n">
        <v>8</v>
      </c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</row>
    <row r="5">
      <c r="A5" s="26" t="n">
        <v>2</v>
      </c>
      <c r="B5" s="25" t="n"/>
      <c r="C5" s="26" t="n">
        <v>8</v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s="23" t="n">
        <v>3</v>
      </c>
      <c r="B6" s="22" t="n"/>
      <c r="C6" s="23" t="n">
        <v>8</v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7">
      <c r="A7" s="26" t="n">
        <v>4</v>
      </c>
      <c r="B7" s="25" t="n"/>
      <c r="C7" s="26" t="n">
        <v>8</v>
      </c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>
      <c r="A8" s="23" t="n">
        <v>5</v>
      </c>
      <c r="B8" s="22" t="n"/>
      <c r="C8" s="23" t="n">
        <v>8</v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</row>
    <row r="9">
      <c r="A9" s="26" t="n">
        <v>6</v>
      </c>
      <c r="B9" s="25" t="n"/>
      <c r="C9" s="26" t="n">
        <v>8</v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>
      <c r="A10" s="23" t="n">
        <v>7</v>
      </c>
      <c r="B10" s="22" t="n"/>
      <c r="C10" s="23" t="n">
        <v>8</v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</row>
    <row r="11">
      <c r="A11" s="26" t="n">
        <v>8</v>
      </c>
      <c r="B11" s="25" t="n"/>
      <c r="C11" s="26" t="n">
        <v>8</v>
      </c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</row>
    <row r="12">
      <c r="A12" s="23" t="n">
        <v>9</v>
      </c>
      <c r="B12" s="22" t="n"/>
      <c r="C12" s="23" t="n">
        <v>8</v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>
      <c r="A13" s="26" t="n">
        <v>10</v>
      </c>
      <c r="B13" s="25" t="n"/>
      <c r="C13" s="26" t="n">
        <v>8</v>
      </c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</row>
    <row r="14">
      <c r="A14" s="23" t="n">
        <v>11</v>
      </c>
      <c r="B14" s="22" t="n"/>
      <c r="C14" s="23" t="n">
        <v>8</v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</row>
    <row r="15">
      <c r="A15" s="26" t="n">
        <v>12</v>
      </c>
      <c r="B15" s="25" t="n"/>
      <c r="C15" s="26" t="n">
        <v>8</v>
      </c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</row>
    <row r="16">
      <c r="A16" s="23" t="n">
        <v>13</v>
      </c>
      <c r="B16" s="22" t="n"/>
      <c r="C16" s="23" t="n">
        <v>8</v>
      </c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</row>
    <row r="17">
      <c r="A17" s="26" t="n">
        <v>14</v>
      </c>
      <c r="B17" s="25" t="n"/>
      <c r="C17" s="26" t="n">
        <v>8</v>
      </c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</row>
    <row r="18">
      <c r="A18" s="23" t="n">
        <v>15</v>
      </c>
      <c r="B18" s="22" t="n"/>
      <c r="C18" s="23" t="n">
        <v>8</v>
      </c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</row>
    <row r="19">
      <c r="A19" s="26" t="n">
        <v>16</v>
      </c>
      <c r="B19" s="25" t="n"/>
      <c r="C19" s="26" t="n">
        <v>8</v>
      </c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</row>
    <row r="20">
      <c r="A20" s="23" t="n">
        <v>17</v>
      </c>
      <c r="B20" s="22" t="n"/>
      <c r="C20" s="23" t="n">
        <v>8</v>
      </c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</row>
    <row r="21">
      <c r="A21" s="26" t="n">
        <v>18</v>
      </c>
      <c r="B21" s="25" t="n"/>
      <c r="C21" s="26" t="n">
        <v>8</v>
      </c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</row>
    <row r="22">
      <c r="A22" s="23" t="n">
        <v>19</v>
      </c>
      <c r="B22" s="22" t="n"/>
      <c r="C22" s="23" t="n">
        <v>8</v>
      </c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</row>
    <row r="23">
      <c r="A23" s="26" t="n">
        <v>20</v>
      </c>
      <c r="B23" s="25" t="n"/>
      <c r="C23" s="26" t="n">
        <v>8</v>
      </c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76E79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2" customWidth="1" min="4" max="4"/>
    <col width="32" customWidth="1" min="5" max="5"/>
    <col width="16" customWidth="1" min="6" max="6"/>
  </cols>
  <sheetData>
    <row r="1" ht="42" customHeight="1">
      <c r="A1" s="1" t="inlineStr">
        <is>
          <t>Day-Of Timeline</t>
        </is>
      </c>
    </row>
    <row r="2" ht="26" customHeight="1">
      <c r="A2" s="2" t="inlineStr">
        <is>
          <t>Minute-by-Minute Wedding Day Schedule  |  8 AM to 11 PM</t>
        </is>
      </c>
    </row>
    <row r="3" ht="24" customHeight="1">
      <c r="A3" s="18" t="inlineStr">
        <is>
          <t>Time</t>
        </is>
      </c>
      <c r="B3" s="18" t="inlineStr">
        <is>
          <t>Event / Activity</t>
        </is>
      </c>
      <c r="C3" s="18" t="inlineStr">
        <is>
          <t>Location</t>
        </is>
      </c>
      <c r="D3" s="18" t="inlineStr">
        <is>
          <t>Person Responsible</t>
        </is>
      </c>
      <c r="E3" s="18" t="inlineStr">
        <is>
          <t>Notes / Details</t>
        </is>
      </c>
      <c r="F3" s="18" t="inlineStr">
        <is>
          <t>Status</t>
        </is>
      </c>
    </row>
    <row r="4">
      <c r="A4" s="42" t="inlineStr">
        <is>
          <t>8:00 AM</t>
        </is>
      </c>
      <c r="B4" s="22" t="inlineStr">
        <is>
          <t>Bridal party hair &amp; makeup begins</t>
        </is>
      </c>
      <c r="C4" s="23" t="inlineStr">
        <is>
          <t>Bridal Suite</t>
        </is>
      </c>
      <c r="D4" s="23" t="inlineStr">
        <is>
          <t>Hair/Makeup Team</t>
        </is>
      </c>
      <c r="E4" s="22" t="inlineStr">
        <is>
          <t>Allow 3-4 hours for full party</t>
        </is>
      </c>
      <c r="F4" s="23" t="n"/>
    </row>
    <row r="5">
      <c r="A5" s="43" t="inlineStr">
        <is>
          <t>8:30 AM</t>
        </is>
      </c>
      <c r="B5" s="25" t="inlineStr">
        <is>
          <t>Breakfast for bridal party</t>
        </is>
      </c>
      <c r="C5" s="26" t="inlineStr">
        <is>
          <t>Bridal Suite</t>
        </is>
      </c>
      <c r="D5" s="26" t="inlineStr">
        <is>
          <t>MOH / Coordinator</t>
        </is>
      </c>
      <c r="E5" s="25" t="inlineStr">
        <is>
          <t>Light, non-messy foods</t>
        </is>
      </c>
      <c r="F5" s="26" t="n"/>
    </row>
    <row r="6">
      <c r="A6" s="42" t="inlineStr">
        <is>
          <t>9:00 AM</t>
        </is>
      </c>
      <c r="B6" s="22" t="inlineStr">
        <is>
          <t>Groom &amp; groomsmen breakfast</t>
        </is>
      </c>
      <c r="C6" s="23" t="inlineStr">
        <is>
          <t>Groom's Room</t>
        </is>
      </c>
      <c r="D6" s="23" t="inlineStr">
        <is>
          <t>Best Man</t>
        </is>
      </c>
      <c r="E6" s="22" t="inlineStr">
        <is>
          <t>Keep it casual and fun</t>
        </is>
      </c>
      <c r="F6" s="23" t="n"/>
    </row>
    <row r="7">
      <c r="A7" s="43" t="inlineStr">
        <is>
          <t>10:00 AM</t>
        </is>
      </c>
      <c r="B7" s="25" t="inlineStr">
        <is>
          <t>Photographer arrives</t>
        </is>
      </c>
      <c r="C7" s="26" t="inlineStr">
        <is>
          <t>Bridal Suite</t>
        </is>
      </c>
      <c r="D7" s="26" t="inlineStr">
        <is>
          <t>Photographer</t>
        </is>
      </c>
      <c r="E7" s="25" t="inlineStr">
        <is>
          <t>Detail shots: dress, rings, shoes, invites</t>
        </is>
      </c>
      <c r="F7" s="26" t="n"/>
    </row>
    <row r="8">
      <c r="A8" s="42" t="inlineStr">
        <is>
          <t>10:30 AM</t>
        </is>
      </c>
      <c r="B8" s="22" t="inlineStr">
        <is>
          <t>Videographer arrives</t>
        </is>
      </c>
      <c r="C8" s="23" t="inlineStr">
        <is>
          <t>Venue</t>
        </is>
      </c>
      <c r="D8" s="23" t="inlineStr">
        <is>
          <t>Videographer</t>
        </is>
      </c>
      <c r="E8" s="22" t="inlineStr">
        <is>
          <t>Establish shots of venue</t>
        </is>
      </c>
      <c r="F8" s="23" t="n"/>
    </row>
    <row r="9">
      <c r="A9" s="43" t="inlineStr">
        <is>
          <t>11:00 AM</t>
        </is>
      </c>
      <c r="B9" s="25" t="inlineStr">
        <is>
          <t>Bride gets dressed</t>
        </is>
      </c>
      <c r="C9" s="26" t="inlineStr">
        <is>
          <t>Bridal Suite</t>
        </is>
      </c>
      <c r="D9" s="26" t="inlineStr">
        <is>
          <t>MOH / Mother</t>
        </is>
      </c>
      <c r="E9" s="25" t="inlineStr">
        <is>
          <t>Schedule 30 min for photos</t>
        </is>
      </c>
      <c r="F9" s="26" t="n"/>
    </row>
    <row r="10">
      <c r="A10" s="42" t="inlineStr">
        <is>
          <t>11:30 AM</t>
        </is>
      </c>
      <c r="B10" s="22" t="inlineStr">
        <is>
          <t>Groom gets dressed</t>
        </is>
      </c>
      <c r="C10" s="23" t="inlineStr">
        <is>
          <t>Groom's Room</t>
        </is>
      </c>
      <c r="D10" s="23" t="inlineStr">
        <is>
          <t>Best Man</t>
        </is>
      </c>
      <c r="E10" s="22" t="inlineStr">
        <is>
          <t>Boutonniere pinning</t>
        </is>
      </c>
      <c r="F10" s="23" t="n"/>
    </row>
    <row r="11">
      <c r="A11" s="43" t="inlineStr">
        <is>
          <t>12:00 PM</t>
        </is>
      </c>
      <c r="B11" s="25" t="inlineStr">
        <is>
          <t>First Look (optional)</t>
        </is>
      </c>
      <c r="C11" s="26" t="inlineStr">
        <is>
          <t>Garden / Venue</t>
        </is>
      </c>
      <c r="D11" s="26" t="inlineStr">
        <is>
          <t>Photographer</t>
        </is>
      </c>
      <c r="E11" s="25" t="inlineStr">
        <is>
          <t>Private moment, 15-20 min</t>
        </is>
      </c>
      <c r="F11" s="26" t="n"/>
    </row>
    <row r="12">
      <c r="A12" s="42" t="inlineStr">
        <is>
          <t>12:30 PM</t>
        </is>
      </c>
      <c r="B12" s="22" t="inlineStr">
        <is>
          <t>Wedding party photos</t>
        </is>
      </c>
      <c r="C12" s="23" t="inlineStr">
        <is>
          <t>Venue Grounds</t>
        </is>
      </c>
      <c r="D12" s="23" t="inlineStr">
        <is>
          <t>Photographer</t>
        </is>
      </c>
      <c r="E12" s="22" t="inlineStr">
        <is>
          <t>Group and individual shots</t>
        </is>
      </c>
      <c r="F12" s="23" t="n"/>
    </row>
    <row r="13">
      <c r="A13" s="43" t="inlineStr">
        <is>
          <t>1:00 PM</t>
        </is>
      </c>
      <c r="B13" s="25" t="inlineStr">
        <is>
          <t>Family formal photos</t>
        </is>
      </c>
      <c r="C13" s="26" t="inlineStr">
        <is>
          <t>Venue</t>
        </is>
      </c>
      <c r="D13" s="26" t="inlineStr">
        <is>
          <t>Photographer</t>
        </is>
      </c>
      <c r="E13" s="25" t="inlineStr">
        <is>
          <t>Pre-arrange family groupings</t>
        </is>
      </c>
      <c r="F13" s="26" t="n"/>
    </row>
    <row r="14">
      <c r="A14" s="42" t="inlineStr">
        <is>
          <t>1:30 PM</t>
        </is>
      </c>
      <c r="B14" s="22" t="inlineStr">
        <is>
          <t>Bridal party hidden / guests arrive</t>
        </is>
      </c>
      <c r="C14" s="23" t="inlineStr">
        <is>
          <t>Ceremony Area</t>
        </is>
      </c>
      <c r="D14" s="23" t="inlineStr">
        <is>
          <t>Coordinator</t>
        </is>
      </c>
      <c r="E14" s="22" t="inlineStr">
        <is>
          <t>Ushers seat guests</t>
        </is>
      </c>
      <c r="F14" s="23" t="n"/>
    </row>
    <row r="15">
      <c r="A15" s="43" t="inlineStr">
        <is>
          <t>2:00 PM</t>
        </is>
      </c>
      <c r="B15" s="25" t="inlineStr">
        <is>
          <t>Musicians / DJ begin prelude</t>
        </is>
      </c>
      <c r="C15" s="26" t="inlineStr">
        <is>
          <t>Ceremony Area</t>
        </is>
      </c>
      <c r="D15" s="26" t="inlineStr">
        <is>
          <t>DJ / Musicians</t>
        </is>
      </c>
      <c r="E15" s="25" t="inlineStr">
        <is>
          <t>30 min of ambient music</t>
        </is>
      </c>
      <c r="F15" s="26" t="n"/>
    </row>
    <row r="16">
      <c r="A16" s="42" t="inlineStr">
        <is>
          <t>2:25 PM</t>
        </is>
      </c>
      <c r="B16" s="22" t="inlineStr">
        <is>
          <t>Seat immediate family</t>
        </is>
      </c>
      <c r="C16" s="23" t="inlineStr">
        <is>
          <t>Ceremony Area</t>
        </is>
      </c>
      <c r="D16" s="23" t="inlineStr">
        <is>
          <t>Ushers</t>
        </is>
      </c>
      <c r="E16" s="22" t="inlineStr">
        <is>
          <t>Mothers seated last</t>
        </is>
      </c>
      <c r="F16" s="23" t="n"/>
    </row>
    <row r="17">
      <c r="A17" s="43" t="inlineStr">
        <is>
          <t>2:30 PM</t>
        </is>
      </c>
      <c r="B17" s="25" t="inlineStr">
        <is>
          <t>Ceremony begins</t>
        </is>
      </c>
      <c r="C17" s="26" t="inlineStr">
        <is>
          <t>Ceremony Area</t>
        </is>
      </c>
      <c r="D17" s="26" t="inlineStr">
        <is>
          <t>Officiant</t>
        </is>
      </c>
      <c r="E17" s="25" t="inlineStr">
        <is>
          <t>Processional order confirmed</t>
        </is>
      </c>
      <c r="F17" s="26" t="n"/>
    </row>
    <row r="18">
      <c r="A18" s="42" t="inlineStr">
        <is>
          <t>2:35 PM</t>
        </is>
      </c>
      <c r="B18" s="22" t="inlineStr">
        <is>
          <t>Wedding party processional</t>
        </is>
      </c>
      <c r="C18" s="23" t="inlineStr">
        <is>
          <t>Ceremony Area</t>
        </is>
      </c>
      <c r="D18" s="23" t="inlineStr">
        <is>
          <t>Coordinator</t>
        </is>
      </c>
      <c r="E18" s="22" t="inlineStr">
        <is>
          <t>Cue music changes</t>
        </is>
      </c>
      <c r="F18" s="23" t="n"/>
    </row>
    <row r="19">
      <c r="A19" s="43" t="inlineStr">
        <is>
          <t>2:40 PM</t>
        </is>
      </c>
      <c r="B19" s="25" t="inlineStr">
        <is>
          <t>Bride's entrance</t>
        </is>
      </c>
      <c r="C19" s="26" t="inlineStr">
        <is>
          <t>Ceremony Area</t>
        </is>
      </c>
      <c r="D19" s="26" t="inlineStr">
        <is>
          <t>Father / Escort</t>
        </is>
      </c>
      <c r="E19" s="25" t="inlineStr">
        <is>
          <t>Cue bridal march</t>
        </is>
      </c>
      <c r="F19" s="26" t="n"/>
    </row>
    <row r="20">
      <c r="A20" s="42" t="inlineStr">
        <is>
          <t>2:45 PM</t>
        </is>
      </c>
      <c r="B20" s="22" t="inlineStr">
        <is>
          <t>Readings &amp; vows</t>
        </is>
      </c>
      <c r="C20" s="23" t="inlineStr">
        <is>
          <t>Ceremony Area</t>
        </is>
      </c>
      <c r="D20" s="23" t="inlineStr">
        <is>
          <t>Officiant</t>
        </is>
      </c>
      <c r="E20" s="22" t="inlineStr">
        <is>
          <t>Mic check beforehand</t>
        </is>
      </c>
      <c r="F20" s="23" t="n"/>
    </row>
    <row r="21">
      <c r="A21" s="43" t="inlineStr">
        <is>
          <t>3:00 PM</t>
        </is>
      </c>
      <c r="B21" s="25" t="inlineStr">
        <is>
          <t>Ring exchange &amp; kiss</t>
        </is>
      </c>
      <c r="C21" s="26" t="inlineStr">
        <is>
          <t>Ceremony Area</t>
        </is>
      </c>
      <c r="D21" s="26" t="inlineStr">
        <is>
          <t>Best Man / Ring Bearer</t>
        </is>
      </c>
      <c r="E21" s="25" t="inlineStr">
        <is>
          <t>Have backup ring holder</t>
        </is>
      </c>
      <c r="F21" s="26" t="n"/>
    </row>
    <row r="22">
      <c r="A22" s="42" t="inlineStr">
        <is>
          <t>3:05 PM</t>
        </is>
      </c>
      <c r="B22" s="22" t="inlineStr">
        <is>
          <t>Recessional</t>
        </is>
      </c>
      <c r="C22" s="23" t="inlineStr">
        <is>
          <t>Ceremony Area</t>
        </is>
      </c>
      <c r="D22" s="23" t="inlineStr">
        <is>
          <t>All</t>
        </is>
      </c>
      <c r="E22" s="22" t="inlineStr">
        <is>
          <t>Upbeat exit music</t>
        </is>
      </c>
      <c r="F22" s="23" t="n"/>
    </row>
    <row r="23">
      <c r="A23" s="43" t="inlineStr">
        <is>
          <t>3:15 PM</t>
        </is>
      </c>
      <c r="B23" s="25" t="inlineStr">
        <is>
          <t>Receiving line (optional)</t>
        </is>
      </c>
      <c r="C23" s="26" t="inlineStr">
        <is>
          <t>Ceremony Exit</t>
        </is>
      </c>
      <c r="D23" s="26" t="inlineStr">
        <is>
          <t>Couple &amp; Parents</t>
        </is>
      </c>
      <c r="E23" s="25" t="inlineStr">
        <is>
          <t>Keep it moving, 2-3 min each</t>
        </is>
      </c>
      <c r="F23" s="26" t="n"/>
    </row>
    <row r="24">
      <c r="A24" s="42" t="inlineStr">
        <is>
          <t>3:30 PM</t>
        </is>
      </c>
      <c r="B24" s="22" t="inlineStr">
        <is>
          <t>Cocktail hour begins</t>
        </is>
      </c>
      <c r="C24" s="23" t="inlineStr">
        <is>
          <t>Cocktail Area</t>
        </is>
      </c>
      <c r="D24" s="23" t="inlineStr">
        <is>
          <t>Caterer / Bar</t>
        </is>
      </c>
      <c r="E24" s="22" t="inlineStr">
        <is>
          <t>Passed apps + signature cocktails</t>
        </is>
      </c>
      <c r="F24" s="23" t="n"/>
    </row>
    <row r="25">
      <c r="A25" s="43" t="inlineStr">
        <is>
          <t>3:30 PM</t>
        </is>
      </c>
      <c r="B25" s="25" t="inlineStr">
        <is>
          <t>Couple photos (golden hour)</t>
        </is>
      </c>
      <c r="C25" s="26" t="inlineStr">
        <is>
          <t>Venue Grounds</t>
        </is>
      </c>
      <c r="D25" s="26" t="inlineStr">
        <is>
          <t>Photographer</t>
        </is>
      </c>
      <c r="E25" s="25" t="inlineStr">
        <is>
          <t>30-45 min, best light</t>
        </is>
      </c>
      <c r="F25" s="26" t="n"/>
    </row>
    <row r="26">
      <c r="A26" s="42" t="inlineStr">
        <is>
          <t>4:30 PM</t>
        </is>
      </c>
      <c r="B26" s="22" t="inlineStr">
        <is>
          <t>Guests move to reception</t>
        </is>
      </c>
      <c r="C26" s="23" t="inlineStr">
        <is>
          <t>Reception Hall</t>
        </is>
      </c>
      <c r="D26" s="23" t="inlineStr">
        <is>
          <t>Coordinator / DJ</t>
        </is>
      </c>
      <c r="E26" s="22" t="inlineStr">
        <is>
          <t>Announce transition</t>
        </is>
      </c>
      <c r="F26" s="23" t="n"/>
    </row>
    <row r="27">
      <c r="A27" s="43" t="inlineStr">
        <is>
          <t>4:45 PM</t>
        </is>
      </c>
      <c r="B27" s="25" t="inlineStr">
        <is>
          <t>Grand entrance</t>
        </is>
      </c>
      <c r="C27" s="26" t="inlineStr">
        <is>
          <t>Reception Hall</t>
        </is>
      </c>
      <c r="D27" s="26" t="inlineStr">
        <is>
          <t>DJ</t>
        </is>
      </c>
      <c r="E27" s="25" t="inlineStr">
        <is>
          <t>Introduce wedding party + couple</t>
        </is>
      </c>
      <c r="F27" s="26" t="n"/>
    </row>
    <row r="28">
      <c r="A28" s="42" t="inlineStr">
        <is>
          <t>5:00 PM</t>
        </is>
      </c>
      <c r="B28" s="22" t="inlineStr">
        <is>
          <t>First dance</t>
        </is>
      </c>
      <c r="C28" s="23" t="inlineStr">
        <is>
          <t>Dance Floor</t>
        </is>
      </c>
      <c r="D28" s="23" t="inlineStr">
        <is>
          <t>DJ / Band</t>
        </is>
      </c>
      <c r="E28" s="22" t="inlineStr">
        <is>
          <t>Song cued and tested</t>
        </is>
      </c>
      <c r="F28" s="23" t="n"/>
    </row>
    <row r="29">
      <c r="A29" s="43" t="inlineStr">
        <is>
          <t>5:10 PM</t>
        </is>
      </c>
      <c r="B29" s="25" t="inlineStr">
        <is>
          <t>Parent dances</t>
        </is>
      </c>
      <c r="C29" s="26" t="inlineStr">
        <is>
          <t>Dance Floor</t>
        </is>
      </c>
      <c r="D29" s="26" t="inlineStr">
        <is>
          <t>DJ</t>
        </is>
      </c>
      <c r="E29" s="25" t="inlineStr">
        <is>
          <t>Father-daughter, mother-son</t>
        </is>
      </c>
      <c r="F29" s="26" t="n"/>
    </row>
    <row r="30">
      <c r="A30" s="42" t="inlineStr">
        <is>
          <t>5:20 PM</t>
        </is>
      </c>
      <c r="B30" s="22" t="inlineStr">
        <is>
          <t>Welcome toast</t>
        </is>
      </c>
      <c r="C30" s="23" t="inlineStr">
        <is>
          <t>Reception Hall</t>
        </is>
      </c>
      <c r="D30" s="23" t="inlineStr">
        <is>
          <t>Couple / Host</t>
        </is>
      </c>
      <c r="E30" s="22" t="inlineStr">
        <is>
          <t>Keep it short and sweet</t>
        </is>
      </c>
      <c r="F30" s="23" t="n"/>
    </row>
    <row r="31">
      <c r="A31" s="43" t="inlineStr">
        <is>
          <t>5:30 PM</t>
        </is>
      </c>
      <c r="B31" s="25" t="inlineStr">
        <is>
          <t>Dinner service begins</t>
        </is>
      </c>
      <c r="C31" s="26" t="inlineStr">
        <is>
          <t>Reception Hall</t>
        </is>
      </c>
      <c r="D31" s="26" t="inlineStr">
        <is>
          <t>Caterer</t>
        </is>
      </c>
      <c r="E31" s="25" t="inlineStr">
        <is>
          <t>Table-by-table service</t>
        </is>
      </c>
      <c r="F31" s="26" t="n"/>
    </row>
    <row r="32">
      <c r="A32" s="42" t="inlineStr">
        <is>
          <t>6:00 PM</t>
        </is>
      </c>
      <c r="B32" s="22" t="inlineStr">
        <is>
          <t>Best Man toast</t>
        </is>
      </c>
      <c r="C32" s="23" t="inlineStr">
        <is>
          <t>Reception Hall</t>
        </is>
      </c>
      <c r="D32" s="23" t="inlineStr">
        <is>
          <t>Best Man</t>
        </is>
      </c>
      <c r="E32" s="22" t="inlineStr">
        <is>
          <t>Mic provided</t>
        </is>
      </c>
      <c r="F32" s="23" t="n"/>
    </row>
    <row r="33">
      <c r="A33" s="43" t="inlineStr">
        <is>
          <t>6:10 PM</t>
        </is>
      </c>
      <c r="B33" s="25" t="inlineStr">
        <is>
          <t>Maid of Honor toast</t>
        </is>
      </c>
      <c r="C33" s="26" t="inlineStr">
        <is>
          <t>Reception Hall</t>
        </is>
      </c>
      <c r="D33" s="26" t="inlineStr">
        <is>
          <t>MOH</t>
        </is>
      </c>
      <c r="E33" s="25" t="inlineStr">
        <is>
          <t>Coordinate order with DJ</t>
        </is>
      </c>
      <c r="F33" s="26" t="n"/>
    </row>
    <row r="34">
      <c r="A34" s="42" t="inlineStr">
        <is>
          <t>6:20 PM</t>
        </is>
      </c>
      <c r="B34" s="22" t="inlineStr">
        <is>
          <t>Additional toasts (optional)</t>
        </is>
      </c>
      <c r="C34" s="23" t="inlineStr">
        <is>
          <t>Reception Hall</t>
        </is>
      </c>
      <c r="D34" s="23" t="inlineStr">
        <is>
          <t>Family / Friends</t>
        </is>
      </c>
      <c r="E34" s="22" t="inlineStr">
        <is>
          <t>Limit to 2-3 min each</t>
        </is>
      </c>
      <c r="F34" s="23" t="n"/>
    </row>
    <row r="35">
      <c r="A35" s="43" t="inlineStr">
        <is>
          <t>6:30 PM</t>
        </is>
      </c>
      <c r="B35" s="25" t="inlineStr">
        <is>
          <t>Cake cutting</t>
        </is>
      </c>
      <c r="C35" s="26" t="inlineStr">
        <is>
          <t>Cake Table</t>
        </is>
      </c>
      <c r="D35" s="26" t="inlineStr">
        <is>
          <t>Couple</t>
        </is>
      </c>
      <c r="E35" s="25" t="inlineStr">
        <is>
          <t>Photographer ready</t>
        </is>
      </c>
      <c r="F35" s="26" t="n"/>
    </row>
    <row r="36">
      <c r="A36" s="42" t="inlineStr">
        <is>
          <t>6:45 PM</t>
        </is>
      </c>
      <c r="B36" s="22" t="inlineStr">
        <is>
          <t>Bouquet toss</t>
        </is>
      </c>
      <c r="C36" s="23" t="inlineStr">
        <is>
          <t>Dance Floor</t>
        </is>
      </c>
      <c r="D36" s="23" t="inlineStr">
        <is>
          <t>Bride</t>
        </is>
      </c>
      <c r="E36" s="22" t="inlineStr">
        <is>
          <t>DJ announces</t>
        </is>
      </c>
      <c r="F36" s="23" t="n"/>
    </row>
    <row r="37">
      <c r="A37" s="43" t="inlineStr">
        <is>
          <t>6:50 PM</t>
        </is>
      </c>
      <c r="B37" s="25" t="inlineStr">
        <is>
          <t>Garter toss (optional)</t>
        </is>
      </c>
      <c r="C37" s="26" t="inlineStr">
        <is>
          <t>Dance Floor</t>
        </is>
      </c>
      <c r="D37" s="26" t="inlineStr">
        <is>
          <t>Groom</t>
        </is>
      </c>
      <c r="E37" s="25" t="inlineStr">
        <is>
          <t>Fun music cue</t>
        </is>
      </c>
      <c r="F37" s="26" t="n"/>
    </row>
    <row r="38">
      <c r="A38" s="42" t="inlineStr">
        <is>
          <t>7:00 PM</t>
        </is>
      </c>
      <c r="B38" s="22" t="inlineStr">
        <is>
          <t>Open dancing begins</t>
        </is>
      </c>
      <c r="C38" s="23" t="inlineStr">
        <is>
          <t>Dance Floor</t>
        </is>
      </c>
      <c r="D38" s="23" t="inlineStr">
        <is>
          <t>DJ / Band</t>
        </is>
      </c>
      <c r="E38" s="22" t="inlineStr">
        <is>
          <t>Mix of genres and eras</t>
        </is>
      </c>
      <c r="F38" s="23" t="n"/>
    </row>
    <row r="39">
      <c r="A39" s="43" t="inlineStr">
        <is>
          <t>8:00 PM</t>
        </is>
      </c>
      <c r="B39" s="25" t="inlineStr">
        <is>
          <t>Special dances / group dances</t>
        </is>
      </c>
      <c r="C39" s="26" t="inlineStr">
        <is>
          <t>Dance Floor</t>
        </is>
      </c>
      <c r="D39" s="26" t="inlineStr">
        <is>
          <t>DJ</t>
        </is>
      </c>
      <c r="E39" s="25" t="inlineStr">
        <is>
          <t>Anniversary dance, hora, etc.</t>
        </is>
      </c>
      <c r="F39" s="26" t="n"/>
    </row>
    <row r="40">
      <c r="A40" s="42" t="inlineStr">
        <is>
          <t>9:00 PM</t>
        </is>
      </c>
      <c r="B40" s="22" t="inlineStr">
        <is>
          <t>Late-night snacks served</t>
        </is>
      </c>
      <c r="C40" s="23" t="inlineStr">
        <is>
          <t>Food Station</t>
        </is>
      </c>
      <c r="D40" s="23" t="inlineStr">
        <is>
          <t>Caterer</t>
        </is>
      </c>
      <c r="E40" s="22" t="inlineStr">
        <is>
          <t>Pizza, sliders, dessert bar</t>
        </is>
      </c>
      <c r="F40" s="23" t="n"/>
    </row>
    <row r="41">
      <c r="A41" s="43" t="inlineStr">
        <is>
          <t>9:30 PM</t>
        </is>
      </c>
      <c r="B41" s="25" t="inlineStr">
        <is>
          <t>Last call for bar</t>
        </is>
      </c>
      <c r="C41" s="26" t="inlineStr">
        <is>
          <t>Bar</t>
        </is>
      </c>
      <c r="D41" s="26" t="inlineStr">
        <is>
          <t>Bartender</t>
        </is>
      </c>
      <c r="E41" s="25" t="inlineStr">
        <is>
          <t>30-min warning</t>
        </is>
      </c>
      <c r="F41" s="26" t="n"/>
    </row>
    <row r="42">
      <c r="A42" s="42" t="inlineStr">
        <is>
          <t>10:00 PM</t>
        </is>
      </c>
      <c r="B42" s="22" t="inlineStr">
        <is>
          <t>Last dance</t>
        </is>
      </c>
      <c r="C42" s="23" t="inlineStr">
        <is>
          <t>Dance Floor</t>
        </is>
      </c>
      <c r="D42" s="23" t="inlineStr">
        <is>
          <t>DJ / Couple</t>
        </is>
      </c>
      <c r="E42" s="22" t="inlineStr">
        <is>
          <t>Meaningful slow song</t>
        </is>
      </c>
      <c r="F42" s="23" t="n"/>
    </row>
    <row r="43">
      <c r="A43" s="43" t="inlineStr">
        <is>
          <t>10:15 PM</t>
        </is>
      </c>
      <c r="B43" s="25" t="inlineStr">
        <is>
          <t>Sparkler exit / send-off</t>
        </is>
      </c>
      <c r="C43" s="26" t="inlineStr">
        <is>
          <t>Venue Exit</t>
        </is>
      </c>
      <c r="D43" s="26" t="inlineStr">
        <is>
          <t>Coordinator</t>
        </is>
      </c>
      <c r="E43" s="25" t="inlineStr">
        <is>
          <t>Safety briefing for sparklers</t>
        </is>
      </c>
      <c r="F43" s="26" t="n"/>
    </row>
    <row r="44">
      <c r="A44" s="42" t="inlineStr">
        <is>
          <t>10:30 PM</t>
        </is>
      </c>
      <c r="B44" s="22" t="inlineStr">
        <is>
          <t>Couple departs</t>
        </is>
      </c>
      <c r="C44" s="23" t="inlineStr">
        <is>
          <t>Venue Exit</t>
        </is>
      </c>
      <c r="D44" s="23" t="inlineStr">
        <is>
          <t>Transportation</t>
        </is>
      </c>
      <c r="E44" s="22" t="inlineStr">
        <is>
          <t>Getaway car ready</t>
        </is>
      </c>
      <c r="F44" s="23" t="n"/>
    </row>
    <row r="45">
      <c r="A45" s="43" t="inlineStr">
        <is>
          <t>11:00 PM</t>
        </is>
      </c>
      <c r="B45" s="25" t="inlineStr">
        <is>
          <t>Venue cleanup / breakdown</t>
        </is>
      </c>
      <c r="C45" s="26" t="inlineStr">
        <is>
          <t>Venue</t>
        </is>
      </c>
      <c r="D45" s="26" t="inlineStr">
        <is>
          <t>Coordinator / Rentals</t>
        </is>
      </c>
      <c r="E45" s="25" t="inlineStr">
        <is>
          <t>Collect personal items &amp; gifts</t>
        </is>
      </c>
      <c r="F45" s="26" t="n"/>
    </row>
  </sheetData>
  <mergeCells count="2">
    <mergeCell ref="A2:F2"/>
    <mergeCell ref="A1:F1"/>
  </mergeCells>
  <conditionalFormatting sqref="F4:F45">
    <cfRule type="cellIs" priority="1" operator="equal" dxfId="0">
      <formula>"Done"</formula>
    </cfRule>
    <cfRule type="cellIs" priority="2" operator="equal" dxfId="2">
      <formula>"In Progress"</formula>
    </cfRule>
    <cfRule type="cellIs" priority="3" operator="equal" dxfId="1">
      <formula>"Not Started"</formula>
    </cfRule>
    <cfRule type="cellIs" priority="4" operator="equal" dxfId="1">
      <formula>"Pending"</formula>
    </cfRule>
  </conditionalFormatting>
  <dataValidations count="1">
    <dataValidation sqref="F4:F45" showDropDown="0" showInputMessage="0" showErrorMessage="0" allowBlank="1" errorTitle="Invalid Entry" error="Please select from the dropdown list." promptTitle="Choose" prompt="Select an option" type="list">
      <formula1>"Pending,In Progress,Done"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A55A"/>
    <outlinePr summaryBelow="1" summaryRight="1"/>
    <pageSetUpPr/>
  </sheetPr>
  <dimension ref="A1:G10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6" customWidth="1" min="4" max="4"/>
    <col width="18" customWidth="1" min="5" max="5"/>
    <col width="16" customWidth="1" min="6" max="6"/>
    <col width="28" customWidth="1" min="7" max="7"/>
  </cols>
  <sheetData>
    <row r="1" ht="42" customHeight="1">
      <c r="A1" s="1" t="inlineStr">
        <is>
          <t>Gift &amp; Thank You Tracker</t>
        </is>
      </c>
    </row>
    <row r="2" ht="26" customHeight="1">
      <c r="A2" s="2" t="inlineStr">
        <is>
          <t>Log Every Gift  |  Track Thank You Notes  |  Never Miss a Thank You</t>
        </is>
      </c>
    </row>
    <row r="3" ht="24" customHeight="1">
      <c r="A3" s="18" t="inlineStr">
        <is>
          <t>Guest Name</t>
        </is>
      </c>
      <c r="B3" s="18" t="inlineStr">
        <is>
          <t>Gift Description</t>
        </is>
      </c>
      <c r="C3" s="18" t="inlineStr">
        <is>
          <t>Estimated Value</t>
        </is>
      </c>
      <c r="D3" s="18" t="inlineStr">
        <is>
          <t>Date Received</t>
        </is>
      </c>
      <c r="E3" s="18" t="inlineStr">
        <is>
          <t>Thank You Written</t>
        </is>
      </c>
      <c r="F3" s="18" t="inlineStr">
        <is>
          <t>Date Sent</t>
        </is>
      </c>
      <c r="G3" s="18" t="inlineStr">
        <is>
          <t>Notes</t>
        </is>
      </c>
    </row>
    <row r="4">
      <c r="A4" s="22" t="n"/>
      <c r="B4" s="22" t="n"/>
      <c r="C4" s="34" t="n"/>
      <c r="D4" s="38" t="n"/>
      <c r="E4" s="23" t="n"/>
      <c r="F4" s="38" t="n"/>
      <c r="G4" s="22" t="n"/>
    </row>
    <row r="5">
      <c r="A5" s="25" t="n"/>
      <c r="B5" s="25" t="n"/>
      <c r="C5" s="35" t="n"/>
      <c r="D5" s="39" t="n"/>
      <c r="E5" s="26" t="n"/>
      <c r="F5" s="39" t="n"/>
      <c r="G5" s="25" t="n"/>
    </row>
    <row r="6">
      <c r="A6" s="22" t="n"/>
      <c r="B6" s="22" t="n"/>
      <c r="C6" s="34" t="n"/>
      <c r="D6" s="38" t="n"/>
      <c r="E6" s="23" t="n"/>
      <c r="F6" s="38" t="n"/>
      <c r="G6" s="22" t="n"/>
    </row>
    <row r="7">
      <c r="A7" s="25" t="n"/>
      <c r="B7" s="25" t="n"/>
      <c r="C7" s="35" t="n"/>
      <c r="D7" s="39" t="n"/>
      <c r="E7" s="26" t="n"/>
      <c r="F7" s="39" t="n"/>
      <c r="G7" s="25" t="n"/>
    </row>
    <row r="8">
      <c r="A8" s="22" t="n"/>
      <c r="B8" s="22" t="n"/>
      <c r="C8" s="34" t="n"/>
      <c r="D8" s="38" t="n"/>
      <c r="E8" s="23" t="n"/>
      <c r="F8" s="38" t="n"/>
      <c r="G8" s="22" t="n"/>
    </row>
    <row r="9">
      <c r="A9" s="25" t="n"/>
      <c r="B9" s="25" t="n"/>
      <c r="C9" s="35" t="n"/>
      <c r="D9" s="39" t="n"/>
      <c r="E9" s="26" t="n"/>
      <c r="F9" s="39" t="n"/>
      <c r="G9" s="25" t="n"/>
    </row>
    <row r="10">
      <c r="A10" s="22" t="n"/>
      <c r="B10" s="22" t="n"/>
      <c r="C10" s="34" t="n"/>
      <c r="D10" s="38" t="n"/>
      <c r="E10" s="23" t="n"/>
      <c r="F10" s="38" t="n"/>
      <c r="G10" s="22" t="n"/>
    </row>
    <row r="11">
      <c r="A11" s="25" t="n"/>
      <c r="B11" s="25" t="n"/>
      <c r="C11" s="35" t="n"/>
      <c r="D11" s="39" t="n"/>
      <c r="E11" s="26" t="n"/>
      <c r="F11" s="39" t="n"/>
      <c r="G11" s="25" t="n"/>
    </row>
    <row r="12">
      <c r="A12" s="22" t="n"/>
      <c r="B12" s="22" t="n"/>
      <c r="C12" s="34" t="n"/>
      <c r="D12" s="38" t="n"/>
      <c r="E12" s="23" t="n"/>
      <c r="F12" s="38" t="n"/>
      <c r="G12" s="22" t="n"/>
    </row>
    <row r="13">
      <c r="A13" s="25" t="n"/>
      <c r="B13" s="25" t="n"/>
      <c r="C13" s="35" t="n"/>
      <c r="D13" s="39" t="n"/>
      <c r="E13" s="26" t="n"/>
      <c r="F13" s="39" t="n"/>
      <c r="G13" s="25" t="n"/>
    </row>
    <row r="14">
      <c r="A14" s="22" t="n"/>
      <c r="B14" s="22" t="n"/>
      <c r="C14" s="34" t="n"/>
      <c r="D14" s="38" t="n"/>
      <c r="E14" s="23" t="n"/>
      <c r="F14" s="38" t="n"/>
      <c r="G14" s="22" t="n"/>
    </row>
    <row r="15">
      <c r="A15" s="25" t="n"/>
      <c r="B15" s="25" t="n"/>
      <c r="C15" s="35" t="n"/>
      <c r="D15" s="39" t="n"/>
      <c r="E15" s="26" t="n"/>
      <c r="F15" s="39" t="n"/>
      <c r="G15" s="25" t="n"/>
    </row>
    <row r="16">
      <c r="A16" s="22" t="n"/>
      <c r="B16" s="22" t="n"/>
      <c r="C16" s="34" t="n"/>
      <c r="D16" s="38" t="n"/>
      <c r="E16" s="23" t="n"/>
      <c r="F16" s="38" t="n"/>
      <c r="G16" s="22" t="n"/>
    </row>
    <row r="17">
      <c r="A17" s="25" t="n"/>
      <c r="B17" s="25" t="n"/>
      <c r="C17" s="35" t="n"/>
      <c r="D17" s="39" t="n"/>
      <c r="E17" s="26" t="n"/>
      <c r="F17" s="39" t="n"/>
      <c r="G17" s="25" t="n"/>
    </row>
    <row r="18">
      <c r="A18" s="22" t="n"/>
      <c r="B18" s="22" t="n"/>
      <c r="C18" s="34" t="n"/>
      <c r="D18" s="38" t="n"/>
      <c r="E18" s="23" t="n"/>
      <c r="F18" s="38" t="n"/>
      <c r="G18" s="22" t="n"/>
    </row>
    <row r="19">
      <c r="A19" s="25" t="n"/>
      <c r="B19" s="25" t="n"/>
      <c r="C19" s="35" t="n"/>
      <c r="D19" s="39" t="n"/>
      <c r="E19" s="26" t="n"/>
      <c r="F19" s="39" t="n"/>
      <c r="G19" s="25" t="n"/>
    </row>
    <row r="20">
      <c r="A20" s="22" t="n"/>
      <c r="B20" s="22" t="n"/>
      <c r="C20" s="34" t="n"/>
      <c r="D20" s="38" t="n"/>
      <c r="E20" s="23" t="n"/>
      <c r="F20" s="38" t="n"/>
      <c r="G20" s="22" t="n"/>
    </row>
    <row r="21">
      <c r="A21" s="25" t="n"/>
      <c r="B21" s="25" t="n"/>
      <c r="C21" s="35" t="n"/>
      <c r="D21" s="39" t="n"/>
      <c r="E21" s="26" t="n"/>
      <c r="F21" s="39" t="n"/>
      <c r="G21" s="25" t="n"/>
    </row>
    <row r="22">
      <c r="A22" s="22" t="n"/>
      <c r="B22" s="22" t="n"/>
      <c r="C22" s="34" t="n"/>
      <c r="D22" s="38" t="n"/>
      <c r="E22" s="23" t="n"/>
      <c r="F22" s="38" t="n"/>
      <c r="G22" s="22" t="n"/>
    </row>
    <row r="23">
      <c r="A23" s="25" t="n"/>
      <c r="B23" s="25" t="n"/>
      <c r="C23" s="35" t="n"/>
      <c r="D23" s="39" t="n"/>
      <c r="E23" s="26" t="n"/>
      <c r="F23" s="39" t="n"/>
      <c r="G23" s="25" t="n"/>
    </row>
    <row r="24">
      <c r="A24" s="22" t="n"/>
      <c r="B24" s="22" t="n"/>
      <c r="C24" s="34" t="n"/>
      <c r="D24" s="38" t="n"/>
      <c r="E24" s="23" t="n"/>
      <c r="F24" s="38" t="n"/>
      <c r="G24" s="22" t="n"/>
    </row>
    <row r="25">
      <c r="A25" s="25" t="n"/>
      <c r="B25" s="25" t="n"/>
      <c r="C25" s="35" t="n"/>
      <c r="D25" s="39" t="n"/>
      <c r="E25" s="26" t="n"/>
      <c r="F25" s="39" t="n"/>
      <c r="G25" s="25" t="n"/>
    </row>
    <row r="26">
      <c r="A26" s="22" t="n"/>
      <c r="B26" s="22" t="n"/>
      <c r="C26" s="34" t="n"/>
      <c r="D26" s="38" t="n"/>
      <c r="E26" s="23" t="n"/>
      <c r="F26" s="38" t="n"/>
      <c r="G26" s="22" t="n"/>
    </row>
    <row r="27">
      <c r="A27" s="25" t="n"/>
      <c r="B27" s="25" t="n"/>
      <c r="C27" s="35" t="n"/>
      <c r="D27" s="39" t="n"/>
      <c r="E27" s="26" t="n"/>
      <c r="F27" s="39" t="n"/>
      <c r="G27" s="25" t="n"/>
    </row>
    <row r="28">
      <c r="A28" s="22" t="n"/>
      <c r="B28" s="22" t="n"/>
      <c r="C28" s="34" t="n"/>
      <c r="D28" s="38" t="n"/>
      <c r="E28" s="23" t="n"/>
      <c r="F28" s="38" t="n"/>
      <c r="G28" s="22" t="n"/>
    </row>
    <row r="29">
      <c r="A29" s="25" t="n"/>
      <c r="B29" s="25" t="n"/>
      <c r="C29" s="35" t="n"/>
      <c r="D29" s="39" t="n"/>
      <c r="E29" s="26" t="n"/>
      <c r="F29" s="39" t="n"/>
      <c r="G29" s="25" t="n"/>
    </row>
    <row r="30">
      <c r="A30" s="22" t="n"/>
      <c r="B30" s="22" t="n"/>
      <c r="C30" s="34" t="n"/>
      <c r="D30" s="38" t="n"/>
      <c r="E30" s="23" t="n"/>
      <c r="F30" s="38" t="n"/>
      <c r="G30" s="22" t="n"/>
    </row>
    <row r="31">
      <c r="A31" s="25" t="n"/>
      <c r="B31" s="25" t="n"/>
      <c r="C31" s="35" t="n"/>
      <c r="D31" s="39" t="n"/>
      <c r="E31" s="26" t="n"/>
      <c r="F31" s="39" t="n"/>
      <c r="G31" s="25" t="n"/>
    </row>
    <row r="32">
      <c r="A32" s="22" t="n"/>
      <c r="B32" s="22" t="n"/>
      <c r="C32" s="34" t="n"/>
      <c r="D32" s="38" t="n"/>
      <c r="E32" s="23" t="n"/>
      <c r="F32" s="38" t="n"/>
      <c r="G32" s="22" t="n"/>
    </row>
    <row r="33">
      <c r="A33" s="25" t="n"/>
      <c r="B33" s="25" t="n"/>
      <c r="C33" s="35" t="n"/>
      <c r="D33" s="39" t="n"/>
      <c r="E33" s="26" t="n"/>
      <c r="F33" s="39" t="n"/>
      <c r="G33" s="25" t="n"/>
    </row>
    <row r="34">
      <c r="A34" s="22" t="n"/>
      <c r="B34" s="22" t="n"/>
      <c r="C34" s="34" t="n"/>
      <c r="D34" s="38" t="n"/>
      <c r="E34" s="23" t="n"/>
      <c r="F34" s="38" t="n"/>
      <c r="G34" s="22" t="n"/>
    </row>
    <row r="35">
      <c r="A35" s="25" t="n"/>
      <c r="B35" s="25" t="n"/>
      <c r="C35" s="35" t="n"/>
      <c r="D35" s="39" t="n"/>
      <c r="E35" s="26" t="n"/>
      <c r="F35" s="39" t="n"/>
      <c r="G35" s="25" t="n"/>
    </row>
    <row r="36">
      <c r="A36" s="22" t="n"/>
      <c r="B36" s="22" t="n"/>
      <c r="C36" s="34" t="n"/>
      <c r="D36" s="38" t="n"/>
      <c r="E36" s="23" t="n"/>
      <c r="F36" s="38" t="n"/>
      <c r="G36" s="22" t="n"/>
    </row>
    <row r="37">
      <c r="A37" s="25" t="n"/>
      <c r="B37" s="25" t="n"/>
      <c r="C37" s="35" t="n"/>
      <c r="D37" s="39" t="n"/>
      <c r="E37" s="26" t="n"/>
      <c r="F37" s="39" t="n"/>
      <c r="G37" s="25" t="n"/>
    </row>
    <row r="38">
      <c r="A38" s="22" t="n"/>
      <c r="B38" s="22" t="n"/>
      <c r="C38" s="34" t="n"/>
      <c r="D38" s="38" t="n"/>
      <c r="E38" s="23" t="n"/>
      <c r="F38" s="38" t="n"/>
      <c r="G38" s="22" t="n"/>
    </row>
    <row r="39">
      <c r="A39" s="25" t="n"/>
      <c r="B39" s="25" t="n"/>
      <c r="C39" s="35" t="n"/>
      <c r="D39" s="39" t="n"/>
      <c r="E39" s="26" t="n"/>
      <c r="F39" s="39" t="n"/>
      <c r="G39" s="25" t="n"/>
    </row>
    <row r="40">
      <c r="A40" s="22" t="n"/>
      <c r="B40" s="22" t="n"/>
      <c r="C40" s="34" t="n"/>
      <c r="D40" s="38" t="n"/>
      <c r="E40" s="23" t="n"/>
      <c r="F40" s="38" t="n"/>
      <c r="G40" s="22" t="n"/>
    </row>
    <row r="41">
      <c r="A41" s="25" t="n"/>
      <c r="B41" s="25" t="n"/>
      <c r="C41" s="35" t="n"/>
      <c r="D41" s="39" t="n"/>
      <c r="E41" s="26" t="n"/>
      <c r="F41" s="39" t="n"/>
      <c r="G41" s="25" t="n"/>
    </row>
    <row r="42">
      <c r="A42" s="22" t="n"/>
      <c r="B42" s="22" t="n"/>
      <c r="C42" s="34" t="n"/>
      <c r="D42" s="38" t="n"/>
      <c r="E42" s="23" t="n"/>
      <c r="F42" s="38" t="n"/>
      <c r="G42" s="22" t="n"/>
    </row>
    <row r="43">
      <c r="A43" s="25" t="n"/>
      <c r="B43" s="25" t="n"/>
      <c r="C43" s="35" t="n"/>
      <c r="D43" s="39" t="n"/>
      <c r="E43" s="26" t="n"/>
      <c r="F43" s="39" t="n"/>
      <c r="G43" s="25" t="n"/>
    </row>
    <row r="44">
      <c r="A44" s="22" t="n"/>
      <c r="B44" s="22" t="n"/>
      <c r="C44" s="34" t="n"/>
      <c r="D44" s="38" t="n"/>
      <c r="E44" s="23" t="n"/>
      <c r="F44" s="38" t="n"/>
      <c r="G44" s="22" t="n"/>
    </row>
    <row r="45">
      <c r="A45" s="25" t="n"/>
      <c r="B45" s="25" t="n"/>
      <c r="C45" s="35" t="n"/>
      <c r="D45" s="39" t="n"/>
      <c r="E45" s="26" t="n"/>
      <c r="F45" s="39" t="n"/>
      <c r="G45" s="25" t="n"/>
    </row>
    <row r="46">
      <c r="A46" s="22" t="n"/>
      <c r="B46" s="22" t="n"/>
      <c r="C46" s="34" t="n"/>
      <c r="D46" s="38" t="n"/>
      <c r="E46" s="23" t="n"/>
      <c r="F46" s="38" t="n"/>
      <c r="G46" s="22" t="n"/>
    </row>
    <row r="47">
      <c r="A47" s="25" t="n"/>
      <c r="B47" s="25" t="n"/>
      <c r="C47" s="35" t="n"/>
      <c r="D47" s="39" t="n"/>
      <c r="E47" s="26" t="n"/>
      <c r="F47" s="39" t="n"/>
      <c r="G47" s="25" t="n"/>
    </row>
    <row r="48">
      <c r="A48" s="22" t="n"/>
      <c r="B48" s="22" t="n"/>
      <c r="C48" s="34" t="n"/>
      <c r="D48" s="38" t="n"/>
      <c r="E48" s="23" t="n"/>
      <c r="F48" s="38" t="n"/>
      <c r="G48" s="22" t="n"/>
    </row>
    <row r="49">
      <c r="A49" s="25" t="n"/>
      <c r="B49" s="25" t="n"/>
      <c r="C49" s="35" t="n"/>
      <c r="D49" s="39" t="n"/>
      <c r="E49" s="26" t="n"/>
      <c r="F49" s="39" t="n"/>
      <c r="G49" s="25" t="n"/>
    </row>
    <row r="50">
      <c r="A50" s="22" t="n"/>
      <c r="B50" s="22" t="n"/>
      <c r="C50" s="34" t="n"/>
      <c r="D50" s="38" t="n"/>
      <c r="E50" s="23" t="n"/>
      <c r="F50" s="38" t="n"/>
      <c r="G50" s="22" t="n"/>
    </row>
    <row r="51">
      <c r="A51" s="25" t="n"/>
      <c r="B51" s="25" t="n"/>
      <c r="C51" s="35" t="n"/>
      <c r="D51" s="39" t="n"/>
      <c r="E51" s="26" t="n"/>
      <c r="F51" s="39" t="n"/>
      <c r="G51" s="25" t="n"/>
    </row>
    <row r="52">
      <c r="A52" s="22" t="n"/>
      <c r="B52" s="22" t="n"/>
      <c r="C52" s="34" t="n"/>
      <c r="D52" s="38" t="n"/>
      <c r="E52" s="23" t="n"/>
      <c r="F52" s="38" t="n"/>
      <c r="G52" s="22" t="n"/>
    </row>
    <row r="53">
      <c r="A53" s="25" t="n"/>
      <c r="B53" s="25" t="n"/>
      <c r="C53" s="35" t="n"/>
      <c r="D53" s="39" t="n"/>
      <c r="E53" s="26" t="n"/>
      <c r="F53" s="39" t="n"/>
      <c r="G53" s="25" t="n"/>
    </row>
    <row r="54">
      <c r="A54" s="22" t="n"/>
      <c r="B54" s="22" t="n"/>
      <c r="C54" s="34" t="n"/>
      <c r="D54" s="38" t="n"/>
      <c r="E54" s="23" t="n"/>
      <c r="F54" s="38" t="n"/>
      <c r="G54" s="22" t="n"/>
    </row>
    <row r="55">
      <c r="A55" s="25" t="n"/>
      <c r="B55" s="25" t="n"/>
      <c r="C55" s="35" t="n"/>
      <c r="D55" s="39" t="n"/>
      <c r="E55" s="26" t="n"/>
      <c r="F55" s="39" t="n"/>
      <c r="G55" s="25" t="n"/>
    </row>
    <row r="56">
      <c r="A56" s="22" t="n"/>
      <c r="B56" s="22" t="n"/>
      <c r="C56" s="34" t="n"/>
      <c r="D56" s="38" t="n"/>
      <c r="E56" s="23" t="n"/>
      <c r="F56" s="38" t="n"/>
      <c r="G56" s="22" t="n"/>
    </row>
    <row r="57">
      <c r="A57" s="25" t="n"/>
      <c r="B57" s="25" t="n"/>
      <c r="C57" s="35" t="n"/>
      <c r="D57" s="39" t="n"/>
      <c r="E57" s="26" t="n"/>
      <c r="F57" s="39" t="n"/>
      <c r="G57" s="25" t="n"/>
    </row>
    <row r="58">
      <c r="A58" s="22" t="n"/>
      <c r="B58" s="22" t="n"/>
      <c r="C58" s="34" t="n"/>
      <c r="D58" s="38" t="n"/>
      <c r="E58" s="23" t="n"/>
      <c r="F58" s="38" t="n"/>
      <c r="G58" s="22" t="n"/>
    </row>
    <row r="59">
      <c r="A59" s="25" t="n"/>
      <c r="B59" s="25" t="n"/>
      <c r="C59" s="35" t="n"/>
      <c r="D59" s="39" t="n"/>
      <c r="E59" s="26" t="n"/>
      <c r="F59" s="39" t="n"/>
      <c r="G59" s="25" t="n"/>
    </row>
    <row r="60">
      <c r="A60" s="22" t="n"/>
      <c r="B60" s="22" t="n"/>
      <c r="C60" s="34" t="n"/>
      <c r="D60" s="38" t="n"/>
      <c r="E60" s="23" t="n"/>
      <c r="F60" s="38" t="n"/>
      <c r="G60" s="22" t="n"/>
    </row>
    <row r="61">
      <c r="A61" s="25" t="n"/>
      <c r="B61" s="25" t="n"/>
      <c r="C61" s="35" t="n"/>
      <c r="D61" s="39" t="n"/>
      <c r="E61" s="26" t="n"/>
      <c r="F61" s="39" t="n"/>
      <c r="G61" s="25" t="n"/>
    </row>
    <row r="62">
      <c r="A62" s="22" t="n"/>
      <c r="B62" s="22" t="n"/>
      <c r="C62" s="34" t="n"/>
      <c r="D62" s="38" t="n"/>
      <c r="E62" s="23" t="n"/>
      <c r="F62" s="38" t="n"/>
      <c r="G62" s="22" t="n"/>
    </row>
    <row r="63">
      <c r="A63" s="25" t="n"/>
      <c r="B63" s="25" t="n"/>
      <c r="C63" s="35" t="n"/>
      <c r="D63" s="39" t="n"/>
      <c r="E63" s="26" t="n"/>
      <c r="F63" s="39" t="n"/>
      <c r="G63" s="25" t="n"/>
    </row>
    <row r="64">
      <c r="A64" s="22" t="n"/>
      <c r="B64" s="22" t="n"/>
      <c r="C64" s="34" t="n"/>
      <c r="D64" s="38" t="n"/>
      <c r="E64" s="23" t="n"/>
      <c r="F64" s="38" t="n"/>
      <c r="G64" s="22" t="n"/>
    </row>
    <row r="65">
      <c r="A65" s="25" t="n"/>
      <c r="B65" s="25" t="n"/>
      <c r="C65" s="35" t="n"/>
      <c r="D65" s="39" t="n"/>
      <c r="E65" s="26" t="n"/>
      <c r="F65" s="39" t="n"/>
      <c r="G65" s="25" t="n"/>
    </row>
    <row r="66">
      <c r="A66" s="22" t="n"/>
      <c r="B66" s="22" t="n"/>
      <c r="C66" s="34" t="n"/>
      <c r="D66" s="38" t="n"/>
      <c r="E66" s="23" t="n"/>
      <c r="F66" s="38" t="n"/>
      <c r="G66" s="22" t="n"/>
    </row>
    <row r="67">
      <c r="A67" s="25" t="n"/>
      <c r="B67" s="25" t="n"/>
      <c r="C67" s="35" t="n"/>
      <c r="D67" s="39" t="n"/>
      <c r="E67" s="26" t="n"/>
      <c r="F67" s="39" t="n"/>
      <c r="G67" s="25" t="n"/>
    </row>
    <row r="68">
      <c r="A68" s="22" t="n"/>
      <c r="B68" s="22" t="n"/>
      <c r="C68" s="34" t="n"/>
      <c r="D68" s="38" t="n"/>
      <c r="E68" s="23" t="n"/>
      <c r="F68" s="38" t="n"/>
      <c r="G68" s="22" t="n"/>
    </row>
    <row r="69">
      <c r="A69" s="25" t="n"/>
      <c r="B69" s="25" t="n"/>
      <c r="C69" s="35" t="n"/>
      <c r="D69" s="39" t="n"/>
      <c r="E69" s="26" t="n"/>
      <c r="F69" s="39" t="n"/>
      <c r="G69" s="25" t="n"/>
    </row>
    <row r="70">
      <c r="A70" s="22" t="n"/>
      <c r="B70" s="22" t="n"/>
      <c r="C70" s="34" t="n"/>
      <c r="D70" s="38" t="n"/>
      <c r="E70" s="23" t="n"/>
      <c r="F70" s="38" t="n"/>
      <c r="G70" s="22" t="n"/>
    </row>
    <row r="71">
      <c r="A71" s="25" t="n"/>
      <c r="B71" s="25" t="n"/>
      <c r="C71" s="35" t="n"/>
      <c r="D71" s="39" t="n"/>
      <c r="E71" s="26" t="n"/>
      <c r="F71" s="39" t="n"/>
      <c r="G71" s="25" t="n"/>
    </row>
    <row r="72">
      <c r="A72" s="22" t="n"/>
      <c r="B72" s="22" t="n"/>
      <c r="C72" s="34" t="n"/>
      <c r="D72" s="38" t="n"/>
      <c r="E72" s="23" t="n"/>
      <c r="F72" s="38" t="n"/>
      <c r="G72" s="22" t="n"/>
    </row>
    <row r="73">
      <c r="A73" s="25" t="n"/>
      <c r="B73" s="25" t="n"/>
      <c r="C73" s="35" t="n"/>
      <c r="D73" s="39" t="n"/>
      <c r="E73" s="26" t="n"/>
      <c r="F73" s="39" t="n"/>
      <c r="G73" s="25" t="n"/>
    </row>
    <row r="74">
      <c r="A74" s="22" t="n"/>
      <c r="B74" s="22" t="n"/>
      <c r="C74" s="34" t="n"/>
      <c r="D74" s="38" t="n"/>
      <c r="E74" s="23" t="n"/>
      <c r="F74" s="38" t="n"/>
      <c r="G74" s="22" t="n"/>
    </row>
    <row r="75">
      <c r="A75" s="25" t="n"/>
      <c r="B75" s="25" t="n"/>
      <c r="C75" s="35" t="n"/>
      <c r="D75" s="39" t="n"/>
      <c r="E75" s="26" t="n"/>
      <c r="F75" s="39" t="n"/>
      <c r="G75" s="25" t="n"/>
    </row>
    <row r="76">
      <c r="A76" s="22" t="n"/>
      <c r="B76" s="22" t="n"/>
      <c r="C76" s="34" t="n"/>
      <c r="D76" s="38" t="n"/>
      <c r="E76" s="23" t="n"/>
      <c r="F76" s="38" t="n"/>
      <c r="G76" s="22" t="n"/>
    </row>
    <row r="77">
      <c r="A77" s="25" t="n"/>
      <c r="B77" s="25" t="n"/>
      <c r="C77" s="35" t="n"/>
      <c r="D77" s="39" t="n"/>
      <c r="E77" s="26" t="n"/>
      <c r="F77" s="39" t="n"/>
      <c r="G77" s="25" t="n"/>
    </row>
    <row r="78">
      <c r="A78" s="22" t="n"/>
      <c r="B78" s="22" t="n"/>
      <c r="C78" s="34" t="n"/>
      <c r="D78" s="38" t="n"/>
      <c r="E78" s="23" t="n"/>
      <c r="F78" s="38" t="n"/>
      <c r="G78" s="22" t="n"/>
    </row>
    <row r="79">
      <c r="A79" s="25" t="n"/>
      <c r="B79" s="25" t="n"/>
      <c r="C79" s="35" t="n"/>
      <c r="D79" s="39" t="n"/>
      <c r="E79" s="26" t="n"/>
      <c r="F79" s="39" t="n"/>
      <c r="G79" s="25" t="n"/>
    </row>
    <row r="80">
      <c r="A80" s="22" t="n"/>
      <c r="B80" s="22" t="n"/>
      <c r="C80" s="34" t="n"/>
      <c r="D80" s="38" t="n"/>
      <c r="E80" s="23" t="n"/>
      <c r="F80" s="38" t="n"/>
      <c r="G80" s="22" t="n"/>
    </row>
    <row r="81">
      <c r="A81" s="25" t="n"/>
      <c r="B81" s="25" t="n"/>
      <c r="C81" s="35" t="n"/>
      <c r="D81" s="39" t="n"/>
      <c r="E81" s="26" t="n"/>
      <c r="F81" s="39" t="n"/>
      <c r="G81" s="25" t="n"/>
    </row>
    <row r="82">
      <c r="A82" s="22" t="n"/>
      <c r="B82" s="22" t="n"/>
      <c r="C82" s="34" t="n"/>
      <c r="D82" s="38" t="n"/>
      <c r="E82" s="23" t="n"/>
      <c r="F82" s="38" t="n"/>
      <c r="G82" s="22" t="n"/>
    </row>
    <row r="83">
      <c r="A83" s="25" t="n"/>
      <c r="B83" s="25" t="n"/>
      <c r="C83" s="35" t="n"/>
      <c r="D83" s="39" t="n"/>
      <c r="E83" s="26" t="n"/>
      <c r="F83" s="39" t="n"/>
      <c r="G83" s="25" t="n"/>
    </row>
    <row r="84">
      <c r="A84" s="22" t="n"/>
      <c r="B84" s="22" t="n"/>
      <c r="C84" s="34" t="n"/>
      <c r="D84" s="38" t="n"/>
      <c r="E84" s="23" t="n"/>
      <c r="F84" s="38" t="n"/>
      <c r="G84" s="22" t="n"/>
    </row>
    <row r="85">
      <c r="A85" s="25" t="n"/>
      <c r="B85" s="25" t="n"/>
      <c r="C85" s="35" t="n"/>
      <c r="D85" s="39" t="n"/>
      <c r="E85" s="26" t="n"/>
      <c r="F85" s="39" t="n"/>
      <c r="G85" s="25" t="n"/>
    </row>
    <row r="86">
      <c r="A86" s="22" t="n"/>
      <c r="B86" s="22" t="n"/>
      <c r="C86" s="34" t="n"/>
      <c r="D86" s="38" t="n"/>
      <c r="E86" s="23" t="n"/>
      <c r="F86" s="38" t="n"/>
      <c r="G86" s="22" t="n"/>
    </row>
    <row r="87">
      <c r="A87" s="25" t="n"/>
      <c r="B87" s="25" t="n"/>
      <c r="C87" s="35" t="n"/>
      <c r="D87" s="39" t="n"/>
      <c r="E87" s="26" t="n"/>
      <c r="F87" s="39" t="n"/>
      <c r="G87" s="25" t="n"/>
    </row>
    <row r="88">
      <c r="A88" s="22" t="n"/>
      <c r="B88" s="22" t="n"/>
      <c r="C88" s="34" t="n"/>
      <c r="D88" s="38" t="n"/>
      <c r="E88" s="23" t="n"/>
      <c r="F88" s="38" t="n"/>
      <c r="G88" s="22" t="n"/>
    </row>
    <row r="89">
      <c r="A89" s="25" t="n"/>
      <c r="B89" s="25" t="n"/>
      <c r="C89" s="35" t="n"/>
      <c r="D89" s="39" t="n"/>
      <c r="E89" s="26" t="n"/>
      <c r="F89" s="39" t="n"/>
      <c r="G89" s="25" t="n"/>
    </row>
    <row r="90">
      <c r="A90" s="22" t="n"/>
      <c r="B90" s="22" t="n"/>
      <c r="C90" s="34" t="n"/>
      <c r="D90" s="38" t="n"/>
      <c r="E90" s="23" t="n"/>
      <c r="F90" s="38" t="n"/>
      <c r="G90" s="22" t="n"/>
    </row>
    <row r="91">
      <c r="A91" s="25" t="n"/>
      <c r="B91" s="25" t="n"/>
      <c r="C91" s="35" t="n"/>
      <c r="D91" s="39" t="n"/>
      <c r="E91" s="26" t="n"/>
      <c r="F91" s="39" t="n"/>
      <c r="G91" s="25" t="n"/>
    </row>
    <row r="92">
      <c r="A92" s="22" t="n"/>
      <c r="B92" s="22" t="n"/>
      <c r="C92" s="34" t="n"/>
      <c r="D92" s="38" t="n"/>
      <c r="E92" s="23" t="n"/>
      <c r="F92" s="38" t="n"/>
      <c r="G92" s="22" t="n"/>
    </row>
    <row r="93">
      <c r="A93" s="25" t="n"/>
      <c r="B93" s="25" t="n"/>
      <c r="C93" s="35" t="n"/>
      <c r="D93" s="39" t="n"/>
      <c r="E93" s="26" t="n"/>
      <c r="F93" s="39" t="n"/>
      <c r="G93" s="25" t="n"/>
    </row>
    <row r="94">
      <c r="A94" s="22" t="n"/>
      <c r="B94" s="22" t="n"/>
      <c r="C94" s="34" t="n"/>
      <c r="D94" s="38" t="n"/>
      <c r="E94" s="23" t="n"/>
      <c r="F94" s="38" t="n"/>
      <c r="G94" s="22" t="n"/>
    </row>
    <row r="95">
      <c r="A95" s="25" t="n"/>
      <c r="B95" s="25" t="n"/>
      <c r="C95" s="35" t="n"/>
      <c r="D95" s="39" t="n"/>
      <c r="E95" s="26" t="n"/>
      <c r="F95" s="39" t="n"/>
      <c r="G95" s="25" t="n"/>
    </row>
    <row r="96">
      <c r="A96" s="22" t="n"/>
      <c r="B96" s="22" t="n"/>
      <c r="C96" s="34" t="n"/>
      <c r="D96" s="38" t="n"/>
      <c r="E96" s="23" t="n"/>
      <c r="F96" s="38" t="n"/>
      <c r="G96" s="22" t="n"/>
    </row>
    <row r="97">
      <c r="A97" s="25" t="n"/>
      <c r="B97" s="25" t="n"/>
      <c r="C97" s="35" t="n"/>
      <c r="D97" s="39" t="n"/>
      <c r="E97" s="26" t="n"/>
      <c r="F97" s="39" t="n"/>
      <c r="G97" s="25" t="n"/>
    </row>
    <row r="98">
      <c r="A98" s="22" t="n"/>
      <c r="B98" s="22" t="n"/>
      <c r="C98" s="34" t="n"/>
      <c r="D98" s="38" t="n"/>
      <c r="E98" s="23" t="n"/>
      <c r="F98" s="38" t="n"/>
      <c r="G98" s="22" t="n"/>
    </row>
    <row r="99">
      <c r="A99" s="25" t="n"/>
      <c r="B99" s="25" t="n"/>
      <c r="C99" s="35" t="n"/>
      <c r="D99" s="39" t="n"/>
      <c r="E99" s="26" t="n"/>
      <c r="F99" s="39" t="n"/>
      <c r="G99" s="25" t="n"/>
    </row>
    <row r="100">
      <c r="A100" s="22" t="n"/>
      <c r="B100" s="22" t="n"/>
      <c r="C100" s="34" t="n"/>
      <c r="D100" s="38" t="n"/>
      <c r="E100" s="23" t="n"/>
      <c r="F100" s="38" t="n"/>
      <c r="G100" s="22" t="n"/>
    </row>
    <row r="101">
      <c r="A101" s="25" t="n"/>
      <c r="B101" s="25" t="n"/>
      <c r="C101" s="35" t="n"/>
      <c r="D101" s="39" t="n"/>
      <c r="E101" s="26" t="n"/>
      <c r="F101" s="39" t="n"/>
      <c r="G101" s="25" t="n"/>
    </row>
    <row r="102">
      <c r="A102" s="22" t="n"/>
      <c r="B102" s="22" t="n"/>
      <c r="C102" s="34" t="n"/>
      <c r="D102" s="38" t="n"/>
      <c r="E102" s="23" t="n"/>
      <c r="F102" s="38" t="n"/>
      <c r="G102" s="22" t="n"/>
    </row>
    <row r="103">
      <c r="A103" s="25" t="n"/>
      <c r="B103" s="25" t="n"/>
      <c r="C103" s="35" t="n"/>
      <c r="D103" s="39" t="n"/>
      <c r="E103" s="26" t="n"/>
      <c r="F103" s="39" t="n"/>
      <c r="G103" s="25" t="n"/>
    </row>
    <row r="105">
      <c r="A105" s="6" t="inlineStr">
        <is>
          <t>GIFT SUMMARY</t>
        </is>
      </c>
      <c r="B105" s="7" t="n"/>
    </row>
    <row r="106">
      <c r="A106" s="15" t="inlineStr">
        <is>
          <t>Total Gifts Received:</t>
        </is>
      </c>
      <c r="B106" s="17">
        <f>COUNTA(A4:A103)</f>
        <v/>
      </c>
    </row>
    <row r="107">
      <c r="A107" s="19" t="inlineStr">
        <is>
          <t>Total Estimated Value:</t>
        </is>
      </c>
      <c r="B107" s="32">
        <f>SUM(C4:C103)</f>
        <v/>
      </c>
    </row>
    <row r="108">
      <c r="A108" s="15" t="inlineStr">
        <is>
          <t>Thank Yous Sent:</t>
        </is>
      </c>
      <c r="B108" s="17">
        <f>COUNTIF(E4:E103,"Yes")</f>
        <v/>
      </c>
    </row>
    <row r="109">
      <c r="A109" s="19" t="inlineStr">
        <is>
          <t>Thank Yous Remaining:</t>
        </is>
      </c>
      <c r="B109" s="21">
        <f>COUNTIF(E4:E103,"No")</f>
        <v/>
      </c>
    </row>
  </sheetData>
  <mergeCells count="3">
    <mergeCell ref="A2:G2"/>
    <mergeCell ref="A1:G1"/>
    <mergeCell ref="A105:B105"/>
  </mergeCells>
  <conditionalFormatting sqref="E4:E103">
    <cfRule type="cellIs" priority="1" operator="equal" dxfId="0">
      <formula>"Yes"</formula>
    </cfRule>
    <cfRule type="cellIs" priority="2" operator="equal" dxfId="1">
      <formula>"No"</formula>
    </cfRule>
  </conditionalFormatting>
  <dataValidations count="1">
    <dataValidation sqref="E4:E103" showDropDown="0" showInputMessage="0" showErrorMessage="0" allowBlank="1" errorTitle="Invalid Entry" error="Please select from the dropdown list." promptTitle="Choose" prompt="Select an option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2026-02-08T21:43:33Z</dcterms:created>
  <dcterms:modified xsi:type="dcterms:W3CDTF">2026-02-08T21:43:33Z</dcterms:modified>
</cp:coreProperties>
</file>