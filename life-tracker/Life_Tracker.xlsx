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UP" sheetId="2" state="visible" r:id="rId2"/>
    <sheet name="DASHBOARD" sheetId="3" state="visible" r:id="rId3"/>
    <sheet name="DAILY_LOG" sheetId="4" state="visible" r:id="rId4"/>
    <sheet name="HABIT_LOG" sheetId="5" state="visible" r:id="rId5"/>
    <sheet name="TASKS" sheetId="6" state="visible" r:id="rId6"/>
    <sheet name="GOALS" sheetId="7" state="visible" r:id="rId7"/>
    <sheet name="FINANCE" sheetId="8" state="visible" r:id="rId8"/>
    <sheet name="JOB_SEARCH" sheetId="9" state="visible" r:id="rId9"/>
    <sheet name="HEALTH_FERTILITY" sheetId="10" state="visible" r:id="rId10"/>
  </sheets>
  <definedNames>
    <definedName name="list_mood">'SETUP'!SETUP!$B$10:$B$14</definedName>
    <definedName name="list_energy">'SETUP'!SETUP!$B$16:$B$20</definedName>
    <definedName name="list_stress">'SETUP'!SETUP!$B$22:$B$26</definedName>
    <definedName name="list_yes_no">'SETUP'!SETUP!$B$28:$B$29</definedName>
    <definedName name="list_task_status">'SETUP'!SETUP!$B$31:$B$34</definedName>
    <definedName name="list_task_priority">'SETUP'!SETUP!$B$36:$B$38</definedName>
    <definedName name="list_task_category">'SETUP'!SETUP!$B$40:$B$44</definedName>
    <definedName name="list_goal_status">'SETUP'!SETUP!$B$46:$B$48</definedName>
    <definedName name="list_goal_timeframe">'SETUP'!SETUP!$B$50:$B$52</definedName>
    <definedName name="list_finance_type">'SETUP'!SETUP!$B$54:$B$55</definedName>
    <definedName name="list_finance_category">'SETUP'!SETUP!$B$57:$B$70</definedName>
    <definedName name="list_job_status">'SETUP'!SETUP!$B$72:$B$79</definedName>
    <definedName name="list_health_symptom">'SETUP'!SETUP!$B$81:$B$87</definedName>
    <definedName name="list_lh_test">'SETUP'!SETUP!$B$89:$B$91</definedName>
    <definedName name="list_cycle_phase">'SETUP'!SETUP!$B$93:$B$97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$#,##0.00"/>
    <numFmt numFmtId="168" formatCode="$#,##0"/>
  </numFmts>
  <fonts count="17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color rgb="00666666"/>
      <sz val="10"/>
    </font>
    <font>
      <b val="1"/>
      <color rgb="001F4E78"/>
      <sz val="12"/>
    </font>
    <font>
      <color rgb="00666666"/>
    </font>
    <font>
      <b val="1"/>
      <color rgb="001F4E78"/>
      <sz val="14"/>
    </font>
    <font>
      <b val="1"/>
      <sz val="12"/>
    </font>
    <font>
      <b val="1"/>
    </font>
    <font>
      <b val="1"/>
      <color rgb="001F4E78"/>
    </font>
    <font>
      <b val="1"/>
      <color rgb="001F4E78"/>
      <sz val="18"/>
    </font>
    <font>
      <b val="1"/>
      <color rgb="00008000"/>
      <sz val="12"/>
    </font>
    <font>
      <b val="1"/>
      <color rgb="00FF0000"/>
      <sz val="12"/>
    </font>
    <font>
      <b val="1"/>
      <color rgb="00000000"/>
      <sz val="12"/>
    </font>
    <font>
      <b val="1"/>
      <sz val="11"/>
    </font>
    <font>
      <color rgb="00666666"/>
      <sz val="10"/>
    </font>
    <font>
      <color rgb="00008000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E0F0FF"/>
      </patternFill>
    </fill>
    <fill>
      <patternFill patternType="solid">
        <fgColor rgb="00FFF0E0"/>
      </patternFill>
    </fill>
    <fill>
      <patternFill patternType="solid">
        <fgColor rgb="00F0FFE0"/>
      </patternFill>
    </fill>
    <fill>
      <patternFill patternType="solid">
        <fgColor rgb="00FFE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166" fontId="6" fillId="3" borderId="0" pivotButton="0" quotePrefix="0" xfId="0"/>
    <xf numFmtId="0" fontId="14" fillId="0" borderId="0" pivotButton="0" quotePrefix="0" xfId="0"/>
    <xf numFmtId="3" fontId="6" fillId="3" borderId="0" pivotButton="0" quotePrefix="0" xfId="0"/>
    <xf numFmtId="166" fontId="6" fillId="4" borderId="0" pivotButton="0" quotePrefix="0" xfId="0"/>
    <xf numFmtId="3" fontId="6" fillId="4" borderId="0" pivotButton="0" quotePrefix="0" xfId="0"/>
    <xf numFmtId="9" fontId="6" fillId="4" borderId="0" pivotButton="0" quotePrefix="0" xfId="0"/>
    <xf numFmtId="167" fontId="10" fillId="5" borderId="0" pivotButton="0" quotePrefix="0" xfId="0"/>
    <xf numFmtId="167" fontId="11" fillId="5" borderId="0" pivotButton="0" quotePrefix="0" xfId="0"/>
    <xf numFmtId="167" fontId="12" fillId="5" borderId="0" pivotButton="0" quotePrefix="0" xfId="0"/>
    <xf numFmtId="0" fontId="13" fillId="6" borderId="0" pivotButton="0" quotePrefix="0" xfId="0"/>
    <xf numFmtId="0" fontId="7" fillId="2" borderId="0" pivotButton="0" quotePrefix="0" xfId="0"/>
    <xf numFmtId="165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7" fontId="15" fillId="2" borderId="0" pivotButton="0" quotePrefix="0" xfId="0"/>
    <xf numFmtId="167" fontId="16" fillId="2" borderId="0" pivotButton="0" quotePrefix="0" xfId="0"/>
    <xf numFmtId="167" fontId="7" fillId="2" borderId="0" pivotButton="0" quotePrefix="0" xfId="0"/>
    <xf numFmtId="168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E0E0"/>
        </patternFill>
      </fill>
    </dxf>
    <dxf>
      <fill>
        <patternFill patternType="solid">
          <fgColor rgb="00E0FFE0"/>
        </patternFill>
      </fill>
    </dxf>
    <dxf>
      <fill>
        <patternFill patternType="solid">
          <fgColor rgb="00E0F0FF"/>
        </patternFill>
      </fill>
    </dxf>
    <dxf>
      <fill>
        <patternFill patternType="solid">
          <fgColor rgb="00FFE0FF"/>
        </patternFill>
      </fill>
    </dxf>
    <dxf>
      <fill>
        <patternFill patternType="solid">
          <fgColor rgb="00FFF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Daily" displayName="tblDaily" ref="A1:N11" headerRowCount="1">
  <autoFilter ref="A1:N11"/>
  <tableColumns count="14">
    <tableColumn id="1" name="Date"/>
    <tableColumn id="2" name="Day"/>
    <tableColumn id="3" name="Week"/>
    <tableColumn id="4" name="Month"/>
    <tableColumn id="5" name="SleepHours"/>
    <tableColumn id="6" name="SleepQuality"/>
    <tableColumn id="7" name="Steps"/>
    <tableColumn id="8" name="ExerciseMinutes"/>
    <tableColumn id="9" name="WaterOz"/>
    <tableColumn id="10" name="Mood"/>
    <tableColumn id="11" name="Energy"/>
    <tableColumn id="12" name="Stress"/>
    <tableColumn id="13" name="Highlights"/>
    <tableColumn id="14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Habits" displayName="tblHabits" ref="A1:F43" headerRowCount="1">
  <autoFilter ref="A1:F43"/>
  <tableColumns count="6">
    <tableColumn id="1" name="Date"/>
    <tableColumn id="2" name="Habit"/>
    <tableColumn id="3" name="Category"/>
    <tableColumn id="4" name="Value"/>
    <tableColumn id="5" name="Done"/>
    <tableColumn id="6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sks" displayName="tblTasks" ref="A1:H9" headerRowCount="1">
  <autoFilter ref="A1:H9"/>
  <tableColumns count="8">
    <tableColumn id="1" name="Task"/>
    <tableColumn id="2" name="Category"/>
    <tableColumn id="3" name="Priority"/>
    <tableColumn id="4" name="Status"/>
    <tableColumn id="5" name="DueDate"/>
    <tableColumn id="6" name="CompletedDate"/>
    <tableColumn id="7" name="Notes"/>
    <tableColumn id="8" name="IsOverdu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Goals" displayName="tblGoals" ref="A1:J7" headerRowCount="1">
  <autoFilter ref="A1:J7"/>
  <tableColumns count="10">
    <tableColumn id="1" name="Goal"/>
    <tableColumn id="2" name="Category"/>
    <tableColumn id="3" name="Timeframe"/>
    <tableColumn id="4" name="Status"/>
    <tableColumn id="5" name="StartDate"/>
    <tableColumn id="6" name="TargetDate"/>
    <tableColumn id="7" name="TargetValue"/>
    <tableColumn id="8" name="CurrentValue"/>
    <tableColumn id="9" name="ProgressPct"/>
    <tableColumn id="10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Finance" displayName="tblFinance" ref="A1:H14" headerRowCount="1">
  <autoFilter ref="A1:H14"/>
  <tableColumns count="8">
    <tableColumn id="1" name="Date"/>
    <tableColumn id="2" name="Description"/>
    <tableColumn id="3" name="Category"/>
    <tableColumn id="4" name="Type"/>
    <tableColumn id="5" name="Amount"/>
    <tableColumn id="6" name="Account"/>
    <tableColumn id="7" name="Owner"/>
    <tableColumn id="8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Jobs" displayName="tblJobs" ref="A1:M8" headerRowCount="1">
  <autoFilter ref="A1:M8"/>
  <tableColumns count="13">
    <tableColumn id="1" name="Company"/>
    <tableColumn id="2" name="Role"/>
    <tableColumn id="3" name="Level"/>
    <tableColumn id="4" name="SalaryMin"/>
    <tableColumn id="5" name="SalaryMax"/>
    <tableColumn id="6" name="Location"/>
    <tableColumn id="7" name="Remote"/>
    <tableColumn id="8" name="Status"/>
    <tableColumn id="9" name="AppliedDate"/>
    <tableColumn id="10" name="LastContact"/>
    <tableColumn id="11" name="NextAction"/>
    <tableColumn id="12" name="NextActionDate"/>
    <tableColumn id="13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Health" displayName="tblHealth" ref="A1:K21" headerRowCount="1">
  <autoFilter ref="A1:K21"/>
  <tableColumns count="11">
    <tableColumn id="1" name="Date"/>
    <tableColumn id="2" name="CycleDay"/>
    <tableColumn id="3" name="DPO"/>
    <tableColumn id="4" name="Phase"/>
    <tableColumn id="5" name="Temperature"/>
    <tableColumn id="6" name="LHTest"/>
    <tableColumn id="7" name="Symptoms"/>
    <tableColumn id="8" name="Mood"/>
    <tableColumn id="9" name="Energy"/>
    <tableColumn id="10" name="SexualActivity"/>
    <tableColumn id="11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EXCEL LIFE TRACKER</t>
        </is>
      </c>
    </row>
    <row r="2">
      <c r="A2" s="2" t="inlineStr">
        <is>
          <t>Version 1.0 | Built: February 2026 | For: Michelle Humes</t>
        </is>
      </c>
    </row>
    <row r="4">
      <c r="A4" t="inlineStr"/>
    </row>
    <row r="5">
      <c r="A5" s="3" t="inlineStr">
        <is>
          <t>WHAT IS THIS?</t>
        </is>
      </c>
    </row>
    <row r="6">
      <c r="A6" t="inlineStr">
        <is>
          <t>This workbook helps you track all aspects of your life in one place:</t>
        </is>
      </c>
    </row>
    <row r="7">
      <c r="A7" t="inlineStr">
        <is>
          <t>• Daily metrics (sleep, mood, energy, exercise)</t>
        </is>
      </c>
    </row>
    <row r="8">
      <c r="A8" t="inlineStr">
        <is>
          <t>• Habits and streaks</t>
        </is>
      </c>
    </row>
    <row r="9">
      <c r="A9" t="inlineStr">
        <is>
          <t>• Tasks and goals</t>
        </is>
      </c>
    </row>
    <row r="10">
      <c r="A10" t="inlineStr">
        <is>
          <t>• Personal finances</t>
        </is>
      </c>
    </row>
    <row r="11">
      <c r="A11" t="inlineStr">
        <is>
          <t>• Job search pipeline</t>
        </is>
      </c>
    </row>
    <row r="12">
      <c r="A12" t="inlineStr">
        <is>
          <t>• Health and fertility tracking</t>
        </is>
      </c>
    </row>
    <row r="13">
      <c r="A13" t="inlineStr"/>
    </row>
    <row r="14">
      <c r="A14" s="3" t="inlineStr">
        <is>
          <t>HOW TO USE</t>
        </is>
      </c>
    </row>
    <row r="15">
      <c r="A15" t="inlineStr">
        <is>
          <t>1. Start with the SETUP sheet</t>
        </is>
      </c>
      <c r="B15" s="4" t="inlineStr">
        <is>
          <t>Review and customize categories and lists</t>
        </is>
      </c>
    </row>
    <row r="16">
      <c r="A16" t="inlineStr">
        <is>
          <t>2. Visit the DASHBOARD daily</t>
        </is>
      </c>
      <c r="B16" s="4" t="inlineStr">
        <is>
          <t>Check your key metrics and trends</t>
        </is>
      </c>
    </row>
    <row r="17">
      <c r="A17" t="inlineStr">
        <is>
          <t>3. Add daily entries</t>
        </is>
      </c>
      <c r="B17" s="4" t="inlineStr">
        <is>
          <t>Use DAILY_LOG for daily metrics</t>
        </is>
      </c>
    </row>
    <row r="18">
      <c r="A18" t="inlineStr">
        <is>
          <t>4. Track habits</t>
        </is>
      </c>
      <c r="B18" s="4" t="inlineStr">
        <is>
          <t>Use HABIT_LOG to build consistency</t>
        </is>
      </c>
    </row>
    <row r="19">
      <c r="A19" t="inlineStr">
        <is>
          <t>5. Manage tasks</t>
        </is>
      </c>
      <c r="B19" s="4" t="inlineStr">
        <is>
          <t>Use TASKS for to-dos and GOALS for long-term targets</t>
        </is>
      </c>
    </row>
    <row r="20">
      <c r="A20" t="inlineStr">
        <is>
          <t>6. Log finances</t>
        </is>
      </c>
      <c r="B20" s="4" t="inlineStr">
        <is>
          <t>Use FINANCE to track income and expenses</t>
        </is>
      </c>
    </row>
    <row r="21">
      <c r="A21" t="inlineStr">
        <is>
          <t>7. Track job applications</t>
        </is>
      </c>
      <c r="B21" s="4" t="inlineStr">
        <is>
          <t>Use JOB_SEARCH for your career pipeline</t>
        </is>
      </c>
    </row>
    <row r="22">
      <c r="A22" t="inlineStr"/>
    </row>
    <row r="23">
      <c r="A23" s="3" t="inlineStr">
        <is>
          <t>QUICK START TIPS</t>
        </is>
      </c>
    </row>
    <row r="24">
      <c r="A24" t="inlineStr">
        <is>
          <t>✓ All dropdown menus are configured in SETUP</t>
        </is>
      </c>
    </row>
    <row r="25">
      <c r="A25" t="inlineStr">
        <is>
          <t>✓ Tables auto-expand when you add new rows</t>
        </is>
      </c>
    </row>
    <row r="26">
      <c r="A26" t="inlineStr">
        <is>
          <t>✓ Dashboard updates automatically from your data</t>
        </is>
      </c>
    </row>
    <row r="27">
      <c r="A27" t="inlineStr">
        <is>
          <t>✓ Use consistent categories for better insights</t>
        </is>
      </c>
    </row>
    <row r="28">
      <c r="A28" t="inlineStr">
        <is>
          <t>✓ Sample data is included - feel free to delete it</t>
        </is>
      </c>
    </row>
    <row r="29">
      <c r="A29" t="inlineStr"/>
    </row>
    <row r="30">
      <c r="A30" s="3" t="inlineStr">
        <is>
          <t>UPDATING CATEGORIES</t>
        </is>
      </c>
    </row>
    <row r="31">
      <c r="A31" t="inlineStr">
        <is>
          <t>1. Go to SETUP sheet</t>
        </is>
      </c>
    </row>
    <row r="32">
      <c r="A32" t="inlineStr">
        <is>
          <t>2. Find the list you want to edit</t>
        </is>
      </c>
    </row>
    <row r="33">
      <c r="A33" t="inlineStr">
        <is>
          <t>3. Add or modify values in the list columns</t>
        </is>
      </c>
    </row>
    <row r="34">
      <c r="A34" t="inlineStr">
        <is>
          <t>4. Named ranges will update automatically</t>
        </is>
      </c>
    </row>
    <row r="35">
      <c r="A35" t="inlineStr"/>
    </row>
    <row r="36">
      <c r="A36" s="3" t="inlineStr">
        <is>
          <t>READING THE DASHBOARD</t>
        </is>
      </c>
    </row>
    <row r="37">
      <c r="A37" t="inlineStr">
        <is>
          <t>• KPI Cards</t>
        </is>
      </c>
      <c r="B37" s="4" t="inlineStr">
        <is>
          <t>Show averages and totals for last 7 and 30 days</t>
        </is>
      </c>
    </row>
    <row r="38">
      <c r="A38" t="inlineStr">
        <is>
          <t>• Trend Charts</t>
        </is>
      </c>
      <c r="B38" s="4" t="inlineStr">
        <is>
          <t>Display mood and sleep patterns over time</t>
        </is>
      </c>
    </row>
    <row r="39">
      <c r="A39" t="inlineStr">
        <is>
          <t>• Spending Chart</t>
        </is>
      </c>
      <c r="B39" s="4" t="inlineStr">
        <is>
          <t>Shows expenses by category for current month</t>
        </is>
      </c>
    </row>
    <row r="40">
      <c r="A40" t="inlineStr">
        <is>
          <t>• Job Pipeline</t>
        </is>
      </c>
      <c r="B40" s="4" t="inlineStr">
        <is>
          <t>Summary of application statuses</t>
        </is>
      </c>
    </row>
    <row r="41">
      <c r="A41" t="inlineStr"/>
    </row>
    <row r="42">
      <c r="A42" s="3" t="inlineStr">
        <is>
          <t>NOTES</t>
        </is>
      </c>
    </row>
    <row r="43">
      <c r="A43" t="inlineStr">
        <is>
          <t>• This workbook uses Excel 365 formulas</t>
        </is>
      </c>
    </row>
    <row r="44">
      <c r="A44" t="inlineStr">
        <is>
          <t>• No macros or VBA required</t>
        </is>
      </c>
    </row>
    <row r="45">
      <c r="A45" t="inlineStr">
        <is>
          <t>• Works on Windows and Mac</t>
        </is>
      </c>
    </row>
    <row r="46">
      <c r="A46" t="inlineStr">
        <is>
          <t>• Keep backups of your data regularly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5" t="inlineStr">
        <is>
          <t>CONFIGURATION &amp; LISTS</t>
        </is>
      </c>
    </row>
    <row r="3">
      <c r="A3" s="6" t="inlineStr">
        <is>
          <t>Configuration</t>
        </is>
      </c>
    </row>
    <row r="4">
      <c r="A4" s="7" t="inlineStr">
        <is>
          <t>Start Year</t>
        </is>
      </c>
      <c r="B4" s="8" t="n">
        <v>2026</v>
      </c>
    </row>
    <row r="5">
      <c r="A5" s="7" t="inlineStr">
        <is>
          <t>Start Date</t>
        </is>
      </c>
      <c r="B5" s="9" t="n">
        <v>46023</v>
      </c>
    </row>
    <row r="6">
      <c r="A6" s="7" t="inlineStr">
        <is>
          <t>Owner Name</t>
        </is>
      </c>
      <c r="B6" s="8" t="inlineStr">
        <is>
          <t>Michelle Humes</t>
        </is>
      </c>
    </row>
    <row r="8">
      <c r="A8" s="6" t="inlineStr">
        <is>
          <t>Dropdown Lists</t>
        </is>
      </c>
    </row>
    <row r="9">
      <c r="A9" s="7" t="inlineStr">
        <is>
          <t>List Name</t>
        </is>
      </c>
      <c r="B9" s="7" t="inlineStr">
        <is>
          <t>Values</t>
        </is>
      </c>
    </row>
    <row r="10">
      <c r="A10" s="10" t="inlineStr">
        <is>
          <t>list_mood</t>
        </is>
      </c>
      <c r="B10" s="8" t="inlineStr">
        <is>
          <t>1</t>
        </is>
      </c>
    </row>
    <row r="11">
      <c r="B11" s="8" t="inlineStr">
        <is>
          <t>2</t>
        </is>
      </c>
    </row>
    <row r="12">
      <c r="B12" s="8" t="inlineStr">
        <is>
          <t>3</t>
        </is>
      </c>
    </row>
    <row r="13">
      <c r="B13" s="8" t="inlineStr">
        <is>
          <t>4</t>
        </is>
      </c>
    </row>
    <row r="14">
      <c r="B14" s="8" t="inlineStr">
        <is>
          <t>5</t>
        </is>
      </c>
    </row>
    <row r="16">
      <c r="A16" s="10" t="inlineStr">
        <is>
          <t>list_energy</t>
        </is>
      </c>
      <c r="B16" s="8" t="inlineStr">
        <is>
          <t>1</t>
        </is>
      </c>
    </row>
    <row r="17">
      <c r="B17" s="8" t="inlineStr">
        <is>
          <t>2</t>
        </is>
      </c>
    </row>
    <row r="18">
      <c r="B18" s="8" t="inlineStr">
        <is>
          <t>3</t>
        </is>
      </c>
    </row>
    <row r="19">
      <c r="B19" s="8" t="inlineStr">
        <is>
          <t>4</t>
        </is>
      </c>
    </row>
    <row r="20">
      <c r="B20" s="8" t="inlineStr">
        <is>
          <t>5</t>
        </is>
      </c>
    </row>
    <row r="22">
      <c r="A22" s="10" t="inlineStr">
        <is>
          <t>list_stress</t>
        </is>
      </c>
      <c r="B22" s="8" t="inlineStr">
        <is>
          <t>1</t>
        </is>
      </c>
    </row>
    <row r="23">
      <c r="B23" s="8" t="inlineStr">
        <is>
          <t>2</t>
        </is>
      </c>
    </row>
    <row r="24">
      <c r="B24" s="8" t="inlineStr">
        <is>
          <t>3</t>
        </is>
      </c>
    </row>
    <row r="25">
      <c r="B25" s="8" t="inlineStr">
        <is>
          <t>4</t>
        </is>
      </c>
    </row>
    <row r="26">
      <c r="B26" s="8" t="inlineStr">
        <is>
          <t>5</t>
        </is>
      </c>
    </row>
    <row r="28">
      <c r="A28" s="10" t="inlineStr">
        <is>
          <t>list_yes_no</t>
        </is>
      </c>
      <c r="B28" s="8" t="inlineStr">
        <is>
          <t>Yes</t>
        </is>
      </c>
    </row>
    <row r="29">
      <c r="B29" s="8" t="inlineStr">
        <is>
          <t>No</t>
        </is>
      </c>
    </row>
    <row r="31">
      <c r="A31" s="10" t="inlineStr">
        <is>
          <t>list_task_status</t>
        </is>
      </c>
      <c r="B31" s="8" t="inlineStr">
        <is>
          <t>Backlog</t>
        </is>
      </c>
    </row>
    <row r="32">
      <c r="B32" s="8" t="inlineStr">
        <is>
          <t>Today</t>
        </is>
      </c>
    </row>
    <row r="33">
      <c r="B33" s="8" t="inlineStr">
        <is>
          <t>In Progress</t>
        </is>
      </c>
    </row>
    <row r="34">
      <c r="B34" s="8" t="inlineStr">
        <is>
          <t>Completed</t>
        </is>
      </c>
    </row>
    <row r="36">
      <c r="A36" s="10" t="inlineStr">
        <is>
          <t>list_task_priority</t>
        </is>
      </c>
      <c r="B36" s="8" t="inlineStr">
        <is>
          <t>Low</t>
        </is>
      </c>
    </row>
    <row r="37">
      <c r="B37" s="8" t="inlineStr">
        <is>
          <t>Medium</t>
        </is>
      </c>
    </row>
    <row r="38">
      <c r="B38" s="8" t="inlineStr">
        <is>
          <t>High</t>
        </is>
      </c>
    </row>
    <row r="40">
      <c r="A40" s="10" t="inlineStr">
        <is>
          <t>list_task_category</t>
        </is>
      </c>
      <c r="B40" s="8" t="inlineStr">
        <is>
          <t>Health</t>
        </is>
      </c>
    </row>
    <row r="41">
      <c r="B41" s="8" t="inlineStr">
        <is>
          <t>Career</t>
        </is>
      </c>
    </row>
    <row r="42">
      <c r="B42" s="8" t="inlineStr">
        <is>
          <t>Business</t>
        </is>
      </c>
    </row>
    <row r="43">
      <c r="B43" s="8" t="inlineStr">
        <is>
          <t>Personal</t>
        </is>
      </c>
    </row>
    <row r="44">
      <c r="B44" s="8" t="inlineStr">
        <is>
          <t>Relationships</t>
        </is>
      </c>
    </row>
    <row r="46">
      <c r="A46" s="10" t="inlineStr">
        <is>
          <t>list_goal_status</t>
        </is>
      </c>
      <c r="B46" s="8" t="inlineStr">
        <is>
          <t>Active</t>
        </is>
      </c>
    </row>
    <row r="47">
      <c r="B47" s="8" t="inlineStr">
        <is>
          <t>Paused</t>
        </is>
      </c>
    </row>
    <row r="48">
      <c r="B48" s="8" t="inlineStr">
        <is>
          <t>Completed</t>
        </is>
      </c>
    </row>
    <row r="50">
      <c r="A50" s="10" t="inlineStr">
        <is>
          <t>list_goal_timeframe</t>
        </is>
      </c>
      <c r="B50" s="8" t="inlineStr">
        <is>
          <t>Short</t>
        </is>
      </c>
    </row>
    <row r="51">
      <c r="B51" s="8" t="inlineStr">
        <is>
          <t>Medium</t>
        </is>
      </c>
    </row>
    <row r="52">
      <c r="B52" s="8" t="inlineStr">
        <is>
          <t>Long</t>
        </is>
      </c>
    </row>
    <row r="54">
      <c r="A54" s="10" t="inlineStr">
        <is>
          <t>list_finance_type</t>
        </is>
      </c>
      <c r="B54" s="8" t="inlineStr">
        <is>
          <t>Income</t>
        </is>
      </c>
    </row>
    <row r="55">
      <c r="B55" s="8" t="inlineStr">
        <is>
          <t>Expense</t>
        </is>
      </c>
    </row>
    <row r="57">
      <c r="A57" s="10" t="inlineStr">
        <is>
          <t>list_finance_category</t>
        </is>
      </c>
      <c r="B57" s="8" t="inlineStr">
        <is>
          <t>Housing</t>
        </is>
      </c>
    </row>
    <row r="58">
      <c r="B58" s="8" t="inlineStr">
        <is>
          <t>Utilities</t>
        </is>
      </c>
    </row>
    <row r="59">
      <c r="B59" s="8" t="inlineStr">
        <is>
          <t>Groceries</t>
        </is>
      </c>
    </row>
    <row r="60">
      <c r="B60" s="8" t="inlineStr">
        <is>
          <t>Dining</t>
        </is>
      </c>
    </row>
    <row r="61">
      <c r="B61" s="8" t="inlineStr">
        <is>
          <t>Transportation</t>
        </is>
      </c>
    </row>
    <row r="62">
      <c r="B62" s="8" t="inlineStr">
        <is>
          <t>Health</t>
        </is>
      </c>
    </row>
    <row r="63">
      <c r="B63" s="8" t="inlineStr">
        <is>
          <t>Fitness</t>
        </is>
      </c>
    </row>
    <row r="64">
      <c r="B64" s="8" t="inlineStr">
        <is>
          <t>Subscriptions</t>
        </is>
      </c>
    </row>
    <row r="65">
      <c r="B65" s="8" t="inlineStr">
        <is>
          <t>Shopping</t>
        </is>
      </c>
    </row>
    <row r="66">
      <c r="B66" s="8" t="inlineStr">
        <is>
          <t>Travel</t>
        </is>
      </c>
    </row>
    <row r="67">
      <c r="B67" s="8" t="inlineStr">
        <is>
          <t>Education</t>
        </is>
      </c>
    </row>
    <row r="68">
      <c r="B68" s="8" t="inlineStr">
        <is>
          <t>Business</t>
        </is>
      </c>
    </row>
    <row r="69">
      <c r="B69" s="8" t="inlineStr">
        <is>
          <t>Savings</t>
        </is>
      </c>
    </row>
    <row r="70">
      <c r="B70" s="8" t="inlineStr">
        <is>
          <t>Other</t>
        </is>
      </c>
    </row>
    <row r="72">
      <c r="A72" s="10" t="inlineStr">
        <is>
          <t>list_job_status</t>
        </is>
      </c>
      <c r="B72" s="8" t="inlineStr">
        <is>
          <t>Target</t>
        </is>
      </c>
    </row>
    <row r="73">
      <c r="B73" s="8" t="inlineStr">
        <is>
          <t>Applied</t>
        </is>
      </c>
    </row>
    <row r="74">
      <c r="B74" s="8" t="inlineStr">
        <is>
          <t>Screening</t>
        </is>
      </c>
    </row>
    <row r="75">
      <c r="B75" s="8" t="inlineStr">
        <is>
          <t>Interview</t>
        </is>
      </c>
    </row>
    <row r="76">
      <c r="B76" s="8" t="inlineStr">
        <is>
          <t>Offer</t>
        </is>
      </c>
    </row>
    <row r="77">
      <c r="B77" s="8" t="inlineStr">
        <is>
          <t>Rejected</t>
        </is>
      </c>
    </row>
    <row r="78">
      <c r="B78" s="8" t="inlineStr">
        <is>
          <t>Stalled</t>
        </is>
      </c>
    </row>
    <row r="79">
      <c r="B79" s="8" t="inlineStr">
        <is>
          <t>Withdrawn</t>
        </is>
      </c>
    </row>
    <row r="81">
      <c r="A81" s="10" t="inlineStr">
        <is>
          <t>list_health_symptom</t>
        </is>
      </c>
      <c r="B81" s="8" t="inlineStr">
        <is>
          <t>Cramps</t>
        </is>
      </c>
    </row>
    <row r="82">
      <c r="B82" s="8" t="inlineStr">
        <is>
          <t>Bloating</t>
        </is>
      </c>
    </row>
    <row r="83">
      <c r="B83" s="8" t="inlineStr">
        <is>
          <t>Headache</t>
        </is>
      </c>
    </row>
    <row r="84">
      <c r="B84" s="8" t="inlineStr">
        <is>
          <t>Fatigue</t>
        </is>
      </c>
    </row>
    <row r="85">
      <c r="B85" s="8" t="inlineStr">
        <is>
          <t>Nausea</t>
        </is>
      </c>
    </row>
    <row r="86">
      <c r="B86" s="8" t="inlineStr">
        <is>
          <t>Tenderness</t>
        </is>
      </c>
    </row>
    <row r="87">
      <c r="B87" s="8" t="inlineStr">
        <is>
          <t>Other</t>
        </is>
      </c>
    </row>
    <row r="89">
      <c r="A89" s="10" t="inlineStr">
        <is>
          <t>list_lh_test</t>
        </is>
      </c>
      <c r="B89" s="8" t="inlineStr">
        <is>
          <t>Negative</t>
        </is>
      </c>
    </row>
    <row r="90">
      <c r="B90" s="8" t="inlineStr">
        <is>
          <t>Positive</t>
        </is>
      </c>
    </row>
    <row r="91">
      <c r="B91" s="8" t="inlineStr">
        <is>
          <t>Not Taken</t>
        </is>
      </c>
    </row>
    <row r="93">
      <c r="A93" s="10" t="inlineStr">
        <is>
          <t>list_cycle_phase</t>
        </is>
      </c>
      <c r="B93" s="8" t="inlineStr">
        <is>
          <t>Follicular</t>
        </is>
      </c>
    </row>
    <row r="94">
      <c r="B94" s="8" t="inlineStr">
        <is>
          <t>Fertile</t>
        </is>
      </c>
    </row>
    <row r="95">
      <c r="B95" s="8" t="inlineStr">
        <is>
          <t>Ovulation</t>
        </is>
      </c>
    </row>
    <row r="96">
      <c r="B96" s="8" t="inlineStr">
        <is>
          <t>Luteal</t>
        </is>
      </c>
    </row>
    <row r="97">
      <c r="B97" s="8" t="inlineStr">
        <is>
          <t>Implantation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5" max="5"/>
  </cols>
  <sheetData>
    <row r="1">
      <c r="A1" s="11" t="inlineStr">
        <is>
          <t>LIFE TRACKER DASHBOARD</t>
        </is>
      </c>
    </row>
    <row r="2">
      <c r="A2" s="2" t="inlineStr">
        <is>
          <t>Generated: 2026-02-03 06:33</t>
        </is>
      </c>
    </row>
    <row r="4">
      <c r="A4" s="3" t="inlineStr">
        <is>
          <t>LAST 7 DAYS</t>
        </is>
      </c>
      <c r="E4" s="3" t="inlineStr">
        <is>
          <t>CHARTS &amp; TRENDS</t>
        </is>
      </c>
    </row>
    <row r="5">
      <c r="A5" s="7" t="inlineStr">
        <is>
          <t>Avg Sleep Hours</t>
        </is>
      </c>
      <c r="B5" s="12">
        <f>AVERAGEIFS(DAILY_LOG!$E:$E,DAILY_LOG!$A:$A,"&gt;="&amp;TODAY()-6,DAILY_LOG!$A:$A,"&lt;="&amp;TODAY())</f>
        <v/>
      </c>
    </row>
    <row r="6">
      <c r="A6" s="7" t="inlineStr">
        <is>
          <t>Avg Mood</t>
        </is>
      </c>
      <c r="B6" s="12">
        <f>AVERAGEIFS(DAILY_LOG!$J:$J,DAILY_LOG!$A:$A,"&gt;="&amp;TODAY()-6,DAILY_LOG!$A:$A,"&lt;="&amp;TODAY())</f>
        <v/>
      </c>
      <c r="E6" s="13" t="inlineStr">
        <is>
          <t>Note: Charts show visual trends for:</t>
        </is>
      </c>
    </row>
    <row r="7">
      <c r="A7" s="7" t="inlineStr">
        <is>
          <t>Avg Energy</t>
        </is>
      </c>
      <c r="B7" s="12">
        <f>AVERAGEIFS(DAILY_LOG!$K:$K,DAILY_LOG!$A:$A,"&gt;="&amp;TODAY()-6,DAILY_LOG!$A:$A,"&lt;="&amp;TODAY())</f>
        <v/>
      </c>
      <c r="E7" s="13" t="inlineStr">
        <is>
          <t>• Mood &amp; Sleep patterns (last 30 days)</t>
        </is>
      </c>
    </row>
    <row r="8">
      <c r="A8" s="7" t="inlineStr">
        <is>
          <t>Total Exercise (min)</t>
        </is>
      </c>
      <c r="B8" s="14">
        <f>SUMIFS(DAILY_LOG!$H:$H,DAILY_LOG!$A:$A,"&gt;="&amp;TODAY()-6,DAILY_LOG!$A:$A,"&lt;="&amp;TODAY())</f>
        <v/>
      </c>
      <c r="E8" s="13" t="inlineStr">
        <is>
          <t>• Expense breakdown by category</t>
        </is>
      </c>
    </row>
    <row r="9">
      <c r="E9" s="13" t="inlineStr">
        <is>
          <t>• Job pipeline funnel</t>
        </is>
      </c>
    </row>
    <row r="10">
      <c r="A10" s="3" t="inlineStr">
        <is>
          <t>LAST 30 DAYS</t>
        </is>
      </c>
      <c r="E10" s="13" t="inlineStr"/>
    </row>
    <row r="11">
      <c r="A11" s="7" t="inlineStr">
        <is>
          <t>Avg Sleep Hours</t>
        </is>
      </c>
      <c r="B11" s="15">
        <f>AVERAGEIFS(DAILY_LOG!$E:$E,DAILY_LOG!$A:$A,"&gt;="&amp;TODAY()-29,DAILY_LOG!$A:$A,"&lt;="&amp;TODAY())</f>
        <v/>
      </c>
      <c r="E11" s="13" t="inlineStr">
        <is>
          <t>Excel will auto-generate recommended</t>
        </is>
      </c>
    </row>
    <row r="12">
      <c r="A12" s="7" t="inlineStr">
        <is>
          <t>Avg Mood</t>
        </is>
      </c>
      <c r="B12" s="15">
        <f>AVERAGEIFS(DAILY_LOG!$J:$J,DAILY_LOG!$A:$A,"&gt;="&amp;TODAY()-29,DAILY_LOG!$A:$A,"&lt;="&amp;TODAY())</f>
        <v/>
      </c>
      <c r="E12" s="13" t="inlineStr">
        <is>
          <t>charts based on your data tables.</t>
        </is>
      </c>
    </row>
    <row r="13">
      <c r="A13" s="7" t="inlineStr">
        <is>
          <t>Tasks Completed</t>
        </is>
      </c>
      <c r="B13" s="16">
        <f>COUNTIFS(TASKS!$D:$D,"Completed",TASKS!$F:$F,"&gt;="&amp;TODAY()-29,TASKS!$F:$F,"&lt;="&amp;TODAY())</f>
        <v/>
      </c>
      <c r="E13" s="13" t="inlineStr"/>
    </row>
    <row r="14">
      <c r="A14" s="7" t="inlineStr">
        <is>
          <t>Habit Completion %</t>
        </is>
      </c>
      <c r="B14" s="17">
        <f>IFERROR(COUNTIFS(HABIT_LOG!$E:$E,"Yes",HABIT_LOG!$A:$A,"&gt;="&amp;TODAY()-29,HABIT_LOG!$A:$A,"&lt;="&amp;TODAY())/COUNTIFS(HABIT_LOG!$A:$A,"&gt;="&amp;TODAY()-29,HABIT_LOG!$A:$A,"&lt;="&amp;TODAY()),0)</f>
        <v/>
      </c>
      <c r="E14" s="13" t="inlineStr">
        <is>
          <t>To add charts:</t>
        </is>
      </c>
    </row>
    <row r="15">
      <c r="E15" s="13" t="inlineStr">
        <is>
          <t>1. Select data from any sheet</t>
        </is>
      </c>
    </row>
    <row r="16">
      <c r="A16" s="3" t="inlineStr">
        <is>
          <t>CURRENT MONTH FINANCES</t>
        </is>
      </c>
      <c r="E16" s="13" t="inlineStr">
        <is>
          <t>2. Insert &gt; Recommended Charts</t>
        </is>
      </c>
    </row>
    <row r="17">
      <c r="A17" s="7" t="inlineStr">
        <is>
          <t>Total Income</t>
        </is>
      </c>
      <c r="B17" s="18">
        <f>SUMIFS(FINANCE!$E:$E,FINANCE!$D:$D,"Income",FINANCE!$A:$A,"&gt;="&amp;EOMONTH(TODAY(),-1)+1,FINANCE!$A:$A,"&lt;="&amp;EOMONTH(TODAY(),0))</f>
        <v/>
      </c>
      <c r="E17" s="13" t="inlineStr">
        <is>
          <t>3. Copy chart to Dashboard</t>
        </is>
      </c>
    </row>
    <row r="18">
      <c r="A18" s="7" t="inlineStr">
        <is>
          <t>Total Expenses</t>
        </is>
      </c>
      <c r="B18" s="19">
        <f>SUMIFS(FINANCE!$E:$E,FINANCE!$D:$D,"Expense",FINANCE!$A:$A,"&gt;="&amp;EOMONTH(TODAY(),-1)+1,FINANCE!$A:$A,"&lt;="&amp;EOMONTH(TODAY(),0))</f>
        <v/>
      </c>
    </row>
    <row r="19">
      <c r="A19" s="7" t="inlineStr">
        <is>
          <t>Net Cash Flow</t>
        </is>
      </c>
      <c r="B19" s="20">
        <f>B17-B18</f>
        <v/>
      </c>
    </row>
    <row r="21">
      <c r="A21" s="3" t="inlineStr">
        <is>
          <t>JOB SEARCH PIPELINE</t>
        </is>
      </c>
    </row>
    <row r="22">
      <c r="A22" s="7" t="inlineStr">
        <is>
          <t>Target</t>
        </is>
      </c>
      <c r="B22" s="21">
        <f>COUNTIF(JOB_SEARCH!$H:$H,"Target")</f>
        <v/>
      </c>
    </row>
    <row r="23">
      <c r="A23" s="7" t="inlineStr">
        <is>
          <t>Applied</t>
        </is>
      </c>
      <c r="B23" s="21">
        <f>COUNTIF(JOB_SEARCH!$H:$H,"Applied")</f>
        <v/>
      </c>
    </row>
    <row r="24">
      <c r="A24" s="7" t="inlineStr">
        <is>
          <t>Screening</t>
        </is>
      </c>
      <c r="B24" s="21">
        <f>COUNTIF(JOB_SEARCH!$H:$H,"Screening")</f>
        <v/>
      </c>
    </row>
    <row r="25">
      <c r="A25" s="7" t="inlineStr">
        <is>
          <t>Interview</t>
        </is>
      </c>
      <c r="B25" s="21">
        <f>COUNTIF(JOB_SEARCH!$H:$H,"Interview")</f>
        <v/>
      </c>
    </row>
    <row r="26">
      <c r="A26" s="7" t="inlineStr">
        <is>
          <t>Offer</t>
        </is>
      </c>
      <c r="B26" s="21">
        <f>COUNTIF(JOB_SEARCH!$H:$H,"Offer")</f>
        <v/>
      </c>
    </row>
  </sheetData>
  <mergeCells count="6">
    <mergeCell ref="A4:D4"/>
    <mergeCell ref="A2:H2"/>
    <mergeCell ref="A21:D21"/>
    <mergeCell ref="A16:D16"/>
    <mergeCell ref="A1:H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13" max="13"/>
    <col width="30" customWidth="1" min="14" max="14"/>
  </cols>
  <sheetData>
    <row r="1">
      <c r="A1" s="22" t="inlineStr">
        <is>
          <t>Date</t>
        </is>
      </c>
      <c r="B1" s="22" t="inlineStr">
        <is>
          <t>Day</t>
        </is>
      </c>
      <c r="C1" s="22" t="inlineStr">
        <is>
          <t>Week</t>
        </is>
      </c>
      <c r="D1" s="22" t="inlineStr">
        <is>
          <t>Month</t>
        </is>
      </c>
      <c r="E1" s="22" t="inlineStr">
        <is>
          <t>SleepHours</t>
        </is>
      </c>
      <c r="F1" s="22" t="inlineStr">
        <is>
          <t>SleepQuality</t>
        </is>
      </c>
      <c r="G1" s="22" t="inlineStr">
        <is>
          <t>Steps</t>
        </is>
      </c>
      <c r="H1" s="22" t="inlineStr">
        <is>
          <t>ExerciseMinutes</t>
        </is>
      </c>
      <c r="I1" s="22" t="inlineStr">
        <is>
          <t>WaterOz</t>
        </is>
      </c>
      <c r="J1" s="22" t="inlineStr">
        <is>
          <t>Mood</t>
        </is>
      </c>
      <c r="K1" s="22" t="inlineStr">
        <is>
          <t>Energy</t>
        </is>
      </c>
      <c r="L1" s="22" t="inlineStr">
        <is>
          <t>Stress</t>
        </is>
      </c>
      <c r="M1" s="22" t="inlineStr">
        <is>
          <t>Highlights</t>
        </is>
      </c>
      <c r="N1" s="22" t="inlineStr">
        <is>
          <t>Notes</t>
        </is>
      </c>
    </row>
    <row r="2">
      <c r="A2" s="23" t="n">
        <v>46047.27331370112</v>
      </c>
      <c r="B2">
        <f>TEXT(A2,"ddd")</f>
        <v/>
      </c>
      <c r="C2">
        <f>WEEKNUM(A2)</f>
        <v/>
      </c>
      <c r="D2">
        <f>TEXT(A2,"yyyy-mm")</f>
        <v/>
      </c>
      <c r="E2" t="n">
        <v>8.199999999999999</v>
      </c>
      <c r="F2" t="n">
        <v>5</v>
      </c>
      <c r="G2" t="n">
        <v>7379</v>
      </c>
      <c r="H2" t="n">
        <v>30</v>
      </c>
      <c r="I2" t="n">
        <v>50</v>
      </c>
      <c r="J2" t="n">
        <v>5</v>
      </c>
      <c r="K2" t="n">
        <v>4</v>
      </c>
      <c r="L2" t="n">
        <v>3</v>
      </c>
      <c r="M2" t="inlineStr">
        <is>
          <t>Productive day</t>
        </is>
      </c>
      <c r="N2" t="inlineStr">
        <is>
          <t>Very energetic</t>
        </is>
      </c>
    </row>
    <row r="3">
      <c r="A3" s="23" t="n">
        <v>46048.27331370112</v>
      </c>
      <c r="B3">
        <f>TEXT(A3,"ddd")</f>
        <v/>
      </c>
      <c r="C3">
        <f>WEEKNUM(A3)</f>
        <v/>
      </c>
      <c r="D3">
        <f>TEXT(A3,"yyyy-mm")</f>
        <v/>
      </c>
      <c r="E3" t="n">
        <v>8.4</v>
      </c>
      <c r="F3" t="n">
        <v>3</v>
      </c>
      <c r="G3" t="n">
        <v>9632</v>
      </c>
      <c r="H3" t="n">
        <v>57</v>
      </c>
      <c r="I3" t="n">
        <v>49</v>
      </c>
      <c r="J3" t="n">
        <v>3</v>
      </c>
      <c r="K3" t="n">
        <v>5</v>
      </c>
      <c r="L3" t="n">
        <v>3</v>
      </c>
      <c r="M3" t="inlineStr">
        <is>
          <t>Made progress on project</t>
        </is>
      </c>
      <c r="N3" t="inlineStr">
        <is>
          <t>Very energetic</t>
        </is>
      </c>
    </row>
    <row r="4">
      <c r="A4" s="23" t="n">
        <v>46049.27331370112</v>
      </c>
      <c r="B4">
        <f>TEXT(A4,"ddd")</f>
        <v/>
      </c>
      <c r="C4">
        <f>WEEKNUM(A4)</f>
        <v/>
      </c>
      <c r="D4">
        <f>TEXT(A4,"yyyy-mm")</f>
        <v/>
      </c>
      <c r="E4" t="n">
        <v>6.7</v>
      </c>
      <c r="F4" t="n">
        <v>5</v>
      </c>
      <c r="G4" t="n">
        <v>8782</v>
      </c>
      <c r="H4" t="n">
        <v>30</v>
      </c>
      <c r="I4" t="n">
        <v>79</v>
      </c>
      <c r="J4" t="n">
        <v>5</v>
      </c>
      <c r="K4" t="n">
        <v>3</v>
      </c>
      <c r="L4" t="n">
        <v>1</v>
      </c>
      <c r="M4" t="inlineStr">
        <is>
          <t>Productive day</t>
        </is>
      </c>
      <c r="N4" t="inlineStr">
        <is>
          <t>Balanced day</t>
        </is>
      </c>
    </row>
    <row r="5">
      <c r="A5" s="23" t="n">
        <v>46050.27331370112</v>
      </c>
      <c r="B5">
        <f>TEXT(A5,"ddd")</f>
        <v/>
      </c>
      <c r="C5">
        <f>WEEKNUM(A5)</f>
        <v/>
      </c>
      <c r="D5">
        <f>TEXT(A5,"yyyy-mm")</f>
        <v/>
      </c>
      <c r="E5" t="n">
        <v>8.5</v>
      </c>
      <c r="F5" t="n">
        <v>3</v>
      </c>
      <c r="G5" t="n">
        <v>6007</v>
      </c>
      <c r="H5" t="n">
        <v>15</v>
      </c>
      <c r="I5" t="n">
        <v>60</v>
      </c>
      <c r="J5" t="n">
        <v>5</v>
      </c>
      <c r="K5" t="n">
        <v>4</v>
      </c>
      <c r="L5" t="n">
        <v>1</v>
      </c>
      <c r="M5" t="inlineStr">
        <is>
          <t>Relaxing evening</t>
        </is>
      </c>
      <c r="N5" t="inlineStr">
        <is>
          <t>Need more sleep</t>
        </is>
      </c>
    </row>
    <row r="6">
      <c r="A6" s="23" t="n">
        <v>46051.27331370112</v>
      </c>
      <c r="B6">
        <f>TEXT(A6,"ddd")</f>
        <v/>
      </c>
      <c r="C6">
        <f>WEEKNUM(A6)</f>
        <v/>
      </c>
      <c r="D6">
        <f>TEXT(A6,"yyyy-mm")</f>
        <v/>
      </c>
      <c r="E6" t="n">
        <v>6.4</v>
      </c>
      <c r="F6" t="n">
        <v>5</v>
      </c>
      <c r="G6" t="n">
        <v>11467</v>
      </c>
      <c r="H6" t="n">
        <v>41</v>
      </c>
      <c r="I6" t="n">
        <v>79</v>
      </c>
      <c r="J6" t="n">
        <v>5</v>
      </c>
      <c r="K6" t="n">
        <v>4</v>
      </c>
      <c r="L6" t="n">
        <v>2</v>
      </c>
      <c r="M6" t="inlineStr">
        <is>
          <t>Great workout!</t>
        </is>
      </c>
      <c r="N6" t="inlineStr">
        <is>
          <t>Need more sleep</t>
        </is>
      </c>
    </row>
    <row r="7">
      <c r="A7" s="23" t="n">
        <v>46052.27331370112</v>
      </c>
      <c r="B7">
        <f>TEXT(A7,"ddd")</f>
        <v/>
      </c>
      <c r="C7">
        <f>WEEKNUM(A7)</f>
        <v/>
      </c>
      <c r="D7">
        <f>TEXT(A7,"yyyy-mm")</f>
        <v/>
      </c>
      <c r="E7" t="n">
        <v>8.5</v>
      </c>
      <c r="F7" t="n">
        <v>3</v>
      </c>
      <c r="G7" t="n">
        <v>9123</v>
      </c>
      <c r="H7" t="n">
        <v>2</v>
      </c>
      <c r="I7" t="n">
        <v>76</v>
      </c>
      <c r="J7" t="n">
        <v>5</v>
      </c>
      <c r="K7" t="n">
        <v>3</v>
      </c>
      <c r="L7" t="n">
        <v>2</v>
      </c>
      <c r="M7" t="inlineStr">
        <is>
          <t>Made progress on project</t>
        </is>
      </c>
      <c r="N7" t="inlineStr">
        <is>
          <t>Very energetic</t>
        </is>
      </c>
    </row>
    <row r="8">
      <c r="A8" s="23" t="n">
        <v>46053.27331370112</v>
      </c>
      <c r="B8">
        <f>TEXT(A8,"ddd")</f>
        <v/>
      </c>
      <c r="C8">
        <f>WEEKNUM(A8)</f>
        <v/>
      </c>
      <c r="D8">
        <f>TEXT(A8,"yyyy-mm")</f>
        <v/>
      </c>
      <c r="E8" t="n">
        <v>7.9</v>
      </c>
      <c r="F8" t="n">
        <v>4</v>
      </c>
      <c r="G8" t="n">
        <v>11417</v>
      </c>
      <c r="H8" t="n">
        <v>1</v>
      </c>
      <c r="I8" t="n">
        <v>68</v>
      </c>
      <c r="J8" t="n">
        <v>3</v>
      </c>
      <c r="K8" t="n">
        <v>5</v>
      </c>
      <c r="L8" t="n">
        <v>3</v>
      </c>
      <c r="M8" t="inlineStr">
        <is>
          <t>Relaxing evening</t>
        </is>
      </c>
      <c r="N8" t="inlineStr">
        <is>
          <t>Felt good today</t>
        </is>
      </c>
    </row>
    <row r="9">
      <c r="A9" s="23" t="n">
        <v>46054.27331370112</v>
      </c>
      <c r="B9">
        <f>TEXT(A9,"ddd")</f>
        <v/>
      </c>
      <c r="C9">
        <f>WEEKNUM(A9)</f>
        <v/>
      </c>
      <c r="D9">
        <f>TEXT(A9,"yyyy-mm")</f>
        <v/>
      </c>
      <c r="E9" t="n">
        <v>8.4</v>
      </c>
      <c r="F9" t="n">
        <v>4</v>
      </c>
      <c r="G9" t="n">
        <v>8814</v>
      </c>
      <c r="H9" t="n">
        <v>29</v>
      </c>
      <c r="I9" t="n">
        <v>78</v>
      </c>
      <c r="J9" t="n">
        <v>3</v>
      </c>
      <c r="K9" t="n">
        <v>5</v>
      </c>
      <c r="L9" t="n">
        <v>3</v>
      </c>
      <c r="M9" t="inlineStr">
        <is>
          <t>Coffee with friend</t>
        </is>
      </c>
      <c r="N9" t="inlineStr">
        <is>
          <t>A bit tired</t>
        </is>
      </c>
    </row>
    <row r="10">
      <c r="A10" s="23" t="n">
        <v>46055.27331370112</v>
      </c>
      <c r="B10">
        <f>TEXT(A10,"ddd")</f>
        <v/>
      </c>
      <c r="C10">
        <f>WEEKNUM(A10)</f>
        <v/>
      </c>
      <c r="D10">
        <f>TEXT(A10,"yyyy-mm")</f>
        <v/>
      </c>
      <c r="E10" t="n">
        <v>7.5</v>
      </c>
      <c r="F10" t="n">
        <v>5</v>
      </c>
      <c r="G10" t="n">
        <v>7497</v>
      </c>
      <c r="H10" t="n">
        <v>19</v>
      </c>
      <c r="I10" t="n">
        <v>80</v>
      </c>
      <c r="J10" t="n">
        <v>4</v>
      </c>
      <c r="K10" t="n">
        <v>5</v>
      </c>
      <c r="L10" t="n">
        <v>1</v>
      </c>
      <c r="M10" t="inlineStr">
        <is>
          <t>Productive day</t>
        </is>
      </c>
      <c r="N10" t="inlineStr">
        <is>
          <t>Balanced day</t>
        </is>
      </c>
    </row>
    <row r="11">
      <c r="A11" s="23" t="n">
        <v>46056.27331370112</v>
      </c>
      <c r="B11">
        <f>TEXT(A11,"ddd")</f>
        <v/>
      </c>
      <c r="C11">
        <f>WEEKNUM(A11)</f>
        <v/>
      </c>
      <c r="D11">
        <f>TEXT(A11,"yyyy-mm")</f>
        <v/>
      </c>
      <c r="E11" t="n">
        <v>6.2</v>
      </c>
      <c r="F11" t="n">
        <v>4</v>
      </c>
      <c r="G11" t="n">
        <v>11172</v>
      </c>
      <c r="H11" t="n">
        <v>18</v>
      </c>
      <c r="I11" t="n">
        <v>62</v>
      </c>
      <c r="J11" t="n">
        <v>5</v>
      </c>
      <c r="K11" t="n">
        <v>3</v>
      </c>
      <c r="L11" t="n">
        <v>1</v>
      </c>
      <c r="M11" t="inlineStr">
        <is>
          <t>Made progress on project</t>
        </is>
      </c>
      <c r="N11" t="inlineStr">
        <is>
          <t>Need more sleep</t>
        </is>
      </c>
    </row>
  </sheetData>
  <dataValidations count="4">
    <dataValidation sqref="F2:F1000" showDropDown="0" showInputMessage="0" showErrorMessage="0" allowBlank="1" type="list">
      <formula1>list_mood</formula1>
    </dataValidation>
    <dataValidation sqref="J2:J1000" showDropDown="0" showInputMessage="0" showErrorMessage="0" allowBlank="1" type="list">
      <formula1>list_mood</formula1>
    </dataValidation>
    <dataValidation sqref="K2:K1000" showDropDown="0" showInputMessage="0" showErrorMessage="0" allowBlank="1" type="list">
      <formula1>list_energy</formula1>
    </dataValidation>
    <dataValidation sqref="L2:L1000" showDropDown="0" showInputMessage="0" showErrorMessage="0" allowBlank="1" type="list">
      <formula1>list_stress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30" customWidth="1" min="6" max="6"/>
    <col width="25" customWidth="1" min="8" max="8"/>
  </cols>
  <sheetData>
    <row r="1">
      <c r="A1" s="22" t="inlineStr">
        <is>
          <t>Date</t>
        </is>
      </c>
      <c r="B1" s="22" t="inlineStr">
        <is>
          <t>Habit</t>
        </is>
      </c>
      <c r="C1" s="22" t="inlineStr">
        <is>
          <t>Category</t>
        </is>
      </c>
      <c r="D1" s="22" t="inlineStr">
        <is>
          <t>Value</t>
        </is>
      </c>
      <c r="E1" s="22" t="inlineStr">
        <is>
          <t>Done</t>
        </is>
      </c>
      <c r="F1" s="22" t="inlineStr">
        <is>
          <t>Notes</t>
        </is>
      </c>
      <c r="H1" s="3" t="inlineStr">
        <is>
          <t>MONTHLY SUMMARY</t>
        </is>
      </c>
    </row>
    <row r="2">
      <c r="A2" s="23" t="n">
        <v>46047.27331371576</v>
      </c>
      <c r="B2" t="inlineStr">
        <is>
          <t>Morning Exercise</t>
        </is>
      </c>
      <c r="C2" t="inlineStr">
        <is>
          <t>Personal</t>
        </is>
      </c>
      <c r="D2" t="n">
        <v>27</v>
      </c>
      <c r="E2" t="inlineStr">
        <is>
          <t>No</t>
        </is>
      </c>
      <c r="F2" t="inlineStr"/>
    </row>
    <row r="3">
      <c r="A3" s="23" t="n">
        <v>46047.27331371576</v>
      </c>
      <c r="B3" t="inlineStr">
        <is>
          <t>Read 30min</t>
        </is>
      </c>
      <c r="C3" t="inlineStr">
        <is>
          <t>Health</t>
        </is>
      </c>
      <c r="D3" t="n">
        <v>16</v>
      </c>
      <c r="E3" t="inlineStr">
        <is>
          <t>No</t>
        </is>
      </c>
      <c r="F3" t="inlineStr"/>
      <c r="H3" s="7" t="inlineStr">
        <is>
          <t>Habit Completion Rate (Current Month)</t>
        </is>
      </c>
    </row>
    <row r="4">
      <c r="A4" s="23" t="n">
        <v>46047.27331371576</v>
      </c>
      <c r="B4" t="inlineStr">
        <is>
          <t>Walk 10k steps</t>
        </is>
      </c>
      <c r="C4" t="inlineStr">
        <is>
          <t>Personal</t>
        </is>
      </c>
      <c r="D4" t="n">
        <v>11</v>
      </c>
      <c r="E4" t="inlineStr">
        <is>
          <t>Yes</t>
        </is>
      </c>
      <c r="F4" t="inlineStr"/>
      <c r="H4" t="inlineStr">
        <is>
          <t>Morning Exercise</t>
        </is>
      </c>
      <c r="I4" s="24">
        <f>IFERROR(COUNTIFS(tblHabits[Habit],"Morning Exercise",tblHabits[Done],"Yes",tblHabits[Date],"&gt;="&amp;EOMONTH(TODAY(),-1)+1,tblHabits[Date],"&lt;="&amp;EOMONTH(TODAY(),0))/COUNTIFS(tblHabits[Habit],"Morning Exercise",tblHabits[Date],"&gt;="&amp;EOMONTH(TODAY(),-1)+1,tblHabits[Date],"&lt;="&amp;EOMONTH(TODAY(),0)),0)</f>
        <v/>
      </c>
    </row>
    <row r="5">
      <c r="A5" s="23" t="n">
        <v>46047.27331371576</v>
      </c>
      <c r="B5" t="inlineStr">
        <is>
          <t>Meditate</t>
        </is>
      </c>
      <c r="C5" t="inlineStr">
        <is>
          <t>Personal</t>
        </is>
      </c>
      <c r="D5" t="n">
        <v>14</v>
      </c>
      <c r="E5" t="inlineStr">
        <is>
          <t>Yes</t>
        </is>
      </c>
      <c r="F5" t="inlineStr"/>
      <c r="H5" t="inlineStr">
        <is>
          <t>Read 30min</t>
        </is>
      </c>
      <c r="I5" s="24">
        <f>IFERROR(COUNTIFS(tblHabits[Habit],"Read 30min",tblHabits[Done],"Yes",tblHabits[Date],"&gt;="&amp;EOMONTH(TODAY(),-1)+1,tblHabits[Date],"&lt;="&amp;EOMONTH(TODAY(),0))/COUNTIFS(tblHabits[Habit],"Read 30min",tblHabits[Date],"&gt;="&amp;EOMONTH(TODAY(),-1)+1,tblHabits[Date],"&lt;="&amp;EOMONTH(TODAY(),0)),0)</f>
        <v/>
      </c>
    </row>
    <row r="6">
      <c r="A6" s="23" t="n">
        <v>46047.27331371576</v>
      </c>
      <c r="B6" t="inlineStr">
        <is>
          <t>Track Finances</t>
        </is>
      </c>
      <c r="C6" t="inlineStr">
        <is>
          <t>Personal</t>
        </is>
      </c>
      <c r="D6" t="n">
        <v>9</v>
      </c>
      <c r="E6" t="inlineStr">
        <is>
          <t>No</t>
        </is>
      </c>
      <c r="F6" t="inlineStr"/>
      <c r="H6" t="inlineStr">
        <is>
          <t>Meditate</t>
        </is>
      </c>
      <c r="I6" s="24">
        <f>IFERROR(COUNTIFS(tblHabits[Habit],"Meditate",tblHabits[Done],"Yes",tblHabits[Date],"&gt;="&amp;EOMONTH(TODAY(),-1)+1,tblHabits[Date],"&lt;="&amp;EOMONTH(TODAY(),0))/COUNTIFS(tblHabits[Habit],"Meditate",tblHabits[Date],"&gt;="&amp;EOMONTH(TODAY(),-1)+1,tblHabits[Date],"&lt;="&amp;EOMONTH(TODAY(),0)),0)</f>
        <v/>
      </c>
    </row>
    <row r="7">
      <c r="A7" s="23" t="n">
        <v>46048.27331371576</v>
      </c>
      <c r="B7" t="inlineStr">
        <is>
          <t>Walk 10k steps</t>
        </is>
      </c>
      <c r="C7" t="inlineStr">
        <is>
          <t>Career</t>
        </is>
      </c>
      <c r="D7" t="n">
        <v>9</v>
      </c>
      <c r="E7" t="inlineStr">
        <is>
          <t>Yes</t>
        </is>
      </c>
      <c r="F7" t="inlineStr"/>
    </row>
    <row r="8">
      <c r="A8" s="23" t="n">
        <v>46048.27331371576</v>
      </c>
      <c r="B8" t="inlineStr">
        <is>
          <t>Meditate</t>
        </is>
      </c>
      <c r="C8" t="inlineStr">
        <is>
          <t>Health</t>
        </is>
      </c>
      <c r="D8" t="n">
        <v>7</v>
      </c>
      <c r="E8" t="inlineStr">
        <is>
          <t>Yes</t>
        </is>
      </c>
      <c r="F8" t="inlineStr"/>
    </row>
    <row r="9">
      <c r="A9" s="23" t="n">
        <v>46048.27331371576</v>
      </c>
      <c r="B9" t="inlineStr">
        <is>
          <t>Read 30min</t>
        </is>
      </c>
      <c r="C9" t="inlineStr">
        <is>
          <t>Personal</t>
        </is>
      </c>
      <c r="D9" t="n">
        <v>16</v>
      </c>
      <c r="E9" t="inlineStr">
        <is>
          <t>No</t>
        </is>
      </c>
      <c r="F9" t="inlineStr"/>
    </row>
    <row r="10">
      <c r="A10" s="23" t="n">
        <v>46048.27331371576</v>
      </c>
      <c r="B10" t="inlineStr">
        <is>
          <t>Track Finances</t>
        </is>
      </c>
      <c r="C10" t="inlineStr">
        <is>
          <t>Personal</t>
        </is>
      </c>
      <c r="D10" t="n">
        <v>18</v>
      </c>
      <c r="E10" t="inlineStr">
        <is>
          <t>No</t>
        </is>
      </c>
      <c r="F10" t="inlineStr"/>
    </row>
    <row r="11">
      <c r="A11" s="23" t="n">
        <v>46049.27331371576</v>
      </c>
      <c r="B11" t="inlineStr">
        <is>
          <t>Walk 10k steps</t>
        </is>
      </c>
      <c r="C11" t="inlineStr">
        <is>
          <t>Career</t>
        </is>
      </c>
      <c r="D11" t="n">
        <v>30</v>
      </c>
      <c r="E11" t="inlineStr">
        <is>
          <t>No</t>
        </is>
      </c>
      <c r="F11" t="inlineStr"/>
    </row>
    <row r="12">
      <c r="A12" s="23" t="n">
        <v>46049.27331371576</v>
      </c>
      <c r="B12" t="inlineStr">
        <is>
          <t>Morning Exercise</t>
        </is>
      </c>
      <c r="C12" t="inlineStr">
        <is>
          <t>Health</t>
        </is>
      </c>
      <c r="D12" t="n">
        <v>28</v>
      </c>
      <c r="E12" t="inlineStr">
        <is>
          <t>No</t>
        </is>
      </c>
      <c r="F12" t="inlineStr"/>
    </row>
    <row r="13">
      <c r="A13" s="23" t="n">
        <v>46049.27331371576</v>
      </c>
      <c r="B13" t="inlineStr">
        <is>
          <t>Track Finances</t>
        </is>
      </c>
      <c r="C13" t="inlineStr">
        <is>
          <t>Personal</t>
        </is>
      </c>
      <c r="D13" t="n">
        <v>2</v>
      </c>
      <c r="E13" t="inlineStr">
        <is>
          <t>Yes</t>
        </is>
      </c>
      <c r="F13" t="inlineStr"/>
    </row>
    <row r="14">
      <c r="A14" s="23" t="n">
        <v>46049.27331371576</v>
      </c>
      <c r="B14" t="inlineStr">
        <is>
          <t>Read 30min</t>
        </is>
      </c>
      <c r="C14" t="inlineStr">
        <is>
          <t>Health</t>
        </is>
      </c>
      <c r="D14" t="n">
        <v>22</v>
      </c>
      <c r="E14" t="inlineStr">
        <is>
          <t>No</t>
        </is>
      </c>
      <c r="F14" t="inlineStr"/>
    </row>
    <row r="15">
      <c r="A15" s="23" t="n">
        <v>46049.27331371576</v>
      </c>
      <c r="B15" t="inlineStr">
        <is>
          <t>Meditate</t>
        </is>
      </c>
      <c r="C15" t="inlineStr">
        <is>
          <t>Health</t>
        </is>
      </c>
      <c r="D15" t="n">
        <v>29</v>
      </c>
      <c r="E15" t="inlineStr">
        <is>
          <t>No</t>
        </is>
      </c>
      <c r="F15" t="inlineStr"/>
    </row>
    <row r="16">
      <c r="A16" s="23" t="n">
        <v>46050.27331371576</v>
      </c>
      <c r="B16" t="inlineStr">
        <is>
          <t>Read 30min</t>
        </is>
      </c>
      <c r="C16" t="inlineStr">
        <is>
          <t>Health</t>
        </is>
      </c>
      <c r="D16" t="n">
        <v>9</v>
      </c>
      <c r="E16" t="inlineStr">
        <is>
          <t>No</t>
        </is>
      </c>
      <c r="F16" t="inlineStr"/>
    </row>
    <row r="17">
      <c r="A17" s="23" t="n">
        <v>46050.27331371576</v>
      </c>
      <c r="B17" t="inlineStr">
        <is>
          <t>Track Finances</t>
        </is>
      </c>
      <c r="C17" t="inlineStr">
        <is>
          <t>Career</t>
        </is>
      </c>
      <c r="D17" t="n">
        <v>18</v>
      </c>
      <c r="E17" t="inlineStr">
        <is>
          <t>Yes</t>
        </is>
      </c>
      <c r="F17" t="inlineStr"/>
    </row>
    <row r="18">
      <c r="A18" s="23" t="n">
        <v>46050.27331371576</v>
      </c>
      <c r="B18" t="inlineStr">
        <is>
          <t>Meditate</t>
        </is>
      </c>
      <c r="C18" t="inlineStr">
        <is>
          <t>Personal</t>
        </is>
      </c>
      <c r="D18" t="n">
        <v>14</v>
      </c>
      <c r="E18" t="inlineStr">
        <is>
          <t>No</t>
        </is>
      </c>
      <c r="F18" t="inlineStr"/>
    </row>
    <row r="19">
      <c r="A19" s="23" t="n">
        <v>46051.27331371576</v>
      </c>
      <c r="B19" t="inlineStr">
        <is>
          <t>Morning Exercise</t>
        </is>
      </c>
      <c r="C19" t="inlineStr">
        <is>
          <t>Health</t>
        </is>
      </c>
      <c r="D19" t="n">
        <v>7</v>
      </c>
      <c r="E19" t="inlineStr">
        <is>
          <t>No</t>
        </is>
      </c>
      <c r="F19" t="inlineStr"/>
    </row>
    <row r="20">
      <c r="A20" s="23" t="n">
        <v>46051.27331371576</v>
      </c>
      <c r="B20" t="inlineStr">
        <is>
          <t>Read 30min</t>
        </is>
      </c>
      <c r="C20" t="inlineStr">
        <is>
          <t>Personal</t>
        </is>
      </c>
      <c r="D20" t="n">
        <v>28</v>
      </c>
      <c r="E20" t="inlineStr">
        <is>
          <t>No</t>
        </is>
      </c>
      <c r="F20" t="inlineStr"/>
    </row>
    <row r="21">
      <c r="A21" s="23" t="n">
        <v>46051.27331371576</v>
      </c>
      <c r="B21" t="inlineStr">
        <is>
          <t>Track Finances</t>
        </is>
      </c>
      <c r="C21" t="inlineStr">
        <is>
          <t>Personal</t>
        </is>
      </c>
      <c r="D21" t="n">
        <v>6</v>
      </c>
      <c r="E21" t="inlineStr">
        <is>
          <t>Yes</t>
        </is>
      </c>
      <c r="F21" t="inlineStr"/>
    </row>
    <row r="22">
      <c r="A22" s="23" t="n">
        <v>46051.27331371576</v>
      </c>
      <c r="B22" t="inlineStr">
        <is>
          <t>Meditate</t>
        </is>
      </c>
      <c r="C22" t="inlineStr">
        <is>
          <t>Health</t>
        </is>
      </c>
      <c r="D22" t="n">
        <v>20</v>
      </c>
      <c r="E22" t="inlineStr">
        <is>
          <t>Yes</t>
        </is>
      </c>
      <c r="F22" t="inlineStr"/>
    </row>
    <row r="23">
      <c r="A23" s="23" t="n">
        <v>46051.27331371576</v>
      </c>
      <c r="B23" t="inlineStr">
        <is>
          <t>Walk 10k steps</t>
        </is>
      </c>
      <c r="C23" t="inlineStr">
        <is>
          <t>Health</t>
        </is>
      </c>
      <c r="D23" t="n">
        <v>17</v>
      </c>
      <c r="E23" t="inlineStr">
        <is>
          <t>No</t>
        </is>
      </c>
      <c r="F23" t="inlineStr"/>
    </row>
    <row r="24">
      <c r="A24" s="23" t="n">
        <v>46052.27331371576</v>
      </c>
      <c r="B24" t="inlineStr">
        <is>
          <t>Read 30min</t>
        </is>
      </c>
      <c r="C24" t="inlineStr">
        <is>
          <t>Personal</t>
        </is>
      </c>
      <c r="D24" t="n">
        <v>18</v>
      </c>
      <c r="E24" t="inlineStr">
        <is>
          <t>Yes</t>
        </is>
      </c>
      <c r="F24" t="inlineStr"/>
    </row>
    <row r="25">
      <c r="A25" s="23" t="n">
        <v>46052.27331371576</v>
      </c>
      <c r="B25" t="inlineStr">
        <is>
          <t>Morning Exercise</t>
        </is>
      </c>
      <c r="C25" t="inlineStr">
        <is>
          <t>Career</t>
        </is>
      </c>
      <c r="D25" t="n">
        <v>2</v>
      </c>
      <c r="E25" t="inlineStr">
        <is>
          <t>Yes</t>
        </is>
      </c>
      <c r="F25" t="inlineStr"/>
    </row>
    <row r="26">
      <c r="A26" s="23" t="n">
        <v>46052.27331371576</v>
      </c>
      <c r="B26" t="inlineStr">
        <is>
          <t>Track Finances</t>
        </is>
      </c>
      <c r="C26" t="inlineStr">
        <is>
          <t>Health</t>
        </is>
      </c>
      <c r="D26" t="n">
        <v>3</v>
      </c>
      <c r="E26" t="inlineStr">
        <is>
          <t>No</t>
        </is>
      </c>
      <c r="F26" t="inlineStr"/>
    </row>
    <row r="27">
      <c r="A27" s="23" t="n">
        <v>46053.27331371576</v>
      </c>
      <c r="B27" t="inlineStr">
        <is>
          <t>Read 30min</t>
        </is>
      </c>
      <c r="C27" t="inlineStr">
        <is>
          <t>Personal</t>
        </is>
      </c>
      <c r="D27" t="n">
        <v>8</v>
      </c>
      <c r="E27" t="inlineStr">
        <is>
          <t>No</t>
        </is>
      </c>
      <c r="F27" t="inlineStr"/>
    </row>
    <row r="28">
      <c r="A28" s="23" t="n">
        <v>46053.27331371576</v>
      </c>
      <c r="B28" t="inlineStr">
        <is>
          <t>Track Finances</t>
        </is>
      </c>
      <c r="C28" t="inlineStr">
        <is>
          <t>Health</t>
        </is>
      </c>
      <c r="D28" t="n">
        <v>17</v>
      </c>
      <c r="E28" t="inlineStr">
        <is>
          <t>No</t>
        </is>
      </c>
      <c r="F28" t="inlineStr"/>
    </row>
    <row r="29">
      <c r="A29" s="23" t="n">
        <v>46053.27331371576</v>
      </c>
      <c r="B29" t="inlineStr">
        <is>
          <t>Walk 10k steps</t>
        </is>
      </c>
      <c r="C29" t="inlineStr">
        <is>
          <t>Career</t>
        </is>
      </c>
      <c r="D29" t="n">
        <v>8</v>
      </c>
      <c r="E29" t="inlineStr">
        <is>
          <t>Yes</t>
        </is>
      </c>
      <c r="F29" t="inlineStr"/>
    </row>
    <row r="30">
      <c r="A30" s="23" t="n">
        <v>46053.27331371576</v>
      </c>
      <c r="B30" t="inlineStr">
        <is>
          <t>Morning Exercise</t>
        </is>
      </c>
      <c r="C30" t="inlineStr">
        <is>
          <t>Health</t>
        </is>
      </c>
      <c r="D30" t="n">
        <v>18</v>
      </c>
      <c r="E30" t="inlineStr">
        <is>
          <t>No</t>
        </is>
      </c>
      <c r="F30" t="inlineStr"/>
    </row>
    <row r="31">
      <c r="A31" s="23" t="n">
        <v>46054.27331371576</v>
      </c>
      <c r="B31" t="inlineStr">
        <is>
          <t>Meditate</t>
        </is>
      </c>
      <c r="C31" t="inlineStr">
        <is>
          <t>Personal</t>
        </is>
      </c>
      <c r="D31" t="n">
        <v>19</v>
      </c>
      <c r="E31" t="inlineStr">
        <is>
          <t>Yes</t>
        </is>
      </c>
      <c r="F31" t="inlineStr"/>
    </row>
    <row r="32">
      <c r="A32" s="23" t="n">
        <v>46054.27331371576</v>
      </c>
      <c r="B32" t="inlineStr">
        <is>
          <t>Read 30min</t>
        </is>
      </c>
      <c r="C32" t="inlineStr">
        <is>
          <t>Personal</t>
        </is>
      </c>
      <c r="D32" t="n">
        <v>28</v>
      </c>
      <c r="E32" t="inlineStr">
        <is>
          <t>No</t>
        </is>
      </c>
      <c r="F32" t="inlineStr"/>
    </row>
    <row r="33">
      <c r="A33" s="23" t="n">
        <v>46054.27331371576</v>
      </c>
      <c r="B33" t="inlineStr">
        <is>
          <t>Track Finances</t>
        </is>
      </c>
      <c r="C33" t="inlineStr">
        <is>
          <t>Health</t>
        </is>
      </c>
      <c r="D33" t="n">
        <v>1</v>
      </c>
      <c r="E33" t="inlineStr">
        <is>
          <t>Yes</t>
        </is>
      </c>
      <c r="F33" t="inlineStr"/>
    </row>
    <row r="34">
      <c r="A34" s="23" t="n">
        <v>46055.27331371576</v>
      </c>
      <c r="B34" t="inlineStr">
        <is>
          <t>Track Finances</t>
        </is>
      </c>
      <c r="C34" t="inlineStr">
        <is>
          <t>Career</t>
        </is>
      </c>
      <c r="D34" t="n">
        <v>4</v>
      </c>
      <c r="E34" t="inlineStr">
        <is>
          <t>No</t>
        </is>
      </c>
      <c r="F34" t="inlineStr"/>
    </row>
    <row r="35">
      <c r="A35" s="23" t="n">
        <v>46055.27331371576</v>
      </c>
      <c r="B35" t="inlineStr">
        <is>
          <t>Walk 10k steps</t>
        </is>
      </c>
      <c r="C35" t="inlineStr">
        <is>
          <t>Health</t>
        </is>
      </c>
      <c r="D35" t="n">
        <v>6</v>
      </c>
      <c r="E35" t="inlineStr">
        <is>
          <t>No</t>
        </is>
      </c>
      <c r="F35" t="inlineStr"/>
    </row>
    <row r="36">
      <c r="A36" s="23" t="n">
        <v>46055.27331371576</v>
      </c>
      <c r="B36" t="inlineStr">
        <is>
          <t>Morning Exercise</t>
        </is>
      </c>
      <c r="C36" t="inlineStr">
        <is>
          <t>Personal</t>
        </is>
      </c>
      <c r="D36" t="n">
        <v>2</v>
      </c>
      <c r="E36" t="inlineStr">
        <is>
          <t>Yes</t>
        </is>
      </c>
      <c r="F36" t="inlineStr"/>
    </row>
    <row r="37">
      <c r="A37" s="23" t="n">
        <v>46055.27331371576</v>
      </c>
      <c r="B37" t="inlineStr">
        <is>
          <t>Read 30min</t>
        </is>
      </c>
      <c r="C37" t="inlineStr">
        <is>
          <t>Health</t>
        </is>
      </c>
      <c r="D37" t="n">
        <v>5</v>
      </c>
      <c r="E37" t="inlineStr">
        <is>
          <t>No</t>
        </is>
      </c>
      <c r="F37" t="inlineStr"/>
    </row>
    <row r="38">
      <c r="A38" s="23" t="n">
        <v>46055.27331371576</v>
      </c>
      <c r="B38" t="inlineStr">
        <is>
          <t>Meditate</t>
        </is>
      </c>
      <c r="C38" t="inlineStr">
        <is>
          <t>Career</t>
        </is>
      </c>
      <c r="D38" t="n">
        <v>14</v>
      </c>
      <c r="E38" t="inlineStr">
        <is>
          <t>Yes</t>
        </is>
      </c>
      <c r="F38" t="inlineStr"/>
    </row>
    <row r="39">
      <c r="A39" s="23" t="n">
        <v>46056.27331371576</v>
      </c>
      <c r="B39" t="inlineStr">
        <is>
          <t>Walk 10k steps</t>
        </is>
      </c>
      <c r="C39" t="inlineStr">
        <is>
          <t>Health</t>
        </is>
      </c>
      <c r="D39" t="n">
        <v>14</v>
      </c>
      <c r="E39" t="inlineStr">
        <is>
          <t>No</t>
        </is>
      </c>
      <c r="F39" t="inlineStr"/>
    </row>
    <row r="40">
      <c r="A40" s="23" t="n">
        <v>46056.27331371576</v>
      </c>
      <c r="B40" t="inlineStr">
        <is>
          <t>Track Finances</t>
        </is>
      </c>
      <c r="C40" t="inlineStr">
        <is>
          <t>Career</t>
        </is>
      </c>
      <c r="D40" t="n">
        <v>15</v>
      </c>
      <c r="E40" t="inlineStr">
        <is>
          <t>Yes</t>
        </is>
      </c>
      <c r="F40" t="inlineStr"/>
    </row>
    <row r="41">
      <c r="A41" s="23" t="n">
        <v>46056.27331371576</v>
      </c>
      <c r="B41" t="inlineStr">
        <is>
          <t>Read 30min</t>
        </is>
      </c>
      <c r="C41" t="inlineStr">
        <is>
          <t>Career</t>
        </is>
      </c>
      <c r="D41" t="n">
        <v>20</v>
      </c>
      <c r="E41" t="inlineStr">
        <is>
          <t>Yes</t>
        </is>
      </c>
      <c r="F41" t="inlineStr"/>
    </row>
    <row r="42">
      <c r="A42" s="23" t="n">
        <v>46056.27331371576</v>
      </c>
      <c r="B42" t="inlineStr">
        <is>
          <t>Meditate</t>
        </is>
      </c>
      <c r="C42" t="inlineStr">
        <is>
          <t>Health</t>
        </is>
      </c>
      <c r="D42" t="n">
        <v>5</v>
      </c>
      <c r="E42" t="inlineStr">
        <is>
          <t>Yes</t>
        </is>
      </c>
      <c r="F42" t="inlineStr"/>
    </row>
    <row r="43">
      <c r="A43" s="23" t="n">
        <v>46056.27331371576</v>
      </c>
      <c r="B43" t="inlineStr">
        <is>
          <t>Morning Exercise</t>
        </is>
      </c>
      <c r="C43" t="inlineStr">
        <is>
          <t>Health</t>
        </is>
      </c>
      <c r="D43" t="n">
        <v>21</v>
      </c>
      <c r="E43" t="inlineStr">
        <is>
          <t>No</t>
        </is>
      </c>
      <c r="F43" t="inlineStr"/>
    </row>
  </sheetData>
  <dataValidations count="1">
    <dataValidation sqref="E2:E1000" showDropDown="0" showInputMessage="0" showErrorMessage="0" allowBlank="1" type="list">
      <formula1>list_yes_no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7" max="7"/>
  </cols>
  <sheetData>
    <row r="1">
      <c r="A1" s="22" t="inlineStr">
        <is>
          <t>Task</t>
        </is>
      </c>
      <c r="B1" s="22" t="inlineStr">
        <is>
          <t>Category</t>
        </is>
      </c>
      <c r="C1" s="22" t="inlineStr">
        <is>
          <t>Priority</t>
        </is>
      </c>
      <c r="D1" s="22" t="inlineStr">
        <is>
          <t>Status</t>
        </is>
      </c>
      <c r="E1" s="22" t="inlineStr">
        <is>
          <t>DueDate</t>
        </is>
      </c>
      <c r="F1" s="22" t="inlineStr">
        <is>
          <t>CompletedDate</t>
        </is>
      </c>
      <c r="G1" s="22" t="inlineStr">
        <is>
          <t>Notes</t>
        </is>
      </c>
      <c r="H1" s="22" t="inlineStr">
        <is>
          <t>IsOverdue</t>
        </is>
      </c>
    </row>
    <row r="2">
      <c r="A2" t="inlineStr">
        <is>
          <t>Update resume</t>
        </is>
      </c>
      <c r="B2" t="inlineStr">
        <is>
          <t>Career</t>
        </is>
      </c>
      <c r="C2" t="inlineStr">
        <is>
          <t>High</t>
        </is>
      </c>
      <c r="D2" t="inlineStr">
        <is>
          <t>In Progress</t>
        </is>
      </c>
      <c r="E2" s="23" t="n">
        <v>46059.27331373691</v>
      </c>
      <c r="F2" t="inlineStr"/>
      <c r="G2" t="inlineStr">
        <is>
          <t>Focus on latest achievements</t>
        </is>
      </c>
      <c r="H2">
        <f>IF(AND(D2&lt;&gt;"Completed",E2&lt;&gt;"",E2&lt;TODAY()),"Yes","No")</f>
        <v/>
      </c>
    </row>
    <row r="3">
      <c r="A3" t="inlineStr">
        <is>
          <t>Schedule dentist appointment</t>
        </is>
      </c>
      <c r="B3" t="inlineStr">
        <is>
          <t>Health</t>
        </is>
      </c>
      <c r="C3" t="inlineStr">
        <is>
          <t>Medium</t>
        </is>
      </c>
      <c r="D3" t="inlineStr">
        <is>
          <t>Today</t>
        </is>
      </c>
      <c r="E3" s="23" t="n">
        <v>46056.27331373698</v>
      </c>
      <c r="F3" t="inlineStr"/>
      <c r="G3" t="inlineStr"/>
      <c r="H3">
        <f>IF(AND(D3&lt;&gt;"Completed",E3&lt;&gt;"",E3&lt;TODAY()),"Yes","No")</f>
        <v/>
      </c>
    </row>
    <row r="4">
      <c r="A4" t="inlineStr">
        <is>
          <t>Review Q1 finances</t>
        </is>
      </c>
      <c r="B4" t="inlineStr">
        <is>
          <t>Personal</t>
        </is>
      </c>
      <c r="C4" t="inlineStr">
        <is>
          <t>High</t>
        </is>
      </c>
      <c r="D4" t="inlineStr">
        <is>
          <t>Backlog</t>
        </is>
      </c>
      <c r="E4" s="23" t="n">
        <v>46063.27331373698</v>
      </c>
      <c r="F4" t="inlineStr"/>
      <c r="G4" t="inlineStr">
        <is>
          <t>Check all accounts</t>
        </is>
      </c>
      <c r="H4">
        <f>IF(AND(D4&lt;&gt;"Completed",E4&lt;&gt;"",E4&lt;TODAY()),"Yes","No")</f>
        <v/>
      </c>
    </row>
    <row r="5">
      <c r="A5" t="inlineStr">
        <is>
          <t>Plan Valentine's Day</t>
        </is>
      </c>
      <c r="B5" t="inlineStr">
        <is>
          <t>Relationships</t>
        </is>
      </c>
      <c r="C5" t="inlineStr">
        <is>
          <t>Medium</t>
        </is>
      </c>
      <c r="D5" t="inlineStr">
        <is>
          <t>Completed</t>
        </is>
      </c>
      <c r="E5" s="23" t="n">
        <v>46054.27331373699</v>
      </c>
      <c r="F5" s="23" t="n">
        <v>46055.273313737</v>
      </c>
      <c r="G5" t="inlineStr">
        <is>
          <t>Reservations made</t>
        </is>
      </c>
      <c r="H5">
        <f>IF(AND(D5&lt;&gt;"Completed",E5&lt;&gt;"",E5&lt;TODAY()),"Yes","No")</f>
        <v/>
      </c>
    </row>
    <row r="6">
      <c r="A6" t="inlineStr">
        <is>
          <t>Launch new product</t>
        </is>
      </c>
      <c r="B6" t="inlineStr">
        <is>
          <t>Business</t>
        </is>
      </c>
      <c r="C6" t="inlineStr">
        <is>
          <t>High</t>
        </is>
      </c>
      <c r="D6" t="inlineStr">
        <is>
          <t>In Progress</t>
        </is>
      </c>
      <c r="E6" s="23" t="n">
        <v>46070.27331373702</v>
      </c>
      <c r="F6" t="inlineStr"/>
      <c r="G6" t="inlineStr">
        <is>
          <t>Final testing phase</t>
        </is>
      </c>
      <c r="H6">
        <f>IF(AND(D6&lt;&gt;"Completed",E6&lt;&gt;"",E6&lt;TODAY()),"Yes","No")</f>
        <v/>
      </c>
    </row>
    <row r="7">
      <c r="A7" t="inlineStr">
        <is>
          <t>Read "Atomic Habits"</t>
        </is>
      </c>
      <c r="B7" t="inlineStr">
        <is>
          <t>Personal</t>
        </is>
      </c>
      <c r="C7" t="inlineStr">
        <is>
          <t>Low</t>
        </is>
      </c>
      <c r="D7" t="inlineStr">
        <is>
          <t>Backlog</t>
        </is>
      </c>
      <c r="E7" s="23" t="n">
        <v>46086.27331373702</v>
      </c>
      <c r="F7" t="inlineStr"/>
      <c r="G7" t="inlineStr">
        <is>
          <t>50% complete</t>
        </is>
      </c>
      <c r="H7">
        <f>IF(AND(D7&lt;&gt;"Completed",E7&lt;&gt;"",E7&lt;TODAY()),"Yes","No")</f>
        <v/>
      </c>
    </row>
    <row r="8">
      <c r="A8" t="inlineStr">
        <is>
          <t>Update LinkedIn profile</t>
        </is>
      </c>
      <c r="B8" t="inlineStr">
        <is>
          <t>Career</t>
        </is>
      </c>
      <c r="C8" t="inlineStr">
        <is>
          <t>Medium</t>
        </is>
      </c>
      <c r="D8" t="inlineStr">
        <is>
          <t>Today</t>
        </is>
      </c>
      <c r="E8" s="23" t="n">
        <v>46056.27331373702</v>
      </c>
      <c r="F8" t="inlineStr"/>
      <c r="G8" t="inlineStr"/>
      <c r="H8">
        <f>IF(AND(D8&lt;&gt;"Completed",E8&lt;&gt;"",E8&lt;TODAY()),"Yes","No")</f>
        <v/>
      </c>
    </row>
    <row r="9">
      <c r="A9" t="inlineStr">
        <is>
          <t>Meal prep for week</t>
        </is>
      </c>
      <c r="B9" t="inlineStr">
        <is>
          <t>Health</t>
        </is>
      </c>
      <c r="C9" t="inlineStr">
        <is>
          <t>Medium</t>
        </is>
      </c>
      <c r="D9" t="inlineStr">
        <is>
          <t>Completed</t>
        </is>
      </c>
      <c r="E9" s="23" t="n">
        <v>46055.27331373702</v>
      </c>
      <c r="F9" s="23" t="n">
        <v>46055.27331373704</v>
      </c>
      <c r="G9" t="inlineStr"/>
      <c r="H9">
        <f>IF(AND(D9&lt;&gt;"Completed",E9&lt;&gt;"",E9&lt;TODAY()),"Yes","No")</f>
        <v/>
      </c>
    </row>
  </sheetData>
  <conditionalFormatting sqref="A2:H9">
    <cfRule type="expression" priority="1" dxfId="0">
      <formula>$H2="Yes"</formula>
    </cfRule>
    <cfRule type="expression" priority="2" dxfId="1">
      <formula>$D2="Completed"</formula>
    </cfRule>
  </conditionalFormatting>
  <dataValidations count="3">
    <dataValidation sqref="B2:B1000" showDropDown="0" showInputMessage="0" showErrorMessage="0" allowBlank="1" type="list">
      <formula1>list_task_category</formula1>
    </dataValidation>
    <dataValidation sqref="C2:C1000" showDropDown="0" showInputMessage="0" showErrorMessage="0" allowBlank="1" type="list">
      <formula1>list_task_priority</formula1>
    </dataValidation>
    <dataValidation sqref="D2:D1000" showDropDown="0" showInputMessage="0" showErrorMessage="0" allowBlank="1" type="list">
      <formula1>list_task_status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10" max="10"/>
  </cols>
  <sheetData>
    <row r="1">
      <c r="A1" s="22" t="inlineStr">
        <is>
          <t>Goal</t>
        </is>
      </c>
      <c r="B1" s="22" t="inlineStr">
        <is>
          <t>Category</t>
        </is>
      </c>
      <c r="C1" s="22" t="inlineStr">
        <is>
          <t>Timeframe</t>
        </is>
      </c>
      <c r="D1" s="22" t="inlineStr">
        <is>
          <t>Status</t>
        </is>
      </c>
      <c r="E1" s="22" t="inlineStr">
        <is>
          <t>StartDate</t>
        </is>
      </c>
      <c r="F1" s="22" t="inlineStr">
        <is>
          <t>TargetDate</t>
        </is>
      </c>
      <c r="G1" s="22" t="inlineStr">
        <is>
          <t>TargetValue</t>
        </is>
      </c>
      <c r="H1" s="22" t="inlineStr">
        <is>
          <t>CurrentValue</t>
        </is>
      </c>
      <c r="I1" s="22" t="inlineStr">
        <is>
          <t>ProgressPct</t>
        </is>
      </c>
      <c r="J1" s="22" t="inlineStr">
        <is>
          <t>Notes</t>
        </is>
      </c>
    </row>
    <row r="2">
      <c r="A2" t="inlineStr">
        <is>
          <t>Land new job with $120k+ salary</t>
        </is>
      </c>
      <c r="B2" t="inlineStr">
        <is>
          <t>Career</t>
        </is>
      </c>
      <c r="C2" t="inlineStr">
        <is>
          <t>Medium</t>
        </is>
      </c>
      <c r="D2" t="inlineStr">
        <is>
          <t>Active</t>
        </is>
      </c>
      <c r="E2" s="23" t="n">
        <v>46023</v>
      </c>
      <c r="F2" s="23" t="n">
        <v>46203</v>
      </c>
      <c r="G2" t="n">
        <v>1</v>
      </c>
      <c r="H2" t="n">
        <v>0.3</v>
      </c>
      <c r="I2" s="24">
        <f>IF(G2="","",MIN(1,H2/G2))</f>
        <v/>
      </c>
      <c r="J2" t="inlineStr">
        <is>
          <t>Applied to 15 companies so far</t>
        </is>
      </c>
    </row>
    <row r="3">
      <c r="A3" t="inlineStr">
        <is>
          <t>Save $10,000 emergency fund</t>
        </is>
      </c>
      <c r="B3" t="inlineStr">
        <is>
          <t>Personal</t>
        </is>
      </c>
      <c r="C3" t="inlineStr">
        <is>
          <t>Short</t>
        </is>
      </c>
      <c r="D3" t="inlineStr">
        <is>
          <t>Active</t>
        </is>
      </c>
      <c r="E3" s="23" t="n">
        <v>46023</v>
      </c>
      <c r="F3" s="23" t="n">
        <v>46387</v>
      </c>
      <c r="G3" t="n">
        <v>10000</v>
      </c>
      <c r="H3" t="n">
        <v>4500</v>
      </c>
      <c r="I3" s="24">
        <f>IF(G3="","",MIN(1,H3/G3))</f>
        <v/>
      </c>
      <c r="J3" t="inlineStr">
        <is>
          <t>On track</t>
        </is>
      </c>
    </row>
    <row r="4">
      <c r="A4" t="inlineStr">
        <is>
          <t>Launch 3 new Etsy products</t>
        </is>
      </c>
      <c r="B4" t="inlineStr">
        <is>
          <t>Business</t>
        </is>
      </c>
      <c r="C4" t="inlineStr">
        <is>
          <t>Short</t>
        </is>
      </c>
      <c r="D4" t="inlineStr">
        <is>
          <t>Active</t>
        </is>
      </c>
      <c r="E4" s="23" t="n">
        <v>46037</v>
      </c>
      <c r="F4" s="23" t="n">
        <v>46112</v>
      </c>
      <c r="G4" t="n">
        <v>3</v>
      </c>
      <c r="H4" t="n">
        <v>1</v>
      </c>
      <c r="I4" s="24">
        <f>IF(G4="","",MIN(1,H4/G4))</f>
        <v/>
      </c>
      <c r="J4" t="inlineStr">
        <is>
          <t>1st product launched</t>
        </is>
      </c>
    </row>
    <row r="5">
      <c r="A5" t="inlineStr">
        <is>
          <t>Read 24 books this year</t>
        </is>
      </c>
      <c r="B5" t="inlineStr">
        <is>
          <t>Personal</t>
        </is>
      </c>
      <c r="C5" t="inlineStr">
        <is>
          <t>Long</t>
        </is>
      </c>
      <c r="D5" t="inlineStr">
        <is>
          <t>Active</t>
        </is>
      </c>
      <c r="E5" s="23" t="n">
        <v>46023</v>
      </c>
      <c r="F5" s="23" t="n">
        <v>46387</v>
      </c>
      <c r="G5" t="n">
        <v>24</v>
      </c>
      <c r="H5" t="n">
        <v>3</v>
      </c>
      <c r="I5" s="24">
        <f>IF(G5="","",MIN(1,H5/G5))</f>
        <v/>
      </c>
      <c r="J5" t="inlineStr">
        <is>
          <t>2 books per month goal</t>
        </is>
      </c>
    </row>
    <row r="6">
      <c r="A6" t="inlineStr">
        <is>
          <t>Get pregnant</t>
        </is>
      </c>
      <c r="B6" t="inlineStr">
        <is>
          <t>Health</t>
        </is>
      </c>
      <c r="C6" t="inlineStr">
        <is>
          <t>Medium</t>
        </is>
      </c>
      <c r="D6" t="inlineStr">
        <is>
          <t>Active</t>
        </is>
      </c>
      <c r="E6" s="23" t="n">
        <v>45962</v>
      </c>
      <c r="F6" s="23" t="n">
        <v>46265</v>
      </c>
      <c r="G6" t="n">
        <v>1</v>
      </c>
      <c r="H6" t="n">
        <v>0.5</v>
      </c>
      <c r="I6" s="24">
        <f>IF(G6="","",MIN(1,H6/G6))</f>
        <v/>
      </c>
      <c r="J6" t="inlineStr">
        <is>
          <t>Tracking cycles actively</t>
        </is>
      </c>
    </row>
    <row r="7">
      <c r="A7" t="inlineStr">
        <is>
          <t>Build professional network</t>
        </is>
      </c>
      <c r="B7" t="inlineStr">
        <is>
          <t>Career</t>
        </is>
      </c>
      <c r="C7" t="inlineStr">
        <is>
          <t>Long</t>
        </is>
      </c>
      <c r="D7" t="inlineStr">
        <is>
          <t>Active</t>
        </is>
      </c>
      <c r="E7" s="23" t="n">
        <v>46023</v>
      </c>
      <c r="F7" s="23" t="n">
        <v>46387</v>
      </c>
      <c r="G7" t="n">
        <v>50</v>
      </c>
      <c r="H7" t="n">
        <v>12</v>
      </c>
      <c r="I7" s="24">
        <f>IF(G7="","",MIN(1,H7/G7))</f>
        <v/>
      </c>
      <c r="J7" t="inlineStr">
        <is>
          <t>Attending monthly meetups</t>
        </is>
      </c>
    </row>
  </sheetData>
  <dataValidations count="3">
    <dataValidation sqref="B2:B1000" showDropDown="0" showInputMessage="0" showErrorMessage="0" allowBlank="1" type="list">
      <formula1>list_task_category</formula1>
    </dataValidation>
    <dataValidation sqref="C2:C1000" showDropDown="0" showInputMessage="0" showErrorMessage="0" allowBlank="1" type="list">
      <formula1>list_goal_timeframe</formula1>
    </dataValidation>
    <dataValidation sqref="D2:D1000" showDropDown="0" showInputMessage="0" showErrorMessage="0" allowBlank="1" type="list">
      <formula1>list_goal_status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8" max="8"/>
    <col width="18" customWidth="1" min="10" max="10"/>
    <col width="15" customWidth="1" min="11" max="11"/>
  </cols>
  <sheetData>
    <row r="1">
      <c r="A1" s="22" t="inlineStr">
        <is>
          <t>Date</t>
        </is>
      </c>
      <c r="B1" s="22" t="inlineStr">
        <is>
          <t>Description</t>
        </is>
      </c>
      <c r="C1" s="22" t="inlineStr">
        <is>
          <t>Category</t>
        </is>
      </c>
      <c r="D1" s="22" t="inlineStr">
        <is>
          <t>Type</t>
        </is>
      </c>
      <c r="E1" s="22" t="inlineStr">
        <is>
          <t>Amount</t>
        </is>
      </c>
      <c r="F1" s="22" t="inlineStr">
        <is>
          <t>Account</t>
        </is>
      </c>
      <c r="G1" s="22" t="inlineStr">
        <is>
          <t>Owner</t>
        </is>
      </c>
      <c r="H1" s="22" t="inlineStr">
        <is>
          <t>Notes</t>
        </is>
      </c>
      <c r="J1" s="3" t="inlineStr">
        <is>
          <t>MONTHLY SUMMARY</t>
        </is>
      </c>
    </row>
    <row r="2">
      <c r="A2" s="23" t="n">
        <v>46055.27331376212</v>
      </c>
      <c r="B2" t="inlineStr">
        <is>
          <t>Salary - Main Job</t>
        </is>
      </c>
      <c r="C2" t="inlineStr">
        <is>
          <t>Income</t>
        </is>
      </c>
      <c r="D2" t="inlineStr">
        <is>
          <t>Income</t>
        </is>
      </c>
      <c r="E2" s="25" t="n">
        <v>4500</v>
      </c>
      <c r="F2" t="inlineStr">
        <is>
          <t>Chase Checking</t>
        </is>
      </c>
      <c r="G2" t="inlineStr">
        <is>
          <t>Michelle</t>
        </is>
      </c>
      <c r="H2" t="inlineStr">
        <is>
          <t>Bi-weekly payroll</t>
        </is>
      </c>
    </row>
    <row r="3">
      <c r="A3" s="23" t="n">
        <v>46069.27331376212</v>
      </c>
      <c r="B3" t="inlineStr">
        <is>
          <t>Salary - Main Job</t>
        </is>
      </c>
      <c r="C3" t="inlineStr">
        <is>
          <t>Income</t>
        </is>
      </c>
      <c r="D3" t="inlineStr">
        <is>
          <t>Income</t>
        </is>
      </c>
      <c r="E3" s="25" t="n">
        <v>4500</v>
      </c>
      <c r="F3" t="inlineStr">
        <is>
          <t>Chase Checking</t>
        </is>
      </c>
      <c r="G3" t="inlineStr">
        <is>
          <t>Michelle</t>
        </is>
      </c>
      <c r="H3" t="inlineStr">
        <is>
          <t>Bi-weekly payroll</t>
        </is>
      </c>
      <c r="J3" s="7" t="inlineStr">
        <is>
          <t>Current Month</t>
        </is>
      </c>
    </row>
    <row r="4">
      <c r="A4" s="23" t="n">
        <v>46064.27331376212</v>
      </c>
      <c r="B4" t="inlineStr">
        <is>
          <t>Etsy Sales</t>
        </is>
      </c>
      <c r="C4" t="inlineStr">
        <is>
          <t>Business</t>
        </is>
      </c>
      <c r="D4" t="inlineStr">
        <is>
          <t>Income</t>
        </is>
      </c>
      <c r="E4" s="25" t="n">
        <v>450</v>
      </c>
      <c r="F4" t="inlineStr">
        <is>
          <t>Business Account</t>
        </is>
      </c>
      <c r="G4" t="inlineStr">
        <is>
          <t>Michelle</t>
        </is>
      </c>
      <c r="H4" t="inlineStr">
        <is>
          <t>Wedding planners sold</t>
        </is>
      </c>
      <c r="J4" s="7" t="inlineStr">
        <is>
          <t>Total Income</t>
        </is>
      </c>
      <c r="K4" s="26">
        <f>SUMIFS(tblFinance[Amount],tblFinance[Type],"Income",tblFinance[Date],"&gt;="&amp;EOMONTH(TODAY(),-1)+1,tblFinance[Date],"&lt;="&amp;EOMONTH(TODAY(),0))</f>
        <v/>
      </c>
    </row>
    <row r="5">
      <c r="A5" s="23" t="n">
        <v>46055.27331376212</v>
      </c>
      <c r="B5" t="inlineStr">
        <is>
          <t>Rent Payment</t>
        </is>
      </c>
      <c r="C5" t="inlineStr">
        <is>
          <t>Housing</t>
        </is>
      </c>
      <c r="D5" t="inlineStr">
        <is>
          <t>Expense</t>
        </is>
      </c>
      <c r="E5" s="25" t="n">
        <v>1800</v>
      </c>
      <c r="F5" t="inlineStr">
        <is>
          <t>Chase Checking</t>
        </is>
      </c>
      <c r="G5" t="inlineStr">
        <is>
          <t>Michelle</t>
        </is>
      </c>
      <c r="H5" t="inlineStr">
        <is>
          <t>Monthly rent</t>
        </is>
      </c>
      <c r="J5" s="7" t="inlineStr">
        <is>
          <t>Total Expenses</t>
        </is>
      </c>
      <c r="K5" s="27">
        <f>SUMIFS(tblFinance[Amount],tblFinance[Type],"Expense",tblFinance[Date],"&gt;="&amp;EOMONTH(TODAY(),-1)+1,tblFinance[Date],"&lt;="&amp;EOMONTH(TODAY(),0))</f>
        <v/>
      </c>
    </row>
    <row r="6">
      <c r="A6" s="23" t="n">
        <v>46057.27331376212</v>
      </c>
      <c r="B6" t="inlineStr">
        <is>
          <t>Electric Bill</t>
        </is>
      </c>
      <c r="C6" t="inlineStr">
        <is>
          <t>Utilities</t>
        </is>
      </c>
      <c r="D6" t="inlineStr">
        <is>
          <t>Expense</t>
        </is>
      </c>
      <c r="E6" s="25" t="n">
        <v>120</v>
      </c>
      <c r="F6" t="inlineStr">
        <is>
          <t>Chase Checking</t>
        </is>
      </c>
      <c r="G6" t="inlineStr">
        <is>
          <t>Michelle</t>
        </is>
      </c>
      <c r="H6" t="inlineStr">
        <is>
          <t>January usage</t>
        </is>
      </c>
      <c r="J6" s="7" t="inlineStr">
        <is>
          <t>Net Cash Flow</t>
        </is>
      </c>
      <c r="K6" s="28">
        <f>K4-K5</f>
        <v/>
      </c>
    </row>
    <row r="7">
      <c r="A7" s="23" t="n">
        <v>46059.27331376212</v>
      </c>
      <c r="B7" t="inlineStr">
        <is>
          <t>Trader Joes</t>
        </is>
      </c>
      <c r="C7" t="inlineStr">
        <is>
          <t>Groceries</t>
        </is>
      </c>
      <c r="D7" t="inlineStr">
        <is>
          <t>Expense</t>
        </is>
      </c>
      <c r="E7" s="25" t="n">
        <v>85</v>
      </c>
      <c r="F7" t="inlineStr">
        <is>
          <t>Chase Credit</t>
        </is>
      </c>
      <c r="G7" t="inlineStr">
        <is>
          <t>Michelle</t>
        </is>
      </c>
      <c r="H7" t="inlineStr">
        <is>
          <t>Weekly shopping</t>
        </is>
      </c>
    </row>
    <row r="8">
      <c r="A8" s="23" t="n">
        <v>46061.27331376212</v>
      </c>
      <c r="B8" t="inlineStr">
        <is>
          <t>Target</t>
        </is>
      </c>
      <c r="C8" t="inlineStr">
        <is>
          <t>Shopping</t>
        </is>
      </c>
      <c r="D8" t="inlineStr">
        <is>
          <t>Expense</t>
        </is>
      </c>
      <c r="E8" s="25" t="n">
        <v>45</v>
      </c>
      <c r="F8" t="inlineStr">
        <is>
          <t>Chase Credit</t>
        </is>
      </c>
      <c r="G8" t="inlineStr">
        <is>
          <t>Michelle</t>
        </is>
      </c>
      <c r="H8" t="inlineStr">
        <is>
          <t>Household items</t>
        </is>
      </c>
    </row>
    <row r="9">
      <c r="A9" s="23" t="n">
        <v>46062.27331376212</v>
      </c>
      <c r="B9" t="inlineStr">
        <is>
          <t>Starbucks</t>
        </is>
      </c>
      <c r="C9" t="inlineStr">
        <is>
          <t>Dining</t>
        </is>
      </c>
      <c r="D9" t="inlineStr">
        <is>
          <t>Expense</t>
        </is>
      </c>
      <c r="E9" s="25" t="n">
        <v>12</v>
      </c>
      <c r="F9" t="inlineStr">
        <is>
          <t>Chase Credit</t>
        </is>
      </c>
      <c r="G9" t="inlineStr">
        <is>
          <t>Michelle</t>
        </is>
      </c>
      <c r="H9" t="inlineStr">
        <is>
          <t>Coffee meeting</t>
        </is>
      </c>
    </row>
    <row r="10">
      <c r="A10" s="23" t="n">
        <v>46064.27331376212</v>
      </c>
      <c r="B10" t="inlineStr">
        <is>
          <t>LA Fitness</t>
        </is>
      </c>
      <c r="C10" t="inlineStr">
        <is>
          <t>Fitness</t>
        </is>
      </c>
      <c r="D10" t="inlineStr">
        <is>
          <t>Expense</t>
        </is>
      </c>
      <c r="E10" s="25" t="n">
        <v>50</v>
      </c>
      <c r="F10" t="inlineStr">
        <is>
          <t>Chase Checking</t>
        </is>
      </c>
      <c r="G10" t="inlineStr">
        <is>
          <t>Michelle</t>
        </is>
      </c>
      <c r="H10" t="inlineStr">
        <is>
          <t>Monthly membership</t>
        </is>
      </c>
    </row>
    <row r="11">
      <c r="A11" s="23" t="n">
        <v>46066.27331376212</v>
      </c>
      <c r="B11" t="inlineStr">
        <is>
          <t>Whole Foods</t>
        </is>
      </c>
      <c r="C11" t="inlineStr">
        <is>
          <t>Groceries</t>
        </is>
      </c>
      <c r="D11" t="inlineStr">
        <is>
          <t>Expense</t>
        </is>
      </c>
      <c r="E11" s="25" t="n">
        <v>95</v>
      </c>
      <c r="F11" t="inlineStr">
        <is>
          <t>Chase Credit</t>
        </is>
      </c>
      <c r="G11" t="inlineStr">
        <is>
          <t>Michelle</t>
        </is>
      </c>
      <c r="H11" t="inlineStr">
        <is>
          <t>Weekly shopping</t>
        </is>
      </c>
    </row>
    <row r="12">
      <c r="A12" s="23" t="n">
        <v>46068.27331376212</v>
      </c>
      <c r="B12" t="inlineStr">
        <is>
          <t>Netflix</t>
        </is>
      </c>
      <c r="C12" t="inlineStr">
        <is>
          <t>Subscriptions</t>
        </is>
      </c>
      <c r="D12" t="inlineStr">
        <is>
          <t>Expense</t>
        </is>
      </c>
      <c r="E12" s="25" t="n">
        <v>15.99</v>
      </c>
      <c r="F12" t="inlineStr">
        <is>
          <t>Chase Credit</t>
        </is>
      </c>
      <c r="G12" t="inlineStr">
        <is>
          <t>Michelle</t>
        </is>
      </c>
      <c r="H12" t="inlineStr">
        <is>
          <t>Monthly subscription</t>
        </is>
      </c>
    </row>
    <row r="13">
      <c r="A13" s="23" t="n">
        <v>46070.27331376212</v>
      </c>
      <c r="B13" t="inlineStr">
        <is>
          <t>Gas Station</t>
        </is>
      </c>
      <c r="C13" t="inlineStr">
        <is>
          <t>Transportation</t>
        </is>
      </c>
      <c r="D13" t="inlineStr">
        <is>
          <t>Expense</t>
        </is>
      </c>
      <c r="E13" s="25" t="n">
        <v>45</v>
      </c>
      <c r="F13" t="inlineStr">
        <is>
          <t>Chase Credit</t>
        </is>
      </c>
      <c r="G13" t="inlineStr">
        <is>
          <t>Michelle</t>
        </is>
      </c>
      <c r="H13" t="inlineStr">
        <is>
          <t>Fill up</t>
        </is>
      </c>
    </row>
    <row r="14">
      <c r="A14" s="23" t="n">
        <v>46072.27331376212</v>
      </c>
      <c r="B14" t="inlineStr">
        <is>
          <t>Amazon</t>
        </is>
      </c>
      <c r="C14" t="inlineStr">
        <is>
          <t>Shopping</t>
        </is>
      </c>
      <c r="D14" t="inlineStr">
        <is>
          <t>Expense</t>
        </is>
      </c>
      <c r="E14" s="25" t="n">
        <v>67</v>
      </c>
      <c r="F14" t="inlineStr">
        <is>
          <t>Chase Credit</t>
        </is>
      </c>
      <c r="G14" t="inlineStr">
        <is>
          <t>Michelle</t>
        </is>
      </c>
      <c r="H14" t="inlineStr">
        <is>
          <t>Office supplies</t>
        </is>
      </c>
    </row>
  </sheetData>
  <dataValidations count="2">
    <dataValidation sqref="C2:C1000" showDropDown="0" showInputMessage="0" showErrorMessage="0" allowBlank="1" type="list">
      <formula1>list_finance_category</formula1>
    </dataValidation>
    <dataValidation sqref="D2:D1000" showDropDown="0" showInputMessage="0" showErrorMessage="0" allowBlank="1" type="list">
      <formula1>list_finance_type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6" max="6"/>
    <col width="25" customWidth="1" min="11" max="11"/>
    <col width="30" customWidth="1" min="13" max="13"/>
    <col width="18" customWidth="1" min="15" max="15"/>
  </cols>
  <sheetData>
    <row r="1">
      <c r="A1" s="22" t="inlineStr">
        <is>
          <t>Company</t>
        </is>
      </c>
      <c r="B1" s="22" t="inlineStr">
        <is>
          <t>Role</t>
        </is>
      </c>
      <c r="C1" s="22" t="inlineStr">
        <is>
          <t>Level</t>
        </is>
      </c>
      <c r="D1" s="22" t="inlineStr">
        <is>
          <t>SalaryMin</t>
        </is>
      </c>
      <c r="E1" s="22" t="inlineStr">
        <is>
          <t>SalaryMax</t>
        </is>
      </c>
      <c r="F1" s="22" t="inlineStr">
        <is>
          <t>Location</t>
        </is>
      </c>
      <c r="G1" s="22" t="inlineStr">
        <is>
          <t>Remote</t>
        </is>
      </c>
      <c r="H1" s="22" t="inlineStr">
        <is>
          <t>Status</t>
        </is>
      </c>
      <c r="I1" s="22" t="inlineStr">
        <is>
          <t>AppliedDate</t>
        </is>
      </c>
      <c r="J1" s="22" t="inlineStr">
        <is>
          <t>LastContact</t>
        </is>
      </c>
      <c r="K1" s="22" t="inlineStr">
        <is>
          <t>NextAction</t>
        </is>
      </c>
      <c r="L1" s="22" t="inlineStr">
        <is>
          <t>NextActionDate</t>
        </is>
      </c>
      <c r="M1" s="22" t="inlineStr">
        <is>
          <t>Notes</t>
        </is>
      </c>
      <c r="O1" s="3" t="inlineStr">
        <is>
          <t>PIPELINE SUMMARY</t>
        </is>
      </c>
    </row>
    <row r="2">
      <c r="A2" t="inlineStr">
        <is>
          <t>Google</t>
        </is>
      </c>
      <c r="B2" t="inlineStr">
        <is>
          <t>Product Manager</t>
        </is>
      </c>
      <c r="C2" t="inlineStr">
        <is>
          <t>Senior</t>
        </is>
      </c>
      <c r="D2" s="29" t="n">
        <v>140000</v>
      </c>
      <c r="E2" s="29" t="n">
        <v>180000</v>
      </c>
      <c r="F2" t="inlineStr">
        <is>
          <t>Mountain View, CA</t>
        </is>
      </c>
      <c r="G2" t="inlineStr">
        <is>
          <t>Yes</t>
        </is>
      </c>
      <c r="H2" t="inlineStr">
        <is>
          <t>Interview</t>
        </is>
      </c>
      <c r="I2" s="23" t="n">
        <v>46032</v>
      </c>
      <c r="J2" s="23" t="n">
        <v>46050</v>
      </c>
      <c r="K2" t="inlineStr">
        <is>
          <t>Prepare for final round</t>
        </is>
      </c>
      <c r="L2" s="23" t="n">
        <v>46058</v>
      </c>
      <c r="M2" t="inlineStr">
        <is>
          <t>Very interested - great culture fit</t>
        </is>
      </c>
    </row>
    <row r="3">
      <c r="A3" t="inlineStr">
        <is>
          <t>Microsoft</t>
        </is>
      </c>
      <c r="B3" t="inlineStr">
        <is>
          <t>Program Manager</t>
        </is>
      </c>
      <c r="C3" t="inlineStr">
        <is>
          <t>Mid-level</t>
        </is>
      </c>
      <c r="D3" s="29" t="n">
        <v>120000</v>
      </c>
      <c r="E3" s="29" t="n">
        <v>150000</v>
      </c>
      <c r="F3" t="inlineStr">
        <is>
          <t>Seattle, WA</t>
        </is>
      </c>
      <c r="G3" t="inlineStr">
        <is>
          <t>Yes</t>
        </is>
      </c>
      <c r="H3" t="inlineStr">
        <is>
          <t>Applied</t>
        </is>
      </c>
      <c r="I3" s="23" t="n">
        <v>46037</v>
      </c>
      <c r="J3" s="23" t="n">
        <v>46037</v>
      </c>
      <c r="K3" t="inlineStr">
        <is>
          <t>Follow up if no response</t>
        </is>
      </c>
      <c r="L3" s="23" t="n">
        <v>46054</v>
      </c>
      <c r="M3" t="inlineStr">
        <is>
          <t>Strong technical team</t>
        </is>
      </c>
      <c r="O3" s="7" t="inlineStr">
        <is>
          <t>Status Counts</t>
        </is>
      </c>
    </row>
    <row r="4">
      <c r="A4" t="inlineStr">
        <is>
          <t>Amazon</t>
        </is>
      </c>
      <c r="B4" t="inlineStr">
        <is>
          <t>Technical Program Manager</t>
        </is>
      </c>
      <c r="C4" t="inlineStr">
        <is>
          <t>Senior</t>
        </is>
      </c>
      <c r="D4" s="29" t="n">
        <v>135000</v>
      </c>
      <c r="E4" s="29" t="n">
        <v>165000</v>
      </c>
      <c r="F4" t="inlineStr">
        <is>
          <t>Austin, TX</t>
        </is>
      </c>
      <c r="G4" t="inlineStr">
        <is>
          <t>No</t>
        </is>
      </c>
      <c r="H4" t="inlineStr">
        <is>
          <t>Screening</t>
        </is>
      </c>
      <c r="I4" s="23" t="n">
        <v>46027</v>
      </c>
      <c r="J4" s="23" t="n">
        <v>46042</v>
      </c>
      <c r="K4" t="inlineStr">
        <is>
          <t>Phone screen scheduled</t>
        </is>
      </c>
      <c r="L4" s="23" t="n">
        <v>46056</v>
      </c>
      <c r="M4" t="inlineStr">
        <is>
          <t>Fast-paced environment</t>
        </is>
      </c>
      <c r="O4" s="7" t="inlineStr">
        <is>
          <t>Target</t>
        </is>
      </c>
      <c r="P4">
        <f>COUNTIF(tblJobs[Status],"Target")</f>
        <v/>
      </c>
    </row>
    <row r="5">
      <c r="A5" t="inlineStr">
        <is>
          <t>Apple</t>
        </is>
      </c>
      <c r="B5" t="inlineStr">
        <is>
          <t>Product Manager</t>
        </is>
      </c>
      <c r="C5" t="inlineStr">
        <is>
          <t>Senior</t>
        </is>
      </c>
      <c r="D5" s="29" t="n">
        <v>145000</v>
      </c>
      <c r="E5" s="29" t="n">
        <v>185000</v>
      </c>
      <c r="F5" t="inlineStr">
        <is>
          <t>Cupertino, CA</t>
        </is>
      </c>
      <c r="G5" t="inlineStr">
        <is>
          <t>No</t>
        </is>
      </c>
      <c r="H5" t="inlineStr">
        <is>
          <t>Target</t>
        </is>
      </c>
      <c r="K5" t="inlineStr">
        <is>
          <t>Submit application</t>
        </is>
      </c>
      <c r="L5" s="23" t="n">
        <v>46060</v>
      </c>
      <c r="M5" t="inlineStr">
        <is>
          <t>Dream company</t>
        </is>
      </c>
      <c r="O5" s="7" t="inlineStr">
        <is>
          <t>Applied</t>
        </is>
      </c>
      <c r="P5">
        <f>COUNTIF(tblJobs[Status],"Applied")</f>
        <v/>
      </c>
    </row>
    <row r="6">
      <c r="A6" t="inlineStr">
        <is>
          <t>Salesforce</t>
        </is>
      </c>
      <c r="B6" t="inlineStr">
        <is>
          <t>Senior Product Manager</t>
        </is>
      </c>
      <c r="C6" t="inlineStr">
        <is>
          <t>Senior</t>
        </is>
      </c>
      <c r="D6" s="29" t="n">
        <v>130000</v>
      </c>
      <c r="E6" s="29" t="n">
        <v>160000</v>
      </c>
      <c r="F6" t="inlineStr">
        <is>
          <t>San Francisco, CA</t>
        </is>
      </c>
      <c r="G6" t="inlineStr">
        <is>
          <t>Yes</t>
        </is>
      </c>
      <c r="H6" t="inlineStr">
        <is>
          <t>Rejected</t>
        </is>
      </c>
      <c r="I6" s="23" t="n">
        <v>46025</v>
      </c>
      <c r="J6" s="23" t="n">
        <v>46047</v>
      </c>
      <c r="M6" t="inlineStr">
        <is>
          <t>Not a good fit per recruiter</t>
        </is>
      </c>
      <c r="O6" s="7" t="inlineStr">
        <is>
          <t>Screening</t>
        </is>
      </c>
      <c r="P6">
        <f>COUNTIF(tblJobs[Status],"Screening")</f>
        <v/>
      </c>
    </row>
    <row r="7">
      <c r="A7" t="inlineStr">
        <is>
          <t>Meta</t>
        </is>
      </c>
      <c r="B7" t="inlineStr">
        <is>
          <t>Product Manager</t>
        </is>
      </c>
      <c r="C7" t="inlineStr">
        <is>
          <t>Senior</t>
        </is>
      </c>
      <c r="D7" s="29" t="n">
        <v>150000</v>
      </c>
      <c r="E7" s="29" t="n">
        <v>190000</v>
      </c>
      <c r="F7" t="inlineStr">
        <is>
          <t>Menlo Park, CA</t>
        </is>
      </c>
      <c r="G7" t="inlineStr">
        <is>
          <t>Yes</t>
        </is>
      </c>
      <c r="H7" t="inlineStr">
        <is>
          <t>Interview</t>
        </is>
      </c>
      <c r="I7" s="23" t="n">
        <v>46034</v>
      </c>
      <c r="J7" s="23" t="n">
        <v>46052</v>
      </c>
      <c r="K7" t="inlineStr">
        <is>
          <t>Technical interview prep</t>
        </is>
      </c>
      <c r="L7" s="23" t="n">
        <v>46061</v>
      </c>
      <c r="M7" t="inlineStr">
        <is>
          <t>Exciting product area</t>
        </is>
      </c>
      <c r="O7" s="7" t="inlineStr">
        <is>
          <t>Interview</t>
        </is>
      </c>
      <c r="P7">
        <f>COUNTIF(tblJobs[Status],"Interview")</f>
        <v/>
      </c>
    </row>
    <row r="8">
      <c r="A8" t="inlineStr">
        <is>
          <t>Stripe</t>
        </is>
      </c>
      <c r="B8" t="inlineStr">
        <is>
          <t>Product Manager</t>
        </is>
      </c>
      <c r="C8" t="inlineStr">
        <is>
          <t>Mid-level</t>
        </is>
      </c>
      <c r="D8" s="29" t="n">
        <v>125000</v>
      </c>
      <c r="E8" s="29" t="n">
        <v>155000</v>
      </c>
      <c r="F8" t="inlineStr">
        <is>
          <t>Remote</t>
        </is>
      </c>
      <c r="G8" t="inlineStr">
        <is>
          <t>Yes</t>
        </is>
      </c>
      <c r="H8" t="inlineStr">
        <is>
          <t>Applied</t>
        </is>
      </c>
      <c r="I8" s="23" t="n">
        <v>46042</v>
      </c>
      <c r="J8" s="23" t="n">
        <v>46042</v>
      </c>
      <c r="K8" t="inlineStr">
        <is>
          <t>Wait for response</t>
        </is>
      </c>
      <c r="L8" s="23" t="n">
        <v>46063</v>
      </c>
      <c r="M8" t="inlineStr">
        <is>
          <t>Fintech experience relevant</t>
        </is>
      </c>
      <c r="O8" s="7" t="inlineStr">
        <is>
          <t>Offer</t>
        </is>
      </c>
      <c r="P8">
        <f>COUNTIF(tblJobs[Status],"Offer")</f>
        <v/>
      </c>
    </row>
    <row r="10">
      <c r="O10" s="7" t="inlineStr">
        <is>
          <t>Avg Salary Range</t>
        </is>
      </c>
    </row>
    <row r="11">
      <c r="O11" t="inlineStr">
        <is>
          <t>Min</t>
        </is>
      </c>
      <c r="P11" s="29">
        <f>AVERAGE(tblJobs[SalaryMin])</f>
        <v/>
      </c>
    </row>
    <row r="12">
      <c r="O12" t="inlineStr">
        <is>
          <t>Max</t>
        </is>
      </c>
      <c r="P12" s="29">
        <f>AVERAGE(tblJobs[SalaryMax])</f>
        <v/>
      </c>
    </row>
  </sheetData>
  <dataValidations count="2">
    <dataValidation sqref="G2:G1000" showDropDown="0" showInputMessage="0" showErrorMessage="0" allowBlank="1" type="list">
      <formula1>list_yes_no</formula1>
    </dataValidation>
    <dataValidation sqref="H2:H1000" showDropDown="0" showInputMessage="0" showErrorMessage="0" allowBlank="1" type="list">
      <formula1>list_job_status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4" max="4"/>
    <col width="15" customWidth="1" min="7" max="7"/>
    <col width="30" customWidth="1" min="11" max="11"/>
  </cols>
  <sheetData>
    <row r="1">
      <c r="A1" s="22" t="inlineStr">
        <is>
          <t>Date</t>
        </is>
      </c>
      <c r="B1" s="22" t="inlineStr">
        <is>
          <t>CycleDay</t>
        </is>
      </c>
      <c r="C1" s="22" t="inlineStr">
        <is>
          <t>DPO</t>
        </is>
      </c>
      <c r="D1" s="22" t="inlineStr">
        <is>
          <t>Phase</t>
        </is>
      </c>
      <c r="E1" s="22" t="inlineStr">
        <is>
          <t>Temperature</t>
        </is>
      </c>
      <c r="F1" s="22" t="inlineStr">
        <is>
          <t>LHTest</t>
        </is>
      </c>
      <c r="G1" s="22" t="inlineStr">
        <is>
          <t>Symptoms</t>
        </is>
      </c>
      <c r="H1" s="22" t="inlineStr">
        <is>
          <t>Mood</t>
        </is>
      </c>
      <c r="I1" s="22" t="inlineStr">
        <is>
          <t>Energy</t>
        </is>
      </c>
      <c r="J1" s="22" t="inlineStr">
        <is>
          <t>SexualActivity</t>
        </is>
      </c>
      <c r="K1" s="22" t="inlineStr">
        <is>
          <t>Notes</t>
        </is>
      </c>
    </row>
    <row r="2">
      <c r="A2" s="23" t="n">
        <v>46036.27331379799</v>
      </c>
      <c r="B2" t="n">
        <v>5</v>
      </c>
      <c r="C2" t="inlineStr"/>
      <c r="D2" t="inlineStr">
        <is>
          <t>Follicular</t>
        </is>
      </c>
      <c r="E2" s="30" t="n">
        <v>97.3</v>
      </c>
      <c r="F2" t="inlineStr">
        <is>
          <t>Not Taken</t>
        </is>
      </c>
      <c r="G2" t="inlineStr">
        <is>
          <t>Bloating</t>
        </is>
      </c>
      <c r="H2" t="n">
        <v>4</v>
      </c>
      <c r="I2" t="n">
        <v>3</v>
      </c>
      <c r="J2" t="inlineStr">
        <is>
          <t>No</t>
        </is>
      </c>
      <c r="K2" t="inlineStr"/>
    </row>
    <row r="3">
      <c r="A3" s="23" t="n">
        <v>46037.27331379799</v>
      </c>
      <c r="B3" t="n">
        <v>6</v>
      </c>
      <c r="C3" t="inlineStr"/>
      <c r="D3" t="inlineStr">
        <is>
          <t>Follicular</t>
        </is>
      </c>
      <c r="E3" s="30" t="n">
        <v>97.2</v>
      </c>
      <c r="F3" t="inlineStr">
        <is>
          <t>Not Taken</t>
        </is>
      </c>
      <c r="G3" t="inlineStr">
        <is>
          <t>Tenderness</t>
        </is>
      </c>
      <c r="H3" t="n">
        <v>4</v>
      </c>
      <c r="I3" t="n">
        <v>4</v>
      </c>
      <c r="J3" t="inlineStr">
        <is>
          <t>No</t>
        </is>
      </c>
      <c r="K3" t="inlineStr"/>
    </row>
    <row r="4">
      <c r="A4" s="23" t="n">
        <v>46038.27331379799</v>
      </c>
      <c r="B4" t="n">
        <v>7</v>
      </c>
      <c r="C4" t="inlineStr"/>
      <c r="D4" t="inlineStr">
        <is>
          <t>Follicular</t>
        </is>
      </c>
      <c r="E4" s="30" t="n">
        <v>98</v>
      </c>
      <c r="F4" t="inlineStr">
        <is>
          <t>Not Taken</t>
        </is>
      </c>
      <c r="G4" t="inlineStr"/>
      <c r="H4" t="n">
        <v>4</v>
      </c>
      <c r="I4" t="n">
        <v>3</v>
      </c>
      <c r="J4" t="inlineStr">
        <is>
          <t>No</t>
        </is>
      </c>
      <c r="K4" t="inlineStr"/>
    </row>
    <row r="5">
      <c r="A5" s="23" t="n">
        <v>46039.27331379799</v>
      </c>
      <c r="B5" t="n">
        <v>8</v>
      </c>
      <c r="C5" t="inlineStr"/>
      <c r="D5" t="inlineStr">
        <is>
          <t>Follicular</t>
        </is>
      </c>
      <c r="E5" s="30" t="n">
        <v>97.59999999999999</v>
      </c>
      <c r="F5" t="inlineStr">
        <is>
          <t>Not Taken</t>
        </is>
      </c>
      <c r="G5" t="inlineStr">
        <is>
          <t>Tenderness</t>
        </is>
      </c>
      <c r="H5" t="n">
        <v>5</v>
      </c>
      <c r="I5" t="n">
        <v>4</v>
      </c>
      <c r="J5" t="inlineStr">
        <is>
          <t>Yes</t>
        </is>
      </c>
      <c r="K5" t="inlineStr"/>
    </row>
    <row r="6">
      <c r="A6" s="23" t="n">
        <v>46040.27331379799</v>
      </c>
      <c r="B6" t="n">
        <v>9</v>
      </c>
      <c r="C6" t="inlineStr"/>
      <c r="D6" t="inlineStr">
        <is>
          <t>Follicular</t>
        </is>
      </c>
      <c r="E6" s="30" t="n">
        <v>97.90000000000001</v>
      </c>
      <c r="F6" t="inlineStr">
        <is>
          <t>Not Taken</t>
        </is>
      </c>
      <c r="G6" t="inlineStr"/>
      <c r="H6" t="n">
        <v>3</v>
      </c>
      <c r="I6" t="n">
        <v>4</v>
      </c>
      <c r="J6" t="inlineStr">
        <is>
          <t>No</t>
        </is>
      </c>
      <c r="K6" t="inlineStr"/>
    </row>
    <row r="7">
      <c r="A7" s="23" t="n">
        <v>46041.27331379799</v>
      </c>
      <c r="B7" t="n">
        <v>10</v>
      </c>
      <c r="C7" t="inlineStr"/>
      <c r="D7" t="inlineStr">
        <is>
          <t>Fertile</t>
        </is>
      </c>
      <c r="E7" s="30" t="n">
        <v>98.5</v>
      </c>
      <c r="F7" t="inlineStr">
        <is>
          <t>Not Taken</t>
        </is>
      </c>
      <c r="G7" t="inlineStr">
        <is>
          <t>Cramps</t>
        </is>
      </c>
      <c r="H7" t="n">
        <v>4</v>
      </c>
      <c r="I7" t="n">
        <v>4</v>
      </c>
      <c r="J7" t="inlineStr">
        <is>
          <t>No</t>
        </is>
      </c>
      <c r="K7" t="inlineStr"/>
    </row>
    <row r="8">
      <c r="A8" s="23" t="n">
        <v>46042.27331379799</v>
      </c>
      <c r="B8" t="n">
        <v>11</v>
      </c>
      <c r="C8" t="inlineStr"/>
      <c r="D8" t="inlineStr">
        <is>
          <t>Fertile</t>
        </is>
      </c>
      <c r="E8" s="30" t="n">
        <v>97.5</v>
      </c>
      <c r="F8" t="inlineStr">
        <is>
          <t>Negative</t>
        </is>
      </c>
      <c r="G8" t="inlineStr">
        <is>
          <t>Bloating</t>
        </is>
      </c>
      <c r="H8" t="n">
        <v>3</v>
      </c>
      <c r="I8" t="n">
        <v>5</v>
      </c>
      <c r="J8" t="inlineStr">
        <is>
          <t>No</t>
        </is>
      </c>
      <c r="K8" t="inlineStr"/>
    </row>
    <row r="9">
      <c r="A9" s="23" t="n">
        <v>46043.27331379799</v>
      </c>
      <c r="B9" t="n">
        <v>12</v>
      </c>
      <c r="C9" t="inlineStr"/>
      <c r="D9" t="inlineStr">
        <is>
          <t>Fertile</t>
        </is>
      </c>
      <c r="E9" s="30" t="n">
        <v>97.90000000000001</v>
      </c>
      <c r="F9" t="inlineStr">
        <is>
          <t>Negative</t>
        </is>
      </c>
      <c r="G9" t="inlineStr">
        <is>
          <t>Cramps</t>
        </is>
      </c>
      <c r="H9" t="n">
        <v>3</v>
      </c>
      <c r="I9" t="n">
        <v>5</v>
      </c>
      <c r="J9" t="inlineStr">
        <is>
          <t>Yes</t>
        </is>
      </c>
      <c r="K9" t="inlineStr"/>
    </row>
    <row r="10">
      <c r="A10" s="23" t="n">
        <v>46044.27331379799</v>
      </c>
      <c r="B10" t="n">
        <v>13</v>
      </c>
      <c r="C10" t="inlineStr"/>
      <c r="D10" t="inlineStr">
        <is>
          <t>Ovulation</t>
        </is>
      </c>
      <c r="E10" s="30" t="n">
        <v>97.40000000000001</v>
      </c>
      <c r="F10" t="inlineStr">
        <is>
          <t>Positive</t>
        </is>
      </c>
      <c r="G10" t="inlineStr">
        <is>
          <t>Cramps</t>
        </is>
      </c>
      <c r="H10" t="n">
        <v>5</v>
      </c>
      <c r="I10" t="n">
        <v>5</v>
      </c>
      <c r="J10" t="inlineStr">
        <is>
          <t>Yes</t>
        </is>
      </c>
      <c r="K10" t="inlineStr"/>
    </row>
    <row r="11">
      <c r="A11" s="23" t="n">
        <v>46045.27331379799</v>
      </c>
      <c r="B11" t="n">
        <v>14</v>
      </c>
      <c r="C11" t="inlineStr"/>
      <c r="D11" t="inlineStr">
        <is>
          <t>Ovulation</t>
        </is>
      </c>
      <c r="E11" s="30" t="n">
        <v>97.5</v>
      </c>
      <c r="F11" t="inlineStr">
        <is>
          <t>Positive</t>
        </is>
      </c>
      <c r="G11" t="inlineStr">
        <is>
          <t>Tenderness</t>
        </is>
      </c>
      <c r="H11" t="n">
        <v>5</v>
      </c>
      <c r="I11" t="n">
        <v>3</v>
      </c>
      <c r="J11" t="inlineStr">
        <is>
          <t>No</t>
        </is>
      </c>
      <c r="K11" t="inlineStr"/>
    </row>
    <row r="12">
      <c r="A12" s="23" t="n">
        <v>46046.27331379799</v>
      </c>
      <c r="B12" t="n">
        <v>15</v>
      </c>
      <c r="C12" t="n">
        <v>1</v>
      </c>
      <c r="D12" t="inlineStr">
        <is>
          <t>Luteal</t>
        </is>
      </c>
      <c r="E12" s="30" t="n">
        <v>98.5</v>
      </c>
      <c r="F12" t="inlineStr">
        <is>
          <t>Negative</t>
        </is>
      </c>
      <c r="G12" t="inlineStr">
        <is>
          <t>Bloating</t>
        </is>
      </c>
      <c r="H12" t="n">
        <v>3</v>
      </c>
      <c r="I12" t="n">
        <v>5</v>
      </c>
      <c r="J12" t="inlineStr">
        <is>
          <t>No</t>
        </is>
      </c>
      <c r="K12" t="inlineStr"/>
    </row>
    <row r="13">
      <c r="A13" s="23" t="n">
        <v>46047.27331379799</v>
      </c>
      <c r="B13" t="n">
        <v>16</v>
      </c>
      <c r="C13" t="n">
        <v>2</v>
      </c>
      <c r="D13" t="inlineStr">
        <is>
          <t>Luteal</t>
        </is>
      </c>
      <c r="E13" s="30" t="n">
        <v>98</v>
      </c>
      <c r="F13" t="inlineStr">
        <is>
          <t>Negative</t>
        </is>
      </c>
      <c r="G13" t="inlineStr">
        <is>
          <t>Cramps</t>
        </is>
      </c>
      <c r="H13" t="n">
        <v>4</v>
      </c>
      <c r="I13" t="n">
        <v>5</v>
      </c>
      <c r="J13" t="inlineStr">
        <is>
          <t>No</t>
        </is>
      </c>
      <c r="K13" t="inlineStr"/>
    </row>
    <row r="14">
      <c r="A14" s="23" t="n">
        <v>46048.27331379799</v>
      </c>
      <c r="B14" t="n">
        <v>17</v>
      </c>
      <c r="C14" t="n">
        <v>3</v>
      </c>
      <c r="D14" t="inlineStr">
        <is>
          <t>Luteal</t>
        </is>
      </c>
      <c r="E14" s="30" t="n">
        <v>97.90000000000001</v>
      </c>
      <c r="F14" t="inlineStr">
        <is>
          <t>Negative</t>
        </is>
      </c>
      <c r="G14" t="inlineStr">
        <is>
          <t>Fatigue</t>
        </is>
      </c>
      <c r="H14" t="n">
        <v>5</v>
      </c>
      <c r="I14" t="n">
        <v>4</v>
      </c>
      <c r="J14" t="inlineStr">
        <is>
          <t>Yes</t>
        </is>
      </c>
      <c r="K14" t="inlineStr"/>
    </row>
    <row r="15">
      <c r="A15" s="23" t="n">
        <v>46049.27331379799</v>
      </c>
      <c r="B15" t="n">
        <v>18</v>
      </c>
      <c r="C15" t="n">
        <v>4</v>
      </c>
      <c r="D15" t="inlineStr">
        <is>
          <t>Luteal</t>
        </is>
      </c>
      <c r="E15" s="30" t="n">
        <v>97.40000000000001</v>
      </c>
      <c r="F15" t="inlineStr">
        <is>
          <t>Negative</t>
        </is>
      </c>
      <c r="G15" t="inlineStr">
        <is>
          <t>Tenderness</t>
        </is>
      </c>
      <c r="H15" t="n">
        <v>3</v>
      </c>
      <c r="I15" t="n">
        <v>3</v>
      </c>
      <c r="J15" t="inlineStr">
        <is>
          <t>Yes</t>
        </is>
      </c>
      <c r="K15" t="inlineStr"/>
    </row>
    <row r="16">
      <c r="A16" s="23" t="n">
        <v>46050.27331379799</v>
      </c>
      <c r="B16" t="n">
        <v>19</v>
      </c>
      <c r="C16" t="n">
        <v>5</v>
      </c>
      <c r="D16" t="inlineStr">
        <is>
          <t>Luteal</t>
        </is>
      </c>
      <c r="E16" s="30" t="n">
        <v>97.3</v>
      </c>
      <c r="F16" t="inlineStr">
        <is>
          <t>Negative</t>
        </is>
      </c>
      <c r="G16" t="inlineStr"/>
      <c r="H16" t="n">
        <v>5</v>
      </c>
      <c r="I16" t="n">
        <v>5</v>
      </c>
      <c r="J16" t="inlineStr">
        <is>
          <t>No</t>
        </is>
      </c>
      <c r="K16" t="inlineStr"/>
    </row>
    <row r="17">
      <c r="A17" s="23" t="n">
        <v>46051.27331379799</v>
      </c>
      <c r="B17" t="n">
        <v>20</v>
      </c>
      <c r="C17" t="n">
        <v>6</v>
      </c>
      <c r="D17" t="inlineStr">
        <is>
          <t>Luteal</t>
        </is>
      </c>
      <c r="E17" s="30" t="n">
        <v>98.3</v>
      </c>
      <c r="F17" t="inlineStr">
        <is>
          <t>Negative</t>
        </is>
      </c>
      <c r="G17" t="inlineStr">
        <is>
          <t>Tenderness</t>
        </is>
      </c>
      <c r="H17" t="n">
        <v>4</v>
      </c>
      <c r="I17" t="n">
        <v>4</v>
      </c>
      <c r="J17" t="inlineStr">
        <is>
          <t>No</t>
        </is>
      </c>
      <c r="K17" t="inlineStr"/>
    </row>
    <row r="18">
      <c r="A18" s="23" t="n">
        <v>46052.27331379799</v>
      </c>
      <c r="B18" t="n">
        <v>21</v>
      </c>
      <c r="C18" t="n">
        <v>7</v>
      </c>
      <c r="D18" t="inlineStr">
        <is>
          <t>Luteal</t>
        </is>
      </c>
      <c r="E18" s="30" t="n">
        <v>97.59999999999999</v>
      </c>
      <c r="F18" t="inlineStr">
        <is>
          <t>Negative</t>
        </is>
      </c>
      <c r="G18" t="inlineStr"/>
      <c r="H18" t="n">
        <v>3</v>
      </c>
      <c r="I18" t="n">
        <v>3</v>
      </c>
      <c r="J18" t="inlineStr">
        <is>
          <t>No</t>
        </is>
      </c>
      <c r="K18" t="inlineStr"/>
    </row>
    <row r="19">
      <c r="A19" s="23" t="n">
        <v>46053.27331379799</v>
      </c>
      <c r="B19" t="n">
        <v>22</v>
      </c>
      <c r="C19" t="n">
        <v>8</v>
      </c>
      <c r="D19" t="inlineStr">
        <is>
          <t>Luteal</t>
        </is>
      </c>
      <c r="E19" s="30" t="n">
        <v>97.5</v>
      </c>
      <c r="F19" t="inlineStr">
        <is>
          <t>Negative</t>
        </is>
      </c>
      <c r="G19" t="inlineStr">
        <is>
          <t>Fatigue</t>
        </is>
      </c>
      <c r="H19" t="n">
        <v>3</v>
      </c>
      <c r="I19" t="n">
        <v>3</v>
      </c>
      <c r="J19" t="inlineStr">
        <is>
          <t>Yes</t>
        </is>
      </c>
      <c r="K19" t="inlineStr"/>
    </row>
    <row r="20">
      <c r="A20" s="23" t="n">
        <v>46054.27331379799</v>
      </c>
      <c r="B20" t="n">
        <v>23</v>
      </c>
      <c r="C20" t="n">
        <v>9</v>
      </c>
      <c r="D20" t="inlineStr">
        <is>
          <t>Luteal</t>
        </is>
      </c>
      <c r="E20" s="30" t="n">
        <v>98.3</v>
      </c>
      <c r="F20" t="inlineStr">
        <is>
          <t>Negative</t>
        </is>
      </c>
      <c r="G20" t="inlineStr">
        <is>
          <t>Cramps</t>
        </is>
      </c>
      <c r="H20" t="n">
        <v>5</v>
      </c>
      <c r="I20" t="n">
        <v>3</v>
      </c>
      <c r="J20" t="inlineStr">
        <is>
          <t>Yes</t>
        </is>
      </c>
      <c r="K20" t="inlineStr"/>
    </row>
    <row r="21">
      <c r="A21" s="23" t="n">
        <v>46055.27331379799</v>
      </c>
      <c r="B21" t="n">
        <v>24</v>
      </c>
      <c r="C21" t="n">
        <v>10</v>
      </c>
      <c r="D21" t="inlineStr">
        <is>
          <t>Luteal</t>
        </is>
      </c>
      <c r="E21" s="30" t="n">
        <v>97.3</v>
      </c>
      <c r="F21" t="inlineStr">
        <is>
          <t>Negative</t>
        </is>
      </c>
      <c r="G21" t="inlineStr">
        <is>
          <t>Fatigue</t>
        </is>
      </c>
      <c r="H21" t="n">
        <v>3</v>
      </c>
      <c r="I21" t="n">
        <v>4</v>
      </c>
      <c r="J21" t="inlineStr">
        <is>
          <t>No</t>
        </is>
      </c>
      <c r="K21" t="inlineStr"/>
    </row>
  </sheetData>
  <conditionalFormatting sqref="A2:K21">
    <cfRule type="expression" priority="1" dxfId="2">
      <formula>$D2="Follicular"</formula>
    </cfRule>
    <cfRule type="expression" priority="2" dxfId="3">
      <formula>$D2="Fertile"</formula>
    </cfRule>
    <cfRule type="expression" priority="3" dxfId="0">
      <formula>$D2="Ovulation"</formula>
    </cfRule>
    <cfRule type="expression" priority="4" dxfId="4">
      <formula>$D2="Luteal"</formula>
    </cfRule>
    <cfRule type="expression" priority="5" dxfId="1">
      <formula>$D2="Implantation"</formula>
    </cfRule>
  </conditionalFormatting>
  <dataValidations count="6">
    <dataValidation sqref="D2:D1000" showDropDown="0" showInputMessage="0" showErrorMessage="0" allowBlank="1" type="list">
      <formula1>list_cycle_phase</formula1>
    </dataValidation>
    <dataValidation sqref="F2:F1000" showDropDown="0" showInputMessage="0" showErrorMessage="0" allowBlank="1" type="list">
      <formula1>list_lh_test</formula1>
    </dataValidation>
    <dataValidation sqref="G2:G1000" showDropDown="0" showInputMessage="0" showErrorMessage="0" allowBlank="1" type="list">
      <formula1>list_health_symptom</formula1>
    </dataValidation>
    <dataValidation sqref="H2:H1000" showDropDown="0" showInputMessage="0" showErrorMessage="0" allowBlank="1" type="list">
      <formula1>list_mood</formula1>
    </dataValidation>
    <dataValidation sqref="I2:I1000" showDropDown="0" showInputMessage="0" showErrorMessage="0" allowBlank="1" type="list">
      <formula1>list_energy</formula1>
    </dataValidation>
    <dataValidation sqref="J2:J1000" showDropDown="0" showInputMessage="0" showErrorMessage="0" allowBlank="1" type="list">
      <formula1>list_yes_no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2026-02-03T06:33:34Z</dcterms:created>
  <dcterms:modified xsi:type="dcterms:W3CDTF">2026-02-03T06:33:34Z</dcterms:modified>
</cp:coreProperties>
</file>