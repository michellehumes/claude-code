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voice Track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FFFFFF"/>
      <sz val="12"/>
    </font>
    <font>
      <name val="Calibr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" fontId="3" fillId="4" borderId="1" applyAlignment="1" pivotButton="0" quotePrefix="0" xfId="0">
      <alignment vertical="center" wrapText="1"/>
    </xf>
    <xf numFmtId="0" fontId="5" fillId="0" borderId="0" pivotButton="0" quotePrefix="0" xfId="0"/>
    <xf numFmtId="165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Invoice Tracker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Track all invoices sent to clients in one organized spreadsheet.</t>
        </is>
      </c>
    </row>
    <row r="6" ht="30" customHeight="1">
      <c r="A6" s="3" t="inlineStr">
        <is>
          <t>2. Enter invoice details: number, date, client, description, amount, due date, status, and payment date.</t>
        </is>
      </c>
    </row>
    <row r="7" ht="30" customHeight="1">
      <c r="A7" s="3" t="inlineStr">
        <is>
          <t>3. Days Overdue auto-calculates for unpaid invoices past their due date.</t>
        </is>
      </c>
    </row>
    <row r="8" ht="30" customHeight="1">
      <c r="A8" s="3" t="inlineStr">
        <is>
          <t>4. Use the Status dropdown: Paid, Pending, Overdue, Cancelled.</t>
        </is>
      </c>
    </row>
    <row r="9" ht="30" customHeight="1">
      <c r="A9" s="3" t="inlineStr">
        <is>
          <t>5. The Summary tab shows aging reports (30/60/90 day brackets).</t>
        </is>
      </c>
    </row>
    <row r="10" ht="30" customHeight="1">
      <c r="A10" s="3" t="inlineStr">
        <is>
          <t>6. Filter by status to quickly see outstanding invoices.</t>
        </is>
      </c>
    </row>
    <row r="11" ht="30" customHeight="1">
      <c r="A11" s="3" t="inlineStr">
        <is>
          <t>7. Update payment dates when invoices are settled.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30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50" customHeight="1">
      <c r="A1" s="1" t="inlineStr">
        <is>
          <t>Invoice Tracker - 2026</t>
        </is>
      </c>
    </row>
    <row r="3">
      <c r="A3" s="5" t="inlineStr">
        <is>
          <t>Invoice #</t>
        </is>
      </c>
      <c r="B3" s="5" t="inlineStr">
        <is>
          <t>Date</t>
        </is>
      </c>
      <c r="C3" s="5" t="inlineStr">
        <is>
          <t>Client</t>
        </is>
      </c>
      <c r="D3" s="5" t="inlineStr">
        <is>
          <t>Description</t>
        </is>
      </c>
      <c r="E3" s="5" t="inlineStr">
        <is>
          <t>Amount</t>
        </is>
      </c>
      <c r="F3" s="5" t="inlineStr">
        <is>
          <t>Due Date</t>
        </is>
      </c>
      <c r="G3" s="5" t="inlineStr">
        <is>
          <t>Status</t>
        </is>
      </c>
      <c r="H3" s="5" t="inlineStr">
        <is>
          <t>Days Overdue</t>
        </is>
      </c>
      <c r="I3" s="5" t="inlineStr">
        <is>
          <t>Payment Date</t>
        </is>
      </c>
    </row>
    <row r="4">
      <c r="A4" s="6" t="n"/>
      <c r="B4" s="7" t="n"/>
      <c r="C4" s="6" t="n"/>
      <c r="D4" s="6" t="n"/>
      <c r="E4" s="8" t="n"/>
      <c r="F4" s="7" t="n"/>
      <c r="G4" s="6" t="n"/>
      <c r="H4" s="9">
        <f>IF(AND(G4="Overdue",F4&lt;&gt;""),MAX(0,TODAY()-F4),IF(AND(G4="Pending",F4&lt;&gt;""),MAX(0,TODAY()-F4),0))</f>
        <v/>
      </c>
      <c r="I4" s="7" t="n"/>
    </row>
    <row r="5">
      <c r="A5" s="10" t="n"/>
      <c r="B5" s="11" t="n"/>
      <c r="C5" s="10" t="n"/>
      <c r="D5" s="10" t="n"/>
      <c r="E5" s="12" t="n"/>
      <c r="F5" s="11" t="n"/>
      <c r="G5" s="10" t="n"/>
      <c r="H5" s="13">
        <f>IF(AND(G5="Overdue",F5&lt;&gt;""),MAX(0,TODAY()-F5),IF(AND(G5="Pending",F5&lt;&gt;""),MAX(0,TODAY()-F5),0))</f>
        <v/>
      </c>
      <c r="I5" s="11" t="n"/>
    </row>
    <row r="6">
      <c r="A6" s="6" t="n"/>
      <c r="B6" s="7" t="n"/>
      <c r="C6" s="6" t="n"/>
      <c r="D6" s="6" t="n"/>
      <c r="E6" s="8" t="n"/>
      <c r="F6" s="7" t="n"/>
      <c r="G6" s="6" t="n"/>
      <c r="H6" s="9">
        <f>IF(AND(G6="Overdue",F6&lt;&gt;""),MAX(0,TODAY()-F6),IF(AND(G6="Pending",F6&lt;&gt;""),MAX(0,TODAY()-F6),0))</f>
        <v/>
      </c>
      <c r="I6" s="7" t="n"/>
    </row>
    <row r="7">
      <c r="A7" s="10" t="n"/>
      <c r="B7" s="11" t="n"/>
      <c r="C7" s="10" t="n"/>
      <c r="D7" s="10" t="n"/>
      <c r="E7" s="12" t="n"/>
      <c r="F7" s="11" t="n"/>
      <c r="G7" s="10" t="n"/>
      <c r="H7" s="13">
        <f>IF(AND(G7="Overdue",F7&lt;&gt;""),MAX(0,TODAY()-F7),IF(AND(G7="Pending",F7&lt;&gt;""),MAX(0,TODAY()-F7),0))</f>
        <v/>
      </c>
      <c r="I7" s="11" t="n"/>
    </row>
    <row r="8">
      <c r="A8" s="6" t="n"/>
      <c r="B8" s="7" t="n"/>
      <c r="C8" s="6" t="n"/>
      <c r="D8" s="6" t="n"/>
      <c r="E8" s="8" t="n"/>
      <c r="F8" s="7" t="n"/>
      <c r="G8" s="6" t="n"/>
      <c r="H8" s="9">
        <f>IF(AND(G8="Overdue",F8&lt;&gt;""),MAX(0,TODAY()-F8),IF(AND(G8="Pending",F8&lt;&gt;""),MAX(0,TODAY()-F8),0))</f>
        <v/>
      </c>
      <c r="I8" s="7" t="n"/>
    </row>
    <row r="9">
      <c r="A9" s="10" t="n"/>
      <c r="B9" s="11" t="n"/>
      <c r="C9" s="10" t="n"/>
      <c r="D9" s="10" t="n"/>
      <c r="E9" s="12" t="n"/>
      <c r="F9" s="11" t="n"/>
      <c r="G9" s="10" t="n"/>
      <c r="H9" s="13">
        <f>IF(AND(G9="Overdue",F9&lt;&gt;""),MAX(0,TODAY()-F9),IF(AND(G9="Pending",F9&lt;&gt;""),MAX(0,TODAY()-F9),0))</f>
        <v/>
      </c>
      <c r="I9" s="11" t="n"/>
    </row>
    <row r="10">
      <c r="A10" s="6" t="n"/>
      <c r="B10" s="7" t="n"/>
      <c r="C10" s="6" t="n"/>
      <c r="D10" s="6" t="n"/>
      <c r="E10" s="8" t="n"/>
      <c r="F10" s="7" t="n"/>
      <c r="G10" s="6" t="n"/>
      <c r="H10" s="9">
        <f>IF(AND(G10="Overdue",F10&lt;&gt;""),MAX(0,TODAY()-F10),IF(AND(G10="Pending",F10&lt;&gt;""),MAX(0,TODAY()-F10),0))</f>
        <v/>
      </c>
      <c r="I10" s="7" t="n"/>
    </row>
    <row r="11">
      <c r="A11" s="10" t="n"/>
      <c r="B11" s="11" t="n"/>
      <c r="C11" s="10" t="n"/>
      <c r="D11" s="10" t="n"/>
      <c r="E11" s="12" t="n"/>
      <c r="F11" s="11" t="n"/>
      <c r="G11" s="10" t="n"/>
      <c r="H11" s="13">
        <f>IF(AND(G11="Overdue",F11&lt;&gt;""),MAX(0,TODAY()-F11),IF(AND(G11="Pending",F11&lt;&gt;""),MAX(0,TODAY()-F11),0))</f>
        <v/>
      </c>
      <c r="I11" s="11" t="n"/>
    </row>
    <row r="12">
      <c r="A12" s="6" t="n"/>
      <c r="B12" s="7" t="n"/>
      <c r="C12" s="6" t="n"/>
      <c r="D12" s="6" t="n"/>
      <c r="E12" s="8" t="n"/>
      <c r="F12" s="7" t="n"/>
      <c r="G12" s="6" t="n"/>
      <c r="H12" s="9">
        <f>IF(AND(G12="Overdue",F12&lt;&gt;""),MAX(0,TODAY()-F12),IF(AND(G12="Pending",F12&lt;&gt;""),MAX(0,TODAY()-F12),0))</f>
        <v/>
      </c>
      <c r="I12" s="7" t="n"/>
    </row>
    <row r="13">
      <c r="A13" s="10" t="n"/>
      <c r="B13" s="11" t="n"/>
      <c r="C13" s="10" t="n"/>
      <c r="D13" s="10" t="n"/>
      <c r="E13" s="12" t="n"/>
      <c r="F13" s="11" t="n"/>
      <c r="G13" s="10" t="n"/>
      <c r="H13" s="13">
        <f>IF(AND(G13="Overdue",F13&lt;&gt;""),MAX(0,TODAY()-F13),IF(AND(G13="Pending",F13&lt;&gt;""),MAX(0,TODAY()-F13),0))</f>
        <v/>
      </c>
      <c r="I13" s="11" t="n"/>
    </row>
    <row r="14">
      <c r="A14" s="6" t="n"/>
      <c r="B14" s="7" t="n"/>
      <c r="C14" s="6" t="n"/>
      <c r="D14" s="6" t="n"/>
      <c r="E14" s="8" t="n"/>
      <c r="F14" s="7" t="n"/>
      <c r="G14" s="6" t="n"/>
      <c r="H14" s="9">
        <f>IF(AND(G14="Overdue",F14&lt;&gt;""),MAX(0,TODAY()-F14),IF(AND(G14="Pending",F14&lt;&gt;""),MAX(0,TODAY()-F14),0))</f>
        <v/>
      </c>
      <c r="I14" s="7" t="n"/>
    </row>
    <row r="15">
      <c r="A15" s="10" t="n"/>
      <c r="B15" s="11" t="n"/>
      <c r="C15" s="10" t="n"/>
      <c r="D15" s="10" t="n"/>
      <c r="E15" s="12" t="n"/>
      <c r="F15" s="11" t="n"/>
      <c r="G15" s="10" t="n"/>
      <c r="H15" s="13">
        <f>IF(AND(G15="Overdue",F15&lt;&gt;""),MAX(0,TODAY()-F15),IF(AND(G15="Pending",F15&lt;&gt;""),MAX(0,TODAY()-F15),0))</f>
        <v/>
      </c>
      <c r="I15" s="11" t="n"/>
    </row>
    <row r="16">
      <c r="A16" s="6" t="n"/>
      <c r="B16" s="7" t="n"/>
      <c r="C16" s="6" t="n"/>
      <c r="D16" s="6" t="n"/>
      <c r="E16" s="8" t="n"/>
      <c r="F16" s="7" t="n"/>
      <c r="G16" s="6" t="n"/>
      <c r="H16" s="9">
        <f>IF(AND(G16="Overdue",F16&lt;&gt;""),MAX(0,TODAY()-F16),IF(AND(G16="Pending",F16&lt;&gt;""),MAX(0,TODAY()-F16),0))</f>
        <v/>
      </c>
      <c r="I16" s="7" t="n"/>
    </row>
    <row r="17">
      <c r="A17" s="10" t="n"/>
      <c r="B17" s="11" t="n"/>
      <c r="C17" s="10" t="n"/>
      <c r="D17" s="10" t="n"/>
      <c r="E17" s="12" t="n"/>
      <c r="F17" s="11" t="n"/>
      <c r="G17" s="10" t="n"/>
      <c r="H17" s="13">
        <f>IF(AND(G17="Overdue",F17&lt;&gt;""),MAX(0,TODAY()-F17),IF(AND(G17="Pending",F17&lt;&gt;""),MAX(0,TODAY()-F17),0))</f>
        <v/>
      </c>
      <c r="I17" s="11" t="n"/>
    </row>
    <row r="18">
      <c r="A18" s="6" t="n"/>
      <c r="B18" s="7" t="n"/>
      <c r="C18" s="6" t="n"/>
      <c r="D18" s="6" t="n"/>
      <c r="E18" s="8" t="n"/>
      <c r="F18" s="7" t="n"/>
      <c r="G18" s="6" t="n"/>
      <c r="H18" s="9">
        <f>IF(AND(G18="Overdue",F18&lt;&gt;""),MAX(0,TODAY()-F18),IF(AND(G18="Pending",F18&lt;&gt;""),MAX(0,TODAY()-F18),0))</f>
        <v/>
      </c>
      <c r="I18" s="7" t="n"/>
    </row>
    <row r="19">
      <c r="A19" s="10" t="n"/>
      <c r="B19" s="11" t="n"/>
      <c r="C19" s="10" t="n"/>
      <c r="D19" s="10" t="n"/>
      <c r="E19" s="12" t="n"/>
      <c r="F19" s="11" t="n"/>
      <c r="G19" s="10" t="n"/>
      <c r="H19" s="13">
        <f>IF(AND(G19="Overdue",F19&lt;&gt;""),MAX(0,TODAY()-F19),IF(AND(G19="Pending",F19&lt;&gt;""),MAX(0,TODAY()-F19),0))</f>
        <v/>
      </c>
      <c r="I19" s="11" t="n"/>
    </row>
    <row r="20">
      <c r="A20" s="6" t="n"/>
      <c r="B20" s="7" t="n"/>
      <c r="C20" s="6" t="n"/>
      <c r="D20" s="6" t="n"/>
      <c r="E20" s="8" t="n"/>
      <c r="F20" s="7" t="n"/>
      <c r="G20" s="6" t="n"/>
      <c r="H20" s="9">
        <f>IF(AND(G20="Overdue",F20&lt;&gt;""),MAX(0,TODAY()-F20),IF(AND(G20="Pending",F20&lt;&gt;""),MAX(0,TODAY()-F20),0))</f>
        <v/>
      </c>
      <c r="I20" s="7" t="n"/>
    </row>
    <row r="21">
      <c r="A21" s="10" t="n"/>
      <c r="B21" s="11" t="n"/>
      <c r="C21" s="10" t="n"/>
      <c r="D21" s="10" t="n"/>
      <c r="E21" s="12" t="n"/>
      <c r="F21" s="11" t="n"/>
      <c r="G21" s="10" t="n"/>
      <c r="H21" s="13">
        <f>IF(AND(G21="Overdue",F21&lt;&gt;""),MAX(0,TODAY()-F21),IF(AND(G21="Pending",F21&lt;&gt;""),MAX(0,TODAY()-F21),0))</f>
        <v/>
      </c>
      <c r="I21" s="11" t="n"/>
    </row>
    <row r="22">
      <c r="A22" s="6" t="n"/>
      <c r="B22" s="7" t="n"/>
      <c r="C22" s="6" t="n"/>
      <c r="D22" s="6" t="n"/>
      <c r="E22" s="8" t="n"/>
      <c r="F22" s="7" t="n"/>
      <c r="G22" s="6" t="n"/>
      <c r="H22" s="9">
        <f>IF(AND(G22="Overdue",F22&lt;&gt;""),MAX(0,TODAY()-F22),IF(AND(G22="Pending",F22&lt;&gt;""),MAX(0,TODAY()-F22),0))</f>
        <v/>
      </c>
      <c r="I22" s="7" t="n"/>
    </row>
    <row r="23">
      <c r="A23" s="10" t="n"/>
      <c r="B23" s="11" t="n"/>
      <c r="C23" s="10" t="n"/>
      <c r="D23" s="10" t="n"/>
      <c r="E23" s="12" t="n"/>
      <c r="F23" s="11" t="n"/>
      <c r="G23" s="10" t="n"/>
      <c r="H23" s="13">
        <f>IF(AND(G23="Overdue",F23&lt;&gt;""),MAX(0,TODAY()-F23),IF(AND(G23="Pending",F23&lt;&gt;""),MAX(0,TODAY()-F23),0))</f>
        <v/>
      </c>
      <c r="I23" s="11" t="n"/>
    </row>
    <row r="24">
      <c r="A24" s="6" t="n"/>
      <c r="B24" s="7" t="n"/>
      <c r="C24" s="6" t="n"/>
      <c r="D24" s="6" t="n"/>
      <c r="E24" s="8" t="n"/>
      <c r="F24" s="7" t="n"/>
      <c r="G24" s="6" t="n"/>
      <c r="H24" s="9">
        <f>IF(AND(G24="Overdue",F24&lt;&gt;""),MAX(0,TODAY()-F24),IF(AND(G24="Pending",F24&lt;&gt;""),MAX(0,TODAY()-F24),0))</f>
        <v/>
      </c>
      <c r="I24" s="7" t="n"/>
    </row>
    <row r="25">
      <c r="A25" s="10" t="n"/>
      <c r="B25" s="11" t="n"/>
      <c r="C25" s="10" t="n"/>
      <c r="D25" s="10" t="n"/>
      <c r="E25" s="12" t="n"/>
      <c r="F25" s="11" t="n"/>
      <c r="G25" s="10" t="n"/>
      <c r="H25" s="13">
        <f>IF(AND(G25="Overdue",F25&lt;&gt;""),MAX(0,TODAY()-F25),IF(AND(G25="Pending",F25&lt;&gt;""),MAX(0,TODAY()-F25),0))</f>
        <v/>
      </c>
      <c r="I25" s="11" t="n"/>
    </row>
    <row r="26">
      <c r="A26" s="6" t="n"/>
      <c r="B26" s="7" t="n"/>
      <c r="C26" s="6" t="n"/>
      <c r="D26" s="6" t="n"/>
      <c r="E26" s="8" t="n"/>
      <c r="F26" s="7" t="n"/>
      <c r="G26" s="6" t="n"/>
      <c r="H26" s="9">
        <f>IF(AND(G26="Overdue",F26&lt;&gt;""),MAX(0,TODAY()-F26),IF(AND(G26="Pending",F26&lt;&gt;""),MAX(0,TODAY()-F26),0))</f>
        <v/>
      </c>
      <c r="I26" s="7" t="n"/>
    </row>
    <row r="27">
      <c r="A27" s="10" t="n"/>
      <c r="B27" s="11" t="n"/>
      <c r="C27" s="10" t="n"/>
      <c r="D27" s="10" t="n"/>
      <c r="E27" s="12" t="n"/>
      <c r="F27" s="11" t="n"/>
      <c r="G27" s="10" t="n"/>
      <c r="H27" s="13">
        <f>IF(AND(G27="Overdue",F27&lt;&gt;""),MAX(0,TODAY()-F27),IF(AND(G27="Pending",F27&lt;&gt;""),MAX(0,TODAY()-F27),0))</f>
        <v/>
      </c>
      <c r="I27" s="11" t="n"/>
    </row>
    <row r="28">
      <c r="A28" s="6" t="n"/>
      <c r="B28" s="7" t="n"/>
      <c r="C28" s="6" t="n"/>
      <c r="D28" s="6" t="n"/>
      <c r="E28" s="8" t="n"/>
      <c r="F28" s="7" t="n"/>
      <c r="G28" s="6" t="n"/>
      <c r="H28" s="9">
        <f>IF(AND(G28="Overdue",F28&lt;&gt;""),MAX(0,TODAY()-F28),IF(AND(G28="Pending",F28&lt;&gt;""),MAX(0,TODAY()-F28),0))</f>
        <v/>
      </c>
      <c r="I28" s="7" t="n"/>
    </row>
    <row r="29">
      <c r="A29" s="10" t="n"/>
      <c r="B29" s="11" t="n"/>
      <c r="C29" s="10" t="n"/>
      <c r="D29" s="10" t="n"/>
      <c r="E29" s="12" t="n"/>
      <c r="F29" s="11" t="n"/>
      <c r="G29" s="10" t="n"/>
      <c r="H29" s="13">
        <f>IF(AND(G29="Overdue",F29&lt;&gt;""),MAX(0,TODAY()-F29),IF(AND(G29="Pending",F29&lt;&gt;""),MAX(0,TODAY()-F29),0))</f>
        <v/>
      </c>
      <c r="I29" s="11" t="n"/>
    </row>
    <row r="30">
      <c r="A30" s="6" t="n"/>
      <c r="B30" s="7" t="n"/>
      <c r="C30" s="6" t="n"/>
      <c r="D30" s="6" t="n"/>
      <c r="E30" s="8" t="n"/>
      <c r="F30" s="7" t="n"/>
      <c r="G30" s="6" t="n"/>
      <c r="H30" s="9">
        <f>IF(AND(G30="Overdue",F30&lt;&gt;""),MAX(0,TODAY()-F30),IF(AND(G30="Pending",F30&lt;&gt;""),MAX(0,TODAY()-F30),0))</f>
        <v/>
      </c>
      <c r="I30" s="7" t="n"/>
    </row>
    <row r="31">
      <c r="A31" s="10" t="n"/>
      <c r="B31" s="11" t="n"/>
      <c r="C31" s="10" t="n"/>
      <c r="D31" s="10" t="n"/>
      <c r="E31" s="12" t="n"/>
      <c r="F31" s="11" t="n"/>
      <c r="G31" s="10" t="n"/>
      <c r="H31" s="13">
        <f>IF(AND(G31="Overdue",F31&lt;&gt;""),MAX(0,TODAY()-F31),IF(AND(G31="Pending",F31&lt;&gt;""),MAX(0,TODAY()-F31),0))</f>
        <v/>
      </c>
      <c r="I31" s="11" t="n"/>
    </row>
    <row r="32">
      <c r="A32" s="6" t="n"/>
      <c r="B32" s="7" t="n"/>
      <c r="C32" s="6" t="n"/>
      <c r="D32" s="6" t="n"/>
      <c r="E32" s="8" t="n"/>
      <c r="F32" s="7" t="n"/>
      <c r="G32" s="6" t="n"/>
      <c r="H32" s="9">
        <f>IF(AND(G32="Overdue",F32&lt;&gt;""),MAX(0,TODAY()-F32),IF(AND(G32="Pending",F32&lt;&gt;""),MAX(0,TODAY()-F32),0))</f>
        <v/>
      </c>
      <c r="I32" s="7" t="n"/>
    </row>
    <row r="33">
      <c r="A33" s="10" t="n"/>
      <c r="B33" s="11" t="n"/>
      <c r="C33" s="10" t="n"/>
      <c r="D33" s="10" t="n"/>
      <c r="E33" s="12" t="n"/>
      <c r="F33" s="11" t="n"/>
      <c r="G33" s="10" t="n"/>
      <c r="H33" s="13">
        <f>IF(AND(G33="Overdue",F33&lt;&gt;""),MAX(0,TODAY()-F33),IF(AND(G33="Pending",F33&lt;&gt;""),MAX(0,TODAY()-F33),0))</f>
        <v/>
      </c>
      <c r="I33" s="11" t="n"/>
    </row>
    <row r="34">
      <c r="A34" s="6" t="n"/>
      <c r="B34" s="7" t="n"/>
      <c r="C34" s="6" t="n"/>
      <c r="D34" s="6" t="n"/>
      <c r="E34" s="8" t="n"/>
      <c r="F34" s="7" t="n"/>
      <c r="G34" s="6" t="n"/>
      <c r="H34" s="9">
        <f>IF(AND(G34="Overdue",F34&lt;&gt;""),MAX(0,TODAY()-F34),IF(AND(G34="Pending",F34&lt;&gt;""),MAX(0,TODAY()-F34),0))</f>
        <v/>
      </c>
      <c r="I34" s="7" t="n"/>
    </row>
    <row r="35">
      <c r="A35" s="10" t="n"/>
      <c r="B35" s="11" t="n"/>
      <c r="C35" s="10" t="n"/>
      <c r="D35" s="10" t="n"/>
      <c r="E35" s="12" t="n"/>
      <c r="F35" s="11" t="n"/>
      <c r="G35" s="10" t="n"/>
      <c r="H35" s="13">
        <f>IF(AND(G35="Overdue",F35&lt;&gt;""),MAX(0,TODAY()-F35),IF(AND(G35="Pending",F35&lt;&gt;""),MAX(0,TODAY()-F35),0))</f>
        <v/>
      </c>
      <c r="I35" s="11" t="n"/>
    </row>
    <row r="36">
      <c r="A36" s="6" t="n"/>
      <c r="B36" s="7" t="n"/>
      <c r="C36" s="6" t="n"/>
      <c r="D36" s="6" t="n"/>
      <c r="E36" s="8" t="n"/>
      <c r="F36" s="7" t="n"/>
      <c r="G36" s="6" t="n"/>
      <c r="H36" s="9">
        <f>IF(AND(G36="Overdue",F36&lt;&gt;""),MAX(0,TODAY()-F36),IF(AND(G36="Pending",F36&lt;&gt;""),MAX(0,TODAY()-F36),0))</f>
        <v/>
      </c>
      <c r="I36" s="7" t="n"/>
    </row>
    <row r="37">
      <c r="A37" s="10" t="n"/>
      <c r="B37" s="11" t="n"/>
      <c r="C37" s="10" t="n"/>
      <c r="D37" s="10" t="n"/>
      <c r="E37" s="12" t="n"/>
      <c r="F37" s="11" t="n"/>
      <c r="G37" s="10" t="n"/>
      <c r="H37" s="13">
        <f>IF(AND(G37="Overdue",F37&lt;&gt;""),MAX(0,TODAY()-F37),IF(AND(G37="Pending",F37&lt;&gt;""),MAX(0,TODAY()-F37),0))</f>
        <v/>
      </c>
      <c r="I37" s="11" t="n"/>
    </row>
    <row r="38">
      <c r="A38" s="6" t="n"/>
      <c r="B38" s="7" t="n"/>
      <c r="C38" s="6" t="n"/>
      <c r="D38" s="6" t="n"/>
      <c r="E38" s="8" t="n"/>
      <c r="F38" s="7" t="n"/>
      <c r="G38" s="6" t="n"/>
      <c r="H38" s="9">
        <f>IF(AND(G38="Overdue",F38&lt;&gt;""),MAX(0,TODAY()-F38),IF(AND(G38="Pending",F38&lt;&gt;""),MAX(0,TODAY()-F38),0))</f>
        <v/>
      </c>
      <c r="I38" s="7" t="n"/>
    </row>
    <row r="39">
      <c r="A39" s="10" t="n"/>
      <c r="B39" s="11" t="n"/>
      <c r="C39" s="10" t="n"/>
      <c r="D39" s="10" t="n"/>
      <c r="E39" s="12" t="n"/>
      <c r="F39" s="11" t="n"/>
      <c r="G39" s="10" t="n"/>
      <c r="H39" s="13">
        <f>IF(AND(G39="Overdue",F39&lt;&gt;""),MAX(0,TODAY()-F39),IF(AND(G39="Pending",F39&lt;&gt;""),MAX(0,TODAY()-F39),0))</f>
        <v/>
      </c>
      <c r="I39" s="11" t="n"/>
    </row>
    <row r="40">
      <c r="A40" s="6" t="n"/>
      <c r="B40" s="7" t="n"/>
      <c r="C40" s="6" t="n"/>
      <c r="D40" s="6" t="n"/>
      <c r="E40" s="8" t="n"/>
      <c r="F40" s="7" t="n"/>
      <c r="G40" s="6" t="n"/>
      <c r="H40" s="9">
        <f>IF(AND(G40="Overdue",F40&lt;&gt;""),MAX(0,TODAY()-F40),IF(AND(G40="Pending",F40&lt;&gt;""),MAX(0,TODAY()-F40),0))</f>
        <v/>
      </c>
      <c r="I40" s="7" t="n"/>
    </row>
    <row r="41">
      <c r="A41" s="10" t="n"/>
      <c r="B41" s="11" t="n"/>
      <c r="C41" s="10" t="n"/>
      <c r="D41" s="10" t="n"/>
      <c r="E41" s="12" t="n"/>
      <c r="F41" s="11" t="n"/>
      <c r="G41" s="10" t="n"/>
      <c r="H41" s="13">
        <f>IF(AND(G41="Overdue",F41&lt;&gt;""),MAX(0,TODAY()-F41),IF(AND(G41="Pending",F41&lt;&gt;""),MAX(0,TODAY()-F41),0))</f>
        <v/>
      </c>
      <c r="I41" s="11" t="n"/>
    </row>
    <row r="42">
      <c r="A42" s="6" t="n"/>
      <c r="B42" s="7" t="n"/>
      <c r="C42" s="6" t="n"/>
      <c r="D42" s="6" t="n"/>
      <c r="E42" s="8" t="n"/>
      <c r="F42" s="7" t="n"/>
      <c r="G42" s="6" t="n"/>
      <c r="H42" s="9">
        <f>IF(AND(G42="Overdue",F42&lt;&gt;""),MAX(0,TODAY()-F42),IF(AND(G42="Pending",F42&lt;&gt;""),MAX(0,TODAY()-F42),0))</f>
        <v/>
      </c>
      <c r="I42" s="7" t="n"/>
    </row>
    <row r="43">
      <c r="A43" s="10" t="n"/>
      <c r="B43" s="11" t="n"/>
      <c r="C43" s="10" t="n"/>
      <c r="D43" s="10" t="n"/>
      <c r="E43" s="12" t="n"/>
      <c r="F43" s="11" t="n"/>
      <c r="G43" s="10" t="n"/>
      <c r="H43" s="13">
        <f>IF(AND(G43="Overdue",F43&lt;&gt;""),MAX(0,TODAY()-F43),IF(AND(G43="Pending",F43&lt;&gt;""),MAX(0,TODAY()-F43),0))</f>
        <v/>
      </c>
      <c r="I43" s="11" t="n"/>
    </row>
    <row r="44">
      <c r="A44" s="6" t="n"/>
      <c r="B44" s="7" t="n"/>
      <c r="C44" s="6" t="n"/>
      <c r="D44" s="6" t="n"/>
      <c r="E44" s="8" t="n"/>
      <c r="F44" s="7" t="n"/>
      <c r="G44" s="6" t="n"/>
      <c r="H44" s="9">
        <f>IF(AND(G44="Overdue",F44&lt;&gt;""),MAX(0,TODAY()-F44),IF(AND(G44="Pending",F44&lt;&gt;""),MAX(0,TODAY()-F44),0))</f>
        <v/>
      </c>
      <c r="I44" s="7" t="n"/>
    </row>
    <row r="45">
      <c r="A45" s="10" t="n"/>
      <c r="B45" s="11" t="n"/>
      <c r="C45" s="10" t="n"/>
      <c r="D45" s="10" t="n"/>
      <c r="E45" s="12" t="n"/>
      <c r="F45" s="11" t="n"/>
      <c r="G45" s="10" t="n"/>
      <c r="H45" s="13">
        <f>IF(AND(G45="Overdue",F45&lt;&gt;""),MAX(0,TODAY()-F45),IF(AND(G45="Pending",F45&lt;&gt;""),MAX(0,TODAY()-F45),0))</f>
        <v/>
      </c>
      <c r="I45" s="11" t="n"/>
    </row>
    <row r="46">
      <c r="A46" s="6" t="n"/>
      <c r="B46" s="7" t="n"/>
      <c r="C46" s="6" t="n"/>
      <c r="D46" s="6" t="n"/>
      <c r="E46" s="8" t="n"/>
      <c r="F46" s="7" t="n"/>
      <c r="G46" s="6" t="n"/>
      <c r="H46" s="9">
        <f>IF(AND(G46="Overdue",F46&lt;&gt;""),MAX(0,TODAY()-F46),IF(AND(G46="Pending",F46&lt;&gt;""),MAX(0,TODAY()-F46),0))</f>
        <v/>
      </c>
      <c r="I46" s="7" t="n"/>
    </row>
    <row r="47">
      <c r="A47" s="10" t="n"/>
      <c r="B47" s="11" t="n"/>
      <c r="C47" s="10" t="n"/>
      <c r="D47" s="10" t="n"/>
      <c r="E47" s="12" t="n"/>
      <c r="F47" s="11" t="n"/>
      <c r="G47" s="10" t="n"/>
      <c r="H47" s="13">
        <f>IF(AND(G47="Overdue",F47&lt;&gt;""),MAX(0,TODAY()-F47),IF(AND(G47="Pending",F47&lt;&gt;""),MAX(0,TODAY()-F47),0))</f>
        <v/>
      </c>
      <c r="I47" s="11" t="n"/>
    </row>
    <row r="48">
      <c r="A48" s="6" t="n"/>
      <c r="B48" s="7" t="n"/>
      <c r="C48" s="6" t="n"/>
      <c r="D48" s="6" t="n"/>
      <c r="E48" s="8" t="n"/>
      <c r="F48" s="7" t="n"/>
      <c r="G48" s="6" t="n"/>
      <c r="H48" s="9">
        <f>IF(AND(G48="Overdue",F48&lt;&gt;""),MAX(0,TODAY()-F48),IF(AND(G48="Pending",F48&lt;&gt;""),MAX(0,TODAY()-F48),0))</f>
        <v/>
      </c>
      <c r="I48" s="7" t="n"/>
    </row>
    <row r="49">
      <c r="A49" s="10" t="n"/>
      <c r="B49" s="11" t="n"/>
      <c r="C49" s="10" t="n"/>
      <c r="D49" s="10" t="n"/>
      <c r="E49" s="12" t="n"/>
      <c r="F49" s="11" t="n"/>
      <c r="G49" s="10" t="n"/>
      <c r="H49" s="13">
        <f>IF(AND(G49="Overdue",F49&lt;&gt;""),MAX(0,TODAY()-F49),IF(AND(G49="Pending",F49&lt;&gt;""),MAX(0,TODAY()-F49),0))</f>
        <v/>
      </c>
      <c r="I49" s="11" t="n"/>
    </row>
    <row r="50">
      <c r="A50" s="6" t="n"/>
      <c r="B50" s="7" t="n"/>
      <c r="C50" s="6" t="n"/>
      <c r="D50" s="6" t="n"/>
      <c r="E50" s="8" t="n"/>
      <c r="F50" s="7" t="n"/>
      <c r="G50" s="6" t="n"/>
      <c r="H50" s="9">
        <f>IF(AND(G50="Overdue",F50&lt;&gt;""),MAX(0,TODAY()-F50),IF(AND(G50="Pending",F50&lt;&gt;""),MAX(0,TODAY()-F50),0))</f>
        <v/>
      </c>
      <c r="I50" s="7" t="n"/>
    </row>
    <row r="51">
      <c r="A51" s="10" t="n"/>
      <c r="B51" s="11" t="n"/>
      <c r="C51" s="10" t="n"/>
      <c r="D51" s="10" t="n"/>
      <c r="E51" s="12" t="n"/>
      <c r="F51" s="11" t="n"/>
      <c r="G51" s="10" t="n"/>
      <c r="H51" s="13">
        <f>IF(AND(G51="Overdue",F51&lt;&gt;""),MAX(0,TODAY()-F51),IF(AND(G51="Pending",F51&lt;&gt;""),MAX(0,TODAY()-F51),0))</f>
        <v/>
      </c>
      <c r="I51" s="11" t="n"/>
    </row>
    <row r="52">
      <c r="A52" s="6" t="n"/>
      <c r="B52" s="7" t="n"/>
      <c r="C52" s="6" t="n"/>
      <c r="D52" s="6" t="n"/>
      <c r="E52" s="8" t="n"/>
      <c r="F52" s="7" t="n"/>
      <c r="G52" s="6" t="n"/>
      <c r="H52" s="9">
        <f>IF(AND(G52="Overdue",F52&lt;&gt;""),MAX(0,TODAY()-F52),IF(AND(G52="Pending",F52&lt;&gt;""),MAX(0,TODAY()-F52),0))</f>
        <v/>
      </c>
      <c r="I52" s="7" t="n"/>
    </row>
    <row r="53">
      <c r="A53" s="10" t="n"/>
      <c r="B53" s="11" t="n"/>
      <c r="C53" s="10" t="n"/>
      <c r="D53" s="10" t="n"/>
      <c r="E53" s="12" t="n"/>
      <c r="F53" s="11" t="n"/>
      <c r="G53" s="10" t="n"/>
      <c r="H53" s="13">
        <f>IF(AND(G53="Overdue",F53&lt;&gt;""),MAX(0,TODAY()-F53),IF(AND(G53="Pending",F53&lt;&gt;""),MAX(0,TODAY()-F53),0))</f>
        <v/>
      </c>
      <c r="I53" s="11" t="n"/>
    </row>
    <row r="54">
      <c r="A54" s="6" t="n"/>
      <c r="B54" s="7" t="n"/>
      <c r="C54" s="6" t="n"/>
      <c r="D54" s="6" t="n"/>
      <c r="E54" s="8" t="n"/>
      <c r="F54" s="7" t="n"/>
      <c r="G54" s="6" t="n"/>
      <c r="H54" s="9">
        <f>IF(AND(G54="Overdue",F54&lt;&gt;""),MAX(0,TODAY()-F54),IF(AND(G54="Pending",F54&lt;&gt;""),MAX(0,TODAY()-F54),0))</f>
        <v/>
      </c>
      <c r="I54" s="7" t="n"/>
    </row>
    <row r="55">
      <c r="A55" s="10" t="n"/>
      <c r="B55" s="11" t="n"/>
      <c r="C55" s="10" t="n"/>
      <c r="D55" s="10" t="n"/>
      <c r="E55" s="12" t="n"/>
      <c r="F55" s="11" t="n"/>
      <c r="G55" s="10" t="n"/>
      <c r="H55" s="13">
        <f>IF(AND(G55="Overdue",F55&lt;&gt;""),MAX(0,TODAY()-F55),IF(AND(G55="Pending",F55&lt;&gt;""),MAX(0,TODAY()-F55),0))</f>
        <v/>
      </c>
      <c r="I55" s="11" t="n"/>
    </row>
    <row r="56">
      <c r="A56" s="6" t="n"/>
      <c r="B56" s="7" t="n"/>
      <c r="C56" s="6" t="n"/>
      <c r="D56" s="6" t="n"/>
      <c r="E56" s="8" t="n"/>
      <c r="F56" s="7" t="n"/>
      <c r="G56" s="6" t="n"/>
      <c r="H56" s="9">
        <f>IF(AND(G56="Overdue",F56&lt;&gt;""),MAX(0,TODAY()-F56),IF(AND(G56="Pending",F56&lt;&gt;""),MAX(0,TODAY()-F56),0))</f>
        <v/>
      </c>
      <c r="I56" s="7" t="n"/>
    </row>
    <row r="57">
      <c r="A57" s="10" t="n"/>
      <c r="B57" s="11" t="n"/>
      <c r="C57" s="10" t="n"/>
      <c r="D57" s="10" t="n"/>
      <c r="E57" s="12" t="n"/>
      <c r="F57" s="11" t="n"/>
      <c r="G57" s="10" t="n"/>
      <c r="H57" s="13">
        <f>IF(AND(G57="Overdue",F57&lt;&gt;""),MAX(0,TODAY()-F57),IF(AND(G57="Pending",F57&lt;&gt;""),MAX(0,TODAY()-F57),0))</f>
        <v/>
      </c>
      <c r="I57" s="11" t="n"/>
    </row>
    <row r="58">
      <c r="A58" s="6" t="n"/>
      <c r="B58" s="7" t="n"/>
      <c r="C58" s="6" t="n"/>
      <c r="D58" s="6" t="n"/>
      <c r="E58" s="8" t="n"/>
      <c r="F58" s="7" t="n"/>
      <c r="G58" s="6" t="n"/>
      <c r="H58" s="9">
        <f>IF(AND(G58="Overdue",F58&lt;&gt;""),MAX(0,TODAY()-F58),IF(AND(G58="Pending",F58&lt;&gt;""),MAX(0,TODAY()-F58),0))</f>
        <v/>
      </c>
      <c r="I58" s="7" t="n"/>
    </row>
    <row r="59">
      <c r="A59" s="10" t="n"/>
      <c r="B59" s="11" t="n"/>
      <c r="C59" s="10" t="n"/>
      <c r="D59" s="10" t="n"/>
      <c r="E59" s="12" t="n"/>
      <c r="F59" s="11" t="n"/>
      <c r="G59" s="10" t="n"/>
      <c r="H59" s="13">
        <f>IF(AND(G59="Overdue",F59&lt;&gt;""),MAX(0,TODAY()-F59),IF(AND(G59="Pending",F59&lt;&gt;""),MAX(0,TODAY()-F59),0))</f>
        <v/>
      </c>
      <c r="I59" s="11" t="n"/>
    </row>
    <row r="60">
      <c r="A60" s="6" t="n"/>
      <c r="B60" s="7" t="n"/>
      <c r="C60" s="6" t="n"/>
      <c r="D60" s="6" t="n"/>
      <c r="E60" s="8" t="n"/>
      <c r="F60" s="7" t="n"/>
      <c r="G60" s="6" t="n"/>
      <c r="H60" s="9">
        <f>IF(AND(G60="Overdue",F60&lt;&gt;""),MAX(0,TODAY()-F60),IF(AND(G60="Pending",F60&lt;&gt;""),MAX(0,TODAY()-F60),0))</f>
        <v/>
      </c>
      <c r="I60" s="7" t="n"/>
    </row>
    <row r="61">
      <c r="A61" s="10" t="n"/>
      <c r="B61" s="11" t="n"/>
      <c r="C61" s="10" t="n"/>
      <c r="D61" s="10" t="n"/>
      <c r="E61" s="12" t="n"/>
      <c r="F61" s="11" t="n"/>
      <c r="G61" s="10" t="n"/>
      <c r="H61" s="13">
        <f>IF(AND(G61="Overdue",F61&lt;&gt;""),MAX(0,TODAY()-F61),IF(AND(G61="Pending",F61&lt;&gt;""),MAX(0,TODAY()-F61),0))</f>
        <v/>
      </c>
      <c r="I61" s="11" t="n"/>
    </row>
    <row r="62">
      <c r="A62" s="6" t="n"/>
      <c r="B62" s="7" t="n"/>
      <c r="C62" s="6" t="n"/>
      <c r="D62" s="6" t="n"/>
      <c r="E62" s="8" t="n"/>
      <c r="F62" s="7" t="n"/>
      <c r="G62" s="6" t="n"/>
      <c r="H62" s="9">
        <f>IF(AND(G62="Overdue",F62&lt;&gt;""),MAX(0,TODAY()-F62),IF(AND(G62="Pending",F62&lt;&gt;""),MAX(0,TODAY()-F62),0))</f>
        <v/>
      </c>
      <c r="I62" s="7" t="n"/>
    </row>
    <row r="63">
      <c r="A63" s="10" t="n"/>
      <c r="B63" s="11" t="n"/>
      <c r="C63" s="10" t="n"/>
      <c r="D63" s="10" t="n"/>
      <c r="E63" s="12" t="n"/>
      <c r="F63" s="11" t="n"/>
      <c r="G63" s="10" t="n"/>
      <c r="H63" s="13">
        <f>IF(AND(G63="Overdue",F63&lt;&gt;""),MAX(0,TODAY()-F63),IF(AND(G63="Pending",F63&lt;&gt;""),MAX(0,TODAY()-F63),0))</f>
        <v/>
      </c>
      <c r="I63" s="11" t="n"/>
    </row>
    <row r="64">
      <c r="A64" s="6" t="n"/>
      <c r="B64" s="7" t="n"/>
      <c r="C64" s="6" t="n"/>
      <c r="D64" s="6" t="n"/>
      <c r="E64" s="8" t="n"/>
      <c r="F64" s="7" t="n"/>
      <c r="G64" s="6" t="n"/>
      <c r="H64" s="9">
        <f>IF(AND(G64="Overdue",F64&lt;&gt;""),MAX(0,TODAY()-F64),IF(AND(G64="Pending",F64&lt;&gt;""),MAX(0,TODAY()-F64),0))</f>
        <v/>
      </c>
      <c r="I64" s="7" t="n"/>
    </row>
    <row r="65">
      <c r="A65" s="10" t="n"/>
      <c r="B65" s="11" t="n"/>
      <c r="C65" s="10" t="n"/>
      <c r="D65" s="10" t="n"/>
      <c r="E65" s="12" t="n"/>
      <c r="F65" s="11" t="n"/>
      <c r="G65" s="10" t="n"/>
      <c r="H65" s="13">
        <f>IF(AND(G65="Overdue",F65&lt;&gt;""),MAX(0,TODAY()-F65),IF(AND(G65="Pending",F65&lt;&gt;""),MAX(0,TODAY()-F65),0))</f>
        <v/>
      </c>
      <c r="I65" s="11" t="n"/>
    </row>
    <row r="66">
      <c r="A66" s="6" t="n"/>
      <c r="B66" s="7" t="n"/>
      <c r="C66" s="6" t="n"/>
      <c r="D66" s="6" t="n"/>
      <c r="E66" s="8" t="n"/>
      <c r="F66" s="7" t="n"/>
      <c r="G66" s="6" t="n"/>
      <c r="H66" s="9">
        <f>IF(AND(G66="Overdue",F66&lt;&gt;""),MAX(0,TODAY()-F66),IF(AND(G66="Pending",F66&lt;&gt;""),MAX(0,TODAY()-F66),0))</f>
        <v/>
      </c>
      <c r="I66" s="7" t="n"/>
    </row>
    <row r="67">
      <c r="A67" s="10" t="n"/>
      <c r="B67" s="11" t="n"/>
      <c r="C67" s="10" t="n"/>
      <c r="D67" s="10" t="n"/>
      <c r="E67" s="12" t="n"/>
      <c r="F67" s="11" t="n"/>
      <c r="G67" s="10" t="n"/>
      <c r="H67" s="13">
        <f>IF(AND(G67="Overdue",F67&lt;&gt;""),MAX(0,TODAY()-F67),IF(AND(G67="Pending",F67&lt;&gt;""),MAX(0,TODAY()-F67),0))</f>
        <v/>
      </c>
      <c r="I67" s="11" t="n"/>
    </row>
    <row r="68">
      <c r="A68" s="6" t="n"/>
      <c r="B68" s="7" t="n"/>
      <c r="C68" s="6" t="n"/>
      <c r="D68" s="6" t="n"/>
      <c r="E68" s="8" t="n"/>
      <c r="F68" s="7" t="n"/>
      <c r="G68" s="6" t="n"/>
      <c r="H68" s="9">
        <f>IF(AND(G68="Overdue",F68&lt;&gt;""),MAX(0,TODAY()-F68),IF(AND(G68="Pending",F68&lt;&gt;""),MAX(0,TODAY()-F68),0))</f>
        <v/>
      </c>
      <c r="I68" s="7" t="n"/>
    </row>
    <row r="69">
      <c r="A69" s="10" t="n"/>
      <c r="B69" s="11" t="n"/>
      <c r="C69" s="10" t="n"/>
      <c r="D69" s="10" t="n"/>
      <c r="E69" s="12" t="n"/>
      <c r="F69" s="11" t="n"/>
      <c r="G69" s="10" t="n"/>
      <c r="H69" s="13">
        <f>IF(AND(G69="Overdue",F69&lt;&gt;""),MAX(0,TODAY()-F69),IF(AND(G69="Pending",F69&lt;&gt;""),MAX(0,TODAY()-F69),0))</f>
        <v/>
      </c>
      <c r="I69" s="11" t="n"/>
    </row>
    <row r="70">
      <c r="A70" s="6" t="n"/>
      <c r="B70" s="7" t="n"/>
      <c r="C70" s="6" t="n"/>
      <c r="D70" s="6" t="n"/>
      <c r="E70" s="8" t="n"/>
      <c r="F70" s="7" t="n"/>
      <c r="G70" s="6" t="n"/>
      <c r="H70" s="9">
        <f>IF(AND(G70="Overdue",F70&lt;&gt;""),MAX(0,TODAY()-F70),IF(AND(G70="Pending",F70&lt;&gt;""),MAX(0,TODAY()-F70),0))</f>
        <v/>
      </c>
      <c r="I70" s="7" t="n"/>
    </row>
    <row r="71">
      <c r="A71" s="10" t="n"/>
      <c r="B71" s="11" t="n"/>
      <c r="C71" s="10" t="n"/>
      <c r="D71" s="10" t="n"/>
      <c r="E71" s="12" t="n"/>
      <c r="F71" s="11" t="n"/>
      <c r="G71" s="10" t="n"/>
      <c r="H71" s="13">
        <f>IF(AND(G71="Overdue",F71&lt;&gt;""),MAX(0,TODAY()-F71),IF(AND(G71="Pending",F71&lt;&gt;""),MAX(0,TODAY()-F71),0))</f>
        <v/>
      </c>
      <c r="I71" s="11" t="n"/>
    </row>
    <row r="72">
      <c r="A72" s="6" t="n"/>
      <c r="B72" s="7" t="n"/>
      <c r="C72" s="6" t="n"/>
      <c r="D72" s="6" t="n"/>
      <c r="E72" s="8" t="n"/>
      <c r="F72" s="7" t="n"/>
      <c r="G72" s="6" t="n"/>
      <c r="H72" s="9">
        <f>IF(AND(G72="Overdue",F72&lt;&gt;""),MAX(0,TODAY()-F72),IF(AND(G72="Pending",F72&lt;&gt;""),MAX(0,TODAY()-F72),0))</f>
        <v/>
      </c>
      <c r="I72" s="7" t="n"/>
    </row>
    <row r="73">
      <c r="A73" s="10" t="n"/>
      <c r="B73" s="11" t="n"/>
      <c r="C73" s="10" t="n"/>
      <c r="D73" s="10" t="n"/>
      <c r="E73" s="12" t="n"/>
      <c r="F73" s="11" t="n"/>
      <c r="G73" s="10" t="n"/>
      <c r="H73" s="13">
        <f>IF(AND(G73="Overdue",F73&lt;&gt;""),MAX(0,TODAY()-F73),IF(AND(G73="Pending",F73&lt;&gt;""),MAX(0,TODAY()-F73),0))</f>
        <v/>
      </c>
      <c r="I73" s="11" t="n"/>
    </row>
    <row r="74">
      <c r="A74" s="6" t="n"/>
      <c r="B74" s="7" t="n"/>
      <c r="C74" s="6" t="n"/>
      <c r="D74" s="6" t="n"/>
      <c r="E74" s="8" t="n"/>
      <c r="F74" s="7" t="n"/>
      <c r="G74" s="6" t="n"/>
      <c r="H74" s="9">
        <f>IF(AND(G74="Overdue",F74&lt;&gt;""),MAX(0,TODAY()-F74),IF(AND(G74="Pending",F74&lt;&gt;""),MAX(0,TODAY()-F74),0))</f>
        <v/>
      </c>
      <c r="I74" s="7" t="n"/>
    </row>
    <row r="75">
      <c r="A75" s="10" t="n"/>
      <c r="B75" s="11" t="n"/>
      <c r="C75" s="10" t="n"/>
      <c r="D75" s="10" t="n"/>
      <c r="E75" s="12" t="n"/>
      <c r="F75" s="11" t="n"/>
      <c r="G75" s="10" t="n"/>
      <c r="H75" s="13">
        <f>IF(AND(G75="Overdue",F75&lt;&gt;""),MAX(0,TODAY()-F75),IF(AND(G75="Pending",F75&lt;&gt;""),MAX(0,TODAY()-F75),0))</f>
        <v/>
      </c>
      <c r="I75" s="11" t="n"/>
    </row>
    <row r="76">
      <c r="A76" s="6" t="n"/>
      <c r="B76" s="7" t="n"/>
      <c r="C76" s="6" t="n"/>
      <c r="D76" s="6" t="n"/>
      <c r="E76" s="8" t="n"/>
      <c r="F76" s="7" t="n"/>
      <c r="G76" s="6" t="n"/>
      <c r="H76" s="9">
        <f>IF(AND(G76="Overdue",F76&lt;&gt;""),MAX(0,TODAY()-F76),IF(AND(G76="Pending",F76&lt;&gt;""),MAX(0,TODAY()-F76),0))</f>
        <v/>
      </c>
      <c r="I76" s="7" t="n"/>
    </row>
    <row r="77">
      <c r="A77" s="10" t="n"/>
      <c r="B77" s="11" t="n"/>
      <c r="C77" s="10" t="n"/>
      <c r="D77" s="10" t="n"/>
      <c r="E77" s="12" t="n"/>
      <c r="F77" s="11" t="n"/>
      <c r="G77" s="10" t="n"/>
      <c r="H77" s="13">
        <f>IF(AND(G77="Overdue",F77&lt;&gt;""),MAX(0,TODAY()-F77),IF(AND(G77="Pending",F77&lt;&gt;""),MAX(0,TODAY()-F77),0))</f>
        <v/>
      </c>
      <c r="I77" s="11" t="n"/>
    </row>
    <row r="78">
      <c r="A78" s="6" t="n"/>
      <c r="B78" s="7" t="n"/>
      <c r="C78" s="6" t="n"/>
      <c r="D78" s="6" t="n"/>
      <c r="E78" s="8" t="n"/>
      <c r="F78" s="7" t="n"/>
      <c r="G78" s="6" t="n"/>
      <c r="H78" s="9">
        <f>IF(AND(G78="Overdue",F78&lt;&gt;""),MAX(0,TODAY()-F78),IF(AND(G78="Pending",F78&lt;&gt;""),MAX(0,TODAY()-F78),0))</f>
        <v/>
      </c>
      <c r="I78" s="7" t="n"/>
    </row>
    <row r="79">
      <c r="A79" s="10" t="n"/>
      <c r="B79" s="11" t="n"/>
      <c r="C79" s="10" t="n"/>
      <c r="D79" s="10" t="n"/>
      <c r="E79" s="12" t="n"/>
      <c r="F79" s="11" t="n"/>
      <c r="G79" s="10" t="n"/>
      <c r="H79" s="13">
        <f>IF(AND(G79="Overdue",F79&lt;&gt;""),MAX(0,TODAY()-F79),IF(AND(G79="Pending",F79&lt;&gt;""),MAX(0,TODAY()-F79),0))</f>
        <v/>
      </c>
      <c r="I79" s="11" t="n"/>
    </row>
    <row r="80">
      <c r="A80" s="6" t="n"/>
      <c r="B80" s="7" t="n"/>
      <c r="C80" s="6" t="n"/>
      <c r="D80" s="6" t="n"/>
      <c r="E80" s="8" t="n"/>
      <c r="F80" s="7" t="n"/>
      <c r="G80" s="6" t="n"/>
      <c r="H80" s="9">
        <f>IF(AND(G80="Overdue",F80&lt;&gt;""),MAX(0,TODAY()-F80),IF(AND(G80="Pending",F80&lt;&gt;""),MAX(0,TODAY()-F80),0))</f>
        <v/>
      </c>
      <c r="I80" s="7" t="n"/>
    </row>
    <row r="81">
      <c r="A81" s="10" t="n"/>
      <c r="B81" s="11" t="n"/>
      <c r="C81" s="10" t="n"/>
      <c r="D81" s="10" t="n"/>
      <c r="E81" s="12" t="n"/>
      <c r="F81" s="11" t="n"/>
      <c r="G81" s="10" t="n"/>
      <c r="H81" s="13">
        <f>IF(AND(G81="Overdue",F81&lt;&gt;""),MAX(0,TODAY()-F81),IF(AND(G81="Pending",F81&lt;&gt;""),MAX(0,TODAY()-F81),0))</f>
        <v/>
      </c>
      <c r="I81" s="11" t="n"/>
    </row>
    <row r="82">
      <c r="A82" s="6" t="n"/>
      <c r="B82" s="7" t="n"/>
      <c r="C82" s="6" t="n"/>
      <c r="D82" s="6" t="n"/>
      <c r="E82" s="8" t="n"/>
      <c r="F82" s="7" t="n"/>
      <c r="G82" s="6" t="n"/>
      <c r="H82" s="9">
        <f>IF(AND(G82="Overdue",F82&lt;&gt;""),MAX(0,TODAY()-F82),IF(AND(G82="Pending",F82&lt;&gt;""),MAX(0,TODAY()-F82),0))</f>
        <v/>
      </c>
      <c r="I82" s="7" t="n"/>
    </row>
    <row r="83">
      <c r="A83" s="10" t="n"/>
      <c r="B83" s="11" t="n"/>
      <c r="C83" s="10" t="n"/>
      <c r="D83" s="10" t="n"/>
      <c r="E83" s="12" t="n"/>
      <c r="F83" s="11" t="n"/>
      <c r="G83" s="10" t="n"/>
      <c r="H83" s="13">
        <f>IF(AND(G83="Overdue",F83&lt;&gt;""),MAX(0,TODAY()-F83),IF(AND(G83="Pending",F83&lt;&gt;""),MAX(0,TODAY()-F83),0))</f>
        <v/>
      </c>
      <c r="I83" s="11" t="n"/>
    </row>
    <row r="84">
      <c r="A84" s="6" t="n"/>
      <c r="B84" s="7" t="n"/>
      <c r="C84" s="6" t="n"/>
      <c r="D84" s="6" t="n"/>
      <c r="E84" s="8" t="n"/>
      <c r="F84" s="7" t="n"/>
      <c r="G84" s="6" t="n"/>
      <c r="H84" s="9">
        <f>IF(AND(G84="Overdue",F84&lt;&gt;""),MAX(0,TODAY()-F84),IF(AND(G84="Pending",F84&lt;&gt;""),MAX(0,TODAY()-F84),0))</f>
        <v/>
      </c>
      <c r="I84" s="7" t="n"/>
    </row>
    <row r="85">
      <c r="A85" s="10" t="n"/>
      <c r="B85" s="11" t="n"/>
      <c r="C85" s="10" t="n"/>
      <c r="D85" s="10" t="n"/>
      <c r="E85" s="12" t="n"/>
      <c r="F85" s="11" t="n"/>
      <c r="G85" s="10" t="n"/>
      <c r="H85" s="13">
        <f>IF(AND(G85="Overdue",F85&lt;&gt;""),MAX(0,TODAY()-F85),IF(AND(G85="Pending",F85&lt;&gt;""),MAX(0,TODAY()-F85),0))</f>
        <v/>
      </c>
      <c r="I85" s="11" t="n"/>
    </row>
    <row r="86">
      <c r="A86" s="6" t="n"/>
      <c r="B86" s="7" t="n"/>
      <c r="C86" s="6" t="n"/>
      <c r="D86" s="6" t="n"/>
      <c r="E86" s="8" t="n"/>
      <c r="F86" s="7" t="n"/>
      <c r="G86" s="6" t="n"/>
      <c r="H86" s="9">
        <f>IF(AND(G86="Overdue",F86&lt;&gt;""),MAX(0,TODAY()-F86),IF(AND(G86="Pending",F86&lt;&gt;""),MAX(0,TODAY()-F86),0))</f>
        <v/>
      </c>
      <c r="I86" s="7" t="n"/>
    </row>
    <row r="87">
      <c r="A87" s="10" t="n"/>
      <c r="B87" s="11" t="n"/>
      <c r="C87" s="10" t="n"/>
      <c r="D87" s="10" t="n"/>
      <c r="E87" s="12" t="n"/>
      <c r="F87" s="11" t="n"/>
      <c r="G87" s="10" t="n"/>
      <c r="H87" s="13">
        <f>IF(AND(G87="Overdue",F87&lt;&gt;""),MAX(0,TODAY()-F87),IF(AND(G87="Pending",F87&lt;&gt;""),MAX(0,TODAY()-F87),0))</f>
        <v/>
      </c>
      <c r="I87" s="11" t="n"/>
    </row>
    <row r="88">
      <c r="A88" s="6" t="n"/>
      <c r="B88" s="7" t="n"/>
      <c r="C88" s="6" t="n"/>
      <c r="D88" s="6" t="n"/>
      <c r="E88" s="8" t="n"/>
      <c r="F88" s="7" t="n"/>
      <c r="G88" s="6" t="n"/>
      <c r="H88" s="9">
        <f>IF(AND(G88="Overdue",F88&lt;&gt;""),MAX(0,TODAY()-F88),IF(AND(G88="Pending",F88&lt;&gt;""),MAX(0,TODAY()-F88),0))</f>
        <v/>
      </c>
      <c r="I88" s="7" t="n"/>
    </row>
    <row r="89">
      <c r="A89" s="10" t="n"/>
      <c r="B89" s="11" t="n"/>
      <c r="C89" s="10" t="n"/>
      <c r="D89" s="10" t="n"/>
      <c r="E89" s="12" t="n"/>
      <c r="F89" s="11" t="n"/>
      <c r="G89" s="10" t="n"/>
      <c r="H89" s="13">
        <f>IF(AND(G89="Overdue",F89&lt;&gt;""),MAX(0,TODAY()-F89),IF(AND(G89="Pending",F89&lt;&gt;""),MAX(0,TODAY()-F89),0))</f>
        <v/>
      </c>
      <c r="I89" s="11" t="n"/>
    </row>
    <row r="90">
      <c r="A90" s="6" t="n"/>
      <c r="B90" s="7" t="n"/>
      <c r="C90" s="6" t="n"/>
      <c r="D90" s="6" t="n"/>
      <c r="E90" s="8" t="n"/>
      <c r="F90" s="7" t="n"/>
      <c r="G90" s="6" t="n"/>
      <c r="H90" s="9">
        <f>IF(AND(G90="Overdue",F90&lt;&gt;""),MAX(0,TODAY()-F90),IF(AND(G90="Pending",F90&lt;&gt;""),MAX(0,TODAY()-F90),0))</f>
        <v/>
      </c>
      <c r="I90" s="7" t="n"/>
    </row>
    <row r="91">
      <c r="A91" s="10" t="n"/>
      <c r="B91" s="11" t="n"/>
      <c r="C91" s="10" t="n"/>
      <c r="D91" s="10" t="n"/>
      <c r="E91" s="12" t="n"/>
      <c r="F91" s="11" t="n"/>
      <c r="G91" s="10" t="n"/>
      <c r="H91" s="13">
        <f>IF(AND(G91="Overdue",F91&lt;&gt;""),MAX(0,TODAY()-F91),IF(AND(G91="Pending",F91&lt;&gt;""),MAX(0,TODAY()-F91),0))</f>
        <v/>
      </c>
      <c r="I91" s="11" t="n"/>
    </row>
    <row r="92">
      <c r="A92" s="6" t="n"/>
      <c r="B92" s="7" t="n"/>
      <c r="C92" s="6" t="n"/>
      <c r="D92" s="6" t="n"/>
      <c r="E92" s="8" t="n"/>
      <c r="F92" s="7" t="n"/>
      <c r="G92" s="6" t="n"/>
      <c r="H92" s="9">
        <f>IF(AND(G92="Overdue",F92&lt;&gt;""),MAX(0,TODAY()-F92),IF(AND(G92="Pending",F92&lt;&gt;""),MAX(0,TODAY()-F92),0))</f>
        <v/>
      </c>
      <c r="I92" s="7" t="n"/>
    </row>
    <row r="93">
      <c r="A93" s="10" t="n"/>
      <c r="B93" s="11" t="n"/>
      <c r="C93" s="10" t="n"/>
      <c r="D93" s="10" t="n"/>
      <c r="E93" s="12" t="n"/>
      <c r="F93" s="11" t="n"/>
      <c r="G93" s="10" t="n"/>
      <c r="H93" s="13">
        <f>IF(AND(G93="Overdue",F93&lt;&gt;""),MAX(0,TODAY()-F93),IF(AND(G93="Pending",F93&lt;&gt;""),MAX(0,TODAY()-F93),0))</f>
        <v/>
      </c>
      <c r="I93" s="11" t="n"/>
    </row>
    <row r="94">
      <c r="A94" s="6" t="n"/>
      <c r="B94" s="7" t="n"/>
      <c r="C94" s="6" t="n"/>
      <c r="D94" s="6" t="n"/>
      <c r="E94" s="8" t="n"/>
      <c r="F94" s="7" t="n"/>
      <c r="G94" s="6" t="n"/>
      <c r="H94" s="9">
        <f>IF(AND(G94="Overdue",F94&lt;&gt;""),MAX(0,TODAY()-F94),IF(AND(G94="Pending",F94&lt;&gt;""),MAX(0,TODAY()-F94),0))</f>
        <v/>
      </c>
      <c r="I94" s="7" t="n"/>
    </row>
    <row r="95">
      <c r="A95" s="10" t="n"/>
      <c r="B95" s="11" t="n"/>
      <c r="C95" s="10" t="n"/>
      <c r="D95" s="10" t="n"/>
      <c r="E95" s="12" t="n"/>
      <c r="F95" s="11" t="n"/>
      <c r="G95" s="10" t="n"/>
      <c r="H95" s="13">
        <f>IF(AND(G95="Overdue",F95&lt;&gt;""),MAX(0,TODAY()-F95),IF(AND(G95="Pending",F95&lt;&gt;""),MAX(0,TODAY()-F95),0))</f>
        <v/>
      </c>
      <c r="I95" s="11" t="n"/>
    </row>
    <row r="96">
      <c r="A96" s="6" t="n"/>
      <c r="B96" s="7" t="n"/>
      <c r="C96" s="6" t="n"/>
      <c r="D96" s="6" t="n"/>
      <c r="E96" s="8" t="n"/>
      <c r="F96" s="7" t="n"/>
      <c r="G96" s="6" t="n"/>
      <c r="H96" s="9">
        <f>IF(AND(G96="Overdue",F96&lt;&gt;""),MAX(0,TODAY()-F96),IF(AND(G96="Pending",F96&lt;&gt;""),MAX(0,TODAY()-F96),0))</f>
        <v/>
      </c>
      <c r="I96" s="7" t="n"/>
    </row>
    <row r="97">
      <c r="A97" s="10" t="n"/>
      <c r="B97" s="11" t="n"/>
      <c r="C97" s="10" t="n"/>
      <c r="D97" s="10" t="n"/>
      <c r="E97" s="12" t="n"/>
      <c r="F97" s="11" t="n"/>
      <c r="G97" s="10" t="n"/>
      <c r="H97" s="13">
        <f>IF(AND(G97="Overdue",F97&lt;&gt;""),MAX(0,TODAY()-F97),IF(AND(G97="Pending",F97&lt;&gt;""),MAX(0,TODAY()-F97),0))</f>
        <v/>
      </c>
      <c r="I97" s="11" t="n"/>
    </row>
    <row r="98">
      <c r="A98" s="6" t="n"/>
      <c r="B98" s="7" t="n"/>
      <c r="C98" s="6" t="n"/>
      <c r="D98" s="6" t="n"/>
      <c r="E98" s="8" t="n"/>
      <c r="F98" s="7" t="n"/>
      <c r="G98" s="6" t="n"/>
      <c r="H98" s="9">
        <f>IF(AND(G98="Overdue",F98&lt;&gt;""),MAX(0,TODAY()-F98),IF(AND(G98="Pending",F98&lt;&gt;""),MAX(0,TODAY()-F98),0))</f>
        <v/>
      </c>
      <c r="I98" s="7" t="n"/>
    </row>
    <row r="99">
      <c r="A99" s="10" t="n"/>
      <c r="B99" s="11" t="n"/>
      <c r="C99" s="10" t="n"/>
      <c r="D99" s="10" t="n"/>
      <c r="E99" s="12" t="n"/>
      <c r="F99" s="11" t="n"/>
      <c r="G99" s="10" t="n"/>
      <c r="H99" s="13">
        <f>IF(AND(G99="Overdue",F99&lt;&gt;""),MAX(0,TODAY()-F99),IF(AND(G99="Pending",F99&lt;&gt;""),MAX(0,TODAY()-F99),0))</f>
        <v/>
      </c>
      <c r="I99" s="11" t="n"/>
    </row>
    <row r="100">
      <c r="A100" s="6" t="n"/>
      <c r="B100" s="7" t="n"/>
      <c r="C100" s="6" t="n"/>
      <c r="D100" s="6" t="n"/>
      <c r="E100" s="8" t="n"/>
      <c r="F100" s="7" t="n"/>
      <c r="G100" s="6" t="n"/>
      <c r="H100" s="9">
        <f>IF(AND(G100="Overdue",F100&lt;&gt;""),MAX(0,TODAY()-F100),IF(AND(G100="Pending",F100&lt;&gt;""),MAX(0,TODAY()-F100),0))</f>
        <v/>
      </c>
      <c r="I100" s="7" t="n"/>
    </row>
    <row r="101">
      <c r="A101" s="10" t="n"/>
      <c r="B101" s="11" t="n"/>
      <c r="C101" s="10" t="n"/>
      <c r="D101" s="10" t="n"/>
      <c r="E101" s="12" t="n"/>
      <c r="F101" s="11" t="n"/>
      <c r="G101" s="10" t="n"/>
      <c r="H101" s="13">
        <f>IF(AND(G101="Overdue",F101&lt;&gt;""),MAX(0,TODAY()-F101),IF(AND(G101="Pending",F101&lt;&gt;""),MAX(0,TODAY()-F101),0))</f>
        <v/>
      </c>
      <c r="I101" s="11" t="n"/>
    </row>
    <row r="102">
      <c r="A102" s="6" t="n"/>
      <c r="B102" s="7" t="n"/>
      <c r="C102" s="6" t="n"/>
      <c r="D102" s="6" t="n"/>
      <c r="E102" s="8" t="n"/>
      <c r="F102" s="7" t="n"/>
      <c r="G102" s="6" t="n"/>
      <c r="H102" s="9">
        <f>IF(AND(G102="Overdue",F102&lt;&gt;""),MAX(0,TODAY()-F102),IF(AND(G102="Pending",F102&lt;&gt;""),MAX(0,TODAY()-F102),0))</f>
        <v/>
      </c>
      <c r="I102" s="7" t="n"/>
    </row>
    <row r="103">
      <c r="A103" s="10" t="n"/>
      <c r="B103" s="11" t="n"/>
      <c r="C103" s="10" t="n"/>
      <c r="D103" s="10" t="n"/>
      <c r="E103" s="12" t="n"/>
      <c r="F103" s="11" t="n"/>
      <c r="G103" s="10" t="n"/>
      <c r="H103" s="13">
        <f>IF(AND(G103="Overdue",F103&lt;&gt;""),MAX(0,TODAY()-F103),IF(AND(G103="Pending",F103&lt;&gt;""),MAX(0,TODAY()-F103),0))</f>
        <v/>
      </c>
      <c r="I103" s="11" t="n"/>
    </row>
  </sheetData>
  <mergeCells count="1">
    <mergeCell ref="A1:I1"/>
  </mergeCells>
  <dataValidations count="1">
    <dataValidation sqref="G4:G103" showDropDown="0" showInputMessage="0" showErrorMessage="0" allowBlank="1" type="list">
      <formula1>"Paid,Pending,Overdue,Cancelled"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943A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50" customHeight="1">
      <c r="A1" s="1" t="inlineStr">
        <is>
          <t>Invoice Summary &amp; Aging Report</t>
        </is>
      </c>
    </row>
    <row r="3">
      <c r="A3" s="2" t="inlineStr">
        <is>
          <t>Overview</t>
        </is>
      </c>
    </row>
    <row r="4">
      <c r="A4" s="14" t="inlineStr">
        <is>
          <t>Total Invoiced</t>
        </is>
      </c>
      <c r="B4" s="15">
        <f>SUM('Invoice Tracker'!E4:E103)</f>
        <v/>
      </c>
    </row>
    <row r="5">
      <c r="A5" s="14" t="inlineStr">
        <is>
          <t>Total Paid</t>
        </is>
      </c>
      <c r="B5" s="15">
        <f>SUMIF('Invoice Tracker'!G4:G103,"Paid",'Invoice Tracker'!E4:E103)</f>
        <v/>
      </c>
    </row>
    <row r="6">
      <c r="A6" s="14" t="inlineStr">
        <is>
          <t>Total Pending</t>
        </is>
      </c>
      <c r="B6" s="15">
        <f>SUMIF('Invoice Tracker'!G4:G103,"Pending",'Invoice Tracker'!E4:E103)</f>
        <v/>
      </c>
    </row>
    <row r="7">
      <c r="A7" s="14" t="inlineStr">
        <is>
          <t>Total Overdue</t>
        </is>
      </c>
      <c r="B7" s="15">
        <f>SUMIF('Invoice Tracker'!G4:G103,"Overdue",'Invoice Tracker'!E4:E103)</f>
        <v/>
      </c>
    </row>
    <row r="8">
      <c r="A8" s="14" t="inlineStr">
        <is>
          <t>Total Cancelled</t>
        </is>
      </c>
      <c r="B8" s="15">
        <f>SUMIF('Invoice Tracker'!G4:G103,"Cancelled",'Invoice Tracker'!E4:E103)</f>
        <v/>
      </c>
    </row>
    <row r="11">
      <c r="A11" s="2" t="inlineStr">
        <is>
          <t>Aging Report</t>
        </is>
      </c>
    </row>
    <row r="12">
      <c r="A12" s="16" t="inlineStr">
        <is>
          <t>Category</t>
        </is>
      </c>
      <c r="B12" s="16" t="inlineStr">
        <is>
          <t>Amount</t>
        </is>
      </c>
      <c r="C12" s="16" t="inlineStr">
        <is>
          <t>Count</t>
        </is>
      </c>
    </row>
    <row r="13">
      <c r="A13" s="6" t="inlineStr">
        <is>
          <t>Current (0-30 days)</t>
        </is>
      </c>
      <c r="B13" s="8">
        <f>SUMPRODUCT(('Invoice Tracker'!H4:H103&gt;=0)*('Invoice Tracker'!H4:H103&lt;=30)*('Invoice Tracker'!G4:G103&lt;&gt;"Paid")*('Invoice Tracker'!G4:G103&lt;&gt;"")*('Invoice Tracker'!E4:E103))</f>
        <v/>
      </c>
      <c r="C13" s="6">
        <f>SUMPRODUCT(('Invoice Tracker'!H4:H103&gt;=0)*('Invoice Tracker'!H4:H103&lt;=30)*('Invoice Tracker'!G4:G103&lt;&gt;"Paid")*('Invoice Tracker'!G4:G103&lt;&gt;""))</f>
        <v/>
      </c>
    </row>
    <row r="14">
      <c r="A14" s="10" t="inlineStr">
        <is>
          <t>31-60 days</t>
        </is>
      </c>
      <c r="B14" s="12">
        <f>SUMPRODUCT(('Invoice Tracker'!H4:H103&gt;30)*('Invoice Tracker'!H4:H103&lt;=60)*('Invoice Tracker'!G4:G103&lt;&gt;"Paid")*('Invoice Tracker'!G4:G103&lt;&gt;"")*('Invoice Tracker'!E4:E103))</f>
        <v/>
      </c>
      <c r="C14" s="10">
        <f>SUMPRODUCT(('Invoice Tracker'!H4:H103&gt;30)*('Invoice Tracker'!H4:H103&lt;=60)*('Invoice Tracker'!G4:G103&lt;&gt;"Paid")*('Invoice Tracker'!G4:G103&lt;&gt;""))</f>
        <v/>
      </c>
    </row>
    <row r="15">
      <c r="A15" s="6" t="inlineStr">
        <is>
          <t>61-90 days</t>
        </is>
      </c>
      <c r="B15" s="8">
        <f>SUMPRODUCT(('Invoice Tracker'!H4:H103&gt;60)*('Invoice Tracker'!H4:H103&lt;=90)*('Invoice Tracker'!G4:G103&lt;&gt;"Paid")*('Invoice Tracker'!G4:G103&lt;&gt;"")*('Invoice Tracker'!E4:E103))</f>
        <v/>
      </c>
      <c r="C15" s="6">
        <f>SUMPRODUCT(('Invoice Tracker'!H4:H103&gt;60)*('Invoice Tracker'!H4:H103&lt;=90)*('Invoice Tracker'!G4:G103&lt;&gt;"Paid")*('Invoice Tracker'!G4:G103&lt;&gt;""))</f>
        <v/>
      </c>
    </row>
    <row r="16">
      <c r="A16" s="10" t="inlineStr">
        <is>
          <t>Over 90 days</t>
        </is>
      </c>
      <c r="B16" s="12">
        <f>SUMPRODUCT(('Invoice Tracker'!H4:H103&gt;90)*('Invoice Tracker'!G4:G103&lt;&gt;"Paid")*('Invoice Tracker'!G4:G103&lt;&gt;"")*('Invoice Tracker'!E4:E103))</f>
        <v/>
      </c>
      <c r="C16" s="10">
        <f>SUMPRODUCT(('Invoice Tracker'!H4:H103&gt;90)*('Invoice Tracker'!G4:G103&lt;&gt;"Paid")*('Invoice Tracker'!G4:G103&lt;&gt;""))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