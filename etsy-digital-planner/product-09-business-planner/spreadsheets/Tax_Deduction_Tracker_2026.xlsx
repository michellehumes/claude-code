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Annual Summary" sheetId="2" state="visible" r:id="rId2"/>
    <sheet name="Q1 (Jan-Mar)" sheetId="3" state="visible" r:id="rId3"/>
    <sheet name="Q2 (Apr-Jun)" sheetId="4" state="visible" r:id="rId4"/>
    <sheet name="Q3 (Jul-Sep)" sheetId="5" state="visible" r:id="rId5"/>
    <sheet name="Q4 (Oct-Dec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$#,##0.00"/>
  </numFmts>
  <fonts count="11">
    <font>
      <name val="Calibri"/>
      <family val="2"/>
      <color theme="1"/>
      <sz val="11"/>
      <scheme val="minor"/>
    </font>
    <font>
      <name val="Calibri"/>
      <b val="1"/>
      <color rgb="002C5F8A"/>
      <sz val="18"/>
    </font>
    <font>
      <name val="Calibri"/>
      <b val="1"/>
      <color rgb="004682B4"/>
      <sz val="13"/>
    </font>
    <font>
      <name val="Calibri"/>
      <color rgb="00333333"/>
      <sz val="11"/>
    </font>
    <font>
      <name val="Calibri"/>
      <b val="1"/>
      <color rgb="002C5F8A"/>
      <sz val="16"/>
    </font>
    <font>
      <name val="Calibri"/>
      <b val="1"/>
      <color rgb="00FFFFFF"/>
      <sz val="12"/>
    </font>
    <font>
      <name val="Calibri"/>
      <b val="1"/>
      <color rgb="00333333"/>
      <sz val="11"/>
    </font>
    <font>
      <name val="Calibri"/>
      <b val="1"/>
      <color rgb="00D44638"/>
      <sz val="11"/>
    </font>
    <font>
      <name val="Calibri"/>
      <b val="1"/>
      <color rgb="00FFFFFF"/>
      <sz val="13"/>
    </font>
    <font>
      <name val="Calibri"/>
      <b val="1"/>
      <color rgb="00E8943A"/>
      <sz val="12"/>
    </font>
    <font>
      <name val="Calibri"/>
      <b val="1"/>
      <color rgb="00228B22"/>
      <sz val="14"/>
    </font>
  </fonts>
  <fills count="5">
    <fill>
      <patternFill/>
    </fill>
    <fill>
      <patternFill patternType="gray125"/>
    </fill>
    <fill>
      <patternFill patternType="solid">
        <fgColor rgb="002C5F8A"/>
        <bgColor rgb="002C5F8A"/>
      </patternFill>
    </fill>
    <fill>
      <patternFill patternType="solid">
        <fgColor rgb="00FFFFFF"/>
        <bgColor rgb="00FFFFFF"/>
      </patternFill>
    </fill>
    <fill>
      <patternFill patternType="solid">
        <fgColor rgb="00EBF2FA"/>
        <bgColor rgb="00EBF2FA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  <xf numFmtId="0" fontId="5" fillId="2" borderId="0" pivotButton="0" quotePrefix="0" xfId="0"/>
    <xf numFmtId="0" fontId="3" fillId="3" borderId="1" applyAlignment="1" pivotButton="0" quotePrefix="0" xfId="0">
      <alignment vertical="center" wrapText="1"/>
    </xf>
    <xf numFmtId="165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165" fontId="3" fillId="4" borderId="1" applyAlignment="1" pivotButton="0" quotePrefix="0" xfId="0">
      <alignment vertical="center" wrapText="1"/>
    </xf>
    <xf numFmtId="0" fontId="8" fillId="2" borderId="0" pivotButton="0" quotePrefix="0" xfId="0"/>
    <xf numFmtId="165" fontId="8" fillId="2" borderId="0" pivotButton="0" quotePrefix="0" xfId="0"/>
    <xf numFmtId="0" fontId="6" fillId="0" borderId="0" pivotButton="0" quotePrefix="0" xfId="0"/>
    <xf numFmtId="9" fontId="9" fillId="0" borderId="0" pivotButton="0" quotePrefix="0" xfId="0"/>
    <xf numFmtId="0" fontId="10" fillId="0" borderId="0" pivotButton="0" quotePrefix="0" xfId="0"/>
    <xf numFmtId="165" fontId="1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vertical="center" wrapText="1"/>
    </xf>
    <xf numFmtId="164" fontId="3" fillId="4" borderId="1" applyAlignment="1" pivotButton="0" quotePrefix="0" xfId="0">
      <alignment vertical="center" wrapText="1"/>
    </xf>
    <xf numFmtId="165" fontId="6" fillId="0" borderId="0" pivotButton="0" quotePrefix="0" xfId="0"/>
    <xf numFmtId="0" fontId="7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E8943A"/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8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45" customHeight="1">
      <c r="A1" s="1" t="inlineStr">
        <is>
          <t>How to Use: Tax Deduction Tracker 2026</t>
        </is>
      </c>
    </row>
    <row r="3">
      <c r="A3" s="2" t="inlineStr">
        <is>
          <t>Getting Started</t>
        </is>
      </c>
    </row>
    <row r="5" ht="30" customHeight="1">
      <c r="A5" s="3" t="inlineStr">
        <is>
          <t>1. Track all tax-deductible business expenses throughout the year.</t>
        </is>
      </c>
    </row>
    <row r="6" ht="30" customHeight="1">
      <c r="A6" s="3" t="inlineStr">
        <is>
          <t>2. Enter the date, category (use dropdown), description, amount, and whether you have a receipt.</t>
        </is>
      </c>
    </row>
    <row r="7" ht="30" customHeight="1">
      <c r="A7" s="3" t="inlineStr">
        <is>
          <t>3. Categories include: Home Office, Vehicle, Supplies, Travel, Meals, Marketing, Professional Development, Insurance, Software/Subscriptions.</t>
        </is>
      </c>
    </row>
    <row r="8" ht="30" customHeight="1">
      <c r="A8" s="3" t="inlineStr">
        <is>
          <t>4. Quarterly subtotals and annual totals auto-calculate.</t>
        </is>
      </c>
    </row>
    <row r="9" ht="30" customHeight="1">
      <c r="A9" s="3" t="inlineStr">
        <is>
          <t>5. The estimated tax savings row helps you plan (adjust the tax rate on the Summary tab).</t>
        </is>
      </c>
    </row>
    <row r="10" ht="30" customHeight="1">
      <c r="A10" s="3" t="inlineStr">
        <is>
          <t>6. Always keep receipts for deductions over $75 (IRS requirement).</t>
        </is>
      </c>
    </row>
    <row r="11" ht="30" customHeight="1">
      <c r="A11" s="3" t="inlineStr">
        <is>
          <t>7. Review quarterly to ensure you are capturing all eligible deductions.</t>
        </is>
      </c>
    </row>
    <row r="13">
      <c r="A13" s="2" t="inlineStr">
        <is>
          <t>Tips &amp; Notes</t>
        </is>
      </c>
    </row>
    <row r="14">
      <c r="A14" s="4" t="inlineStr">
        <is>
          <t xml:space="preserve">  - Use the dropdown menus for consistent data entry.</t>
        </is>
      </c>
    </row>
    <row r="15">
      <c r="A15" s="4" t="inlineStr">
        <is>
          <t xml:space="preserve">  - Do not delete or move formula cells - they auto-calculate totals.</t>
        </is>
      </c>
    </row>
    <row r="16">
      <c r="A16" s="4" t="inlineStr">
        <is>
          <t xml:space="preserve">  - Back up your file regularly.</t>
        </is>
      </c>
    </row>
    <row r="17">
      <c r="A17" s="4" t="inlineStr">
        <is>
          <t xml:space="preserve">  - This spreadsheet works in Excel and Google Sheets.</t>
        </is>
      </c>
    </row>
    <row r="18">
      <c r="A18" s="4" t="inlineStr">
        <is>
          <t xml:space="preserve">  - Customize categories and columns to fit your specific business needs.</t>
        </is>
      </c>
    </row>
  </sheetData>
  <mergeCells count="15">
    <mergeCell ref="A1:H1"/>
    <mergeCell ref="A9:H9"/>
    <mergeCell ref="A18:H18"/>
    <mergeCell ref="A3:H3"/>
    <mergeCell ref="A15:H15"/>
    <mergeCell ref="A7:H7"/>
    <mergeCell ref="A16:H16"/>
    <mergeCell ref="A10:H10"/>
    <mergeCell ref="A13:H13"/>
    <mergeCell ref="A11:H11"/>
    <mergeCell ref="A14:H14"/>
    <mergeCell ref="A5:H5"/>
    <mergeCell ref="A8:H8"/>
    <mergeCell ref="A6:H6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8943A"/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50" customHeight="1">
      <c r="A1" s="1" t="inlineStr">
        <is>
          <t>Annual Tax Deduction Summary - 2026</t>
        </is>
      </c>
    </row>
    <row r="3">
      <c r="A3" s="5" t="inlineStr">
        <is>
          <t>Quarter</t>
        </is>
      </c>
      <c r="B3" s="5" t="inlineStr">
        <is>
          <t>Total Deductions</t>
        </is>
      </c>
      <c r="C3" s="5" t="inlineStr">
        <is>
          <t>Entries</t>
        </is>
      </c>
    </row>
    <row r="4">
      <c r="A4" s="6" t="inlineStr">
        <is>
          <t>Q1 (Jan-Mar)</t>
        </is>
      </c>
      <c r="B4" s="7">
        <f>'Q1 (Jan-Mar)'!D65</f>
        <v/>
      </c>
      <c r="C4" s="6">
        <f>COUNTA('Q1 (Jan-Mar)'!A4:A63)</f>
        <v/>
      </c>
    </row>
    <row r="5">
      <c r="A5" s="8" t="inlineStr">
        <is>
          <t>Q2 (Apr-Jun)</t>
        </is>
      </c>
      <c r="B5" s="9">
        <f>'Q2 (Apr-Jun)'!D65</f>
        <v/>
      </c>
      <c r="C5" s="8">
        <f>COUNTA('Q2 (Apr-Jun)'!A4:A63)</f>
        <v/>
      </c>
    </row>
    <row r="6">
      <c r="A6" s="6" t="inlineStr">
        <is>
          <t>Q3 (Jul-Sep)</t>
        </is>
      </c>
      <c r="B6" s="7">
        <f>'Q3 (Jul-Sep)'!D65</f>
        <v/>
      </c>
      <c r="C6" s="6">
        <f>COUNTA('Q3 (Jul-Sep)'!A4:A63)</f>
        <v/>
      </c>
    </row>
    <row r="7">
      <c r="A7" s="8" t="inlineStr">
        <is>
          <t>Q4 (Oct-Dec)</t>
        </is>
      </c>
      <c r="B7" s="9">
        <f>'Q4 (Oct-Dec)'!D65</f>
        <v/>
      </c>
      <c r="C7" s="8">
        <f>COUNTA('Q4 (Oct-Dec)'!A4:A63)</f>
        <v/>
      </c>
    </row>
    <row r="9">
      <c r="A9" s="10" t="inlineStr">
        <is>
          <t>ANNUAL TOTAL</t>
        </is>
      </c>
      <c r="B9" s="11">
        <f>SUM(B4:B7)</f>
        <v/>
      </c>
      <c r="C9" s="10">
        <f>SUM(C4:C7)</f>
        <v/>
      </c>
    </row>
    <row r="11">
      <c r="A11" s="12" t="inlineStr">
        <is>
          <t>Estimated Tax Rate:</t>
        </is>
      </c>
      <c r="B11" s="13" t="n">
        <v>0.25</v>
      </c>
    </row>
    <row r="12">
      <c r="A12" s="14" t="inlineStr">
        <is>
          <t>Estimated Tax Savings:</t>
        </is>
      </c>
      <c r="B12" s="15">
        <f>B9*B11</f>
        <v/>
      </c>
    </row>
    <row r="14">
      <c r="A14" s="2" t="inlineStr">
        <is>
          <t>Category Breakdown (Annual)</t>
        </is>
      </c>
    </row>
    <row r="15">
      <c r="A15" s="5" t="inlineStr">
        <is>
          <t>Category</t>
        </is>
      </c>
      <c r="B15" s="5" t="inlineStr">
        <is>
          <t>Total</t>
        </is>
      </c>
    </row>
    <row r="16">
      <c r="A16" s="6" t="inlineStr">
        <is>
          <t>Home Office</t>
        </is>
      </c>
      <c r="B16" s="7">
        <f>'Q1 (Jan-Mar)'!D70+'Q2 (Apr-Jun)'!D70+'Q3 (Jul-Sep)'!D70+'Q4 (Oct-Dec)'!D70</f>
        <v/>
      </c>
    </row>
    <row r="17">
      <c r="A17" s="8" t="inlineStr">
        <is>
          <t>Vehicle</t>
        </is>
      </c>
      <c r="B17" s="9">
        <f>'Q1 (Jan-Mar)'!D71+'Q2 (Apr-Jun)'!D71+'Q3 (Jul-Sep)'!D71+'Q4 (Oct-Dec)'!D71</f>
        <v/>
      </c>
    </row>
    <row r="18">
      <c r="A18" s="6" t="inlineStr">
        <is>
          <t>Supplies</t>
        </is>
      </c>
      <c r="B18" s="7">
        <f>'Q1 (Jan-Mar)'!D72+'Q2 (Apr-Jun)'!D72+'Q3 (Jul-Sep)'!D72+'Q4 (Oct-Dec)'!D72</f>
        <v/>
      </c>
    </row>
    <row r="19">
      <c r="A19" s="8" t="inlineStr">
        <is>
          <t>Travel</t>
        </is>
      </c>
      <c r="B19" s="9">
        <f>'Q1 (Jan-Mar)'!D73+'Q2 (Apr-Jun)'!D73+'Q3 (Jul-Sep)'!D73+'Q4 (Oct-Dec)'!D73</f>
        <v/>
      </c>
    </row>
    <row r="20">
      <c r="A20" s="6" t="inlineStr">
        <is>
          <t>Meals (50%)</t>
        </is>
      </c>
      <c r="B20" s="7">
        <f>'Q1 (Jan-Mar)'!D74+'Q2 (Apr-Jun)'!D74+'Q3 (Jul-Sep)'!D74+'Q4 (Oct-Dec)'!D74</f>
        <v/>
      </c>
    </row>
    <row r="21">
      <c r="A21" s="8" t="inlineStr">
        <is>
          <t>Marketing</t>
        </is>
      </c>
      <c r="B21" s="9">
        <f>'Q1 (Jan-Mar)'!D75+'Q2 (Apr-Jun)'!D75+'Q3 (Jul-Sep)'!D75+'Q4 (Oct-Dec)'!D75</f>
        <v/>
      </c>
    </row>
    <row r="22">
      <c r="A22" s="6" t="inlineStr">
        <is>
          <t>Professional Development</t>
        </is>
      </c>
      <c r="B22" s="7">
        <f>'Q1 (Jan-Mar)'!D76+'Q2 (Apr-Jun)'!D76+'Q3 (Jul-Sep)'!D76+'Q4 (Oct-Dec)'!D76</f>
        <v/>
      </c>
    </row>
    <row r="23">
      <c r="A23" s="8" t="inlineStr">
        <is>
          <t>Insurance</t>
        </is>
      </c>
      <c r="B23" s="9">
        <f>'Q1 (Jan-Mar)'!D77+'Q2 (Apr-Jun)'!D77+'Q3 (Jul-Sep)'!D77+'Q4 (Oct-Dec)'!D77</f>
        <v/>
      </c>
    </row>
    <row r="24">
      <c r="A24" s="6" t="inlineStr">
        <is>
          <t>Software/Subscriptions</t>
        </is>
      </c>
      <c r="B24" s="7">
        <f>'Q1 (Jan-Mar)'!D78+'Q2 (Apr-Jun)'!D78+'Q3 (Jul-Sep)'!D78+'Q4 (Oct-Dec)'!D78</f>
        <v/>
      </c>
    </row>
    <row r="25">
      <c r="A25" s="8" t="inlineStr">
        <is>
          <t>Bank/Payment Fees</t>
        </is>
      </c>
      <c r="B25" s="9">
        <f>'Q1 (Jan-Mar)'!D79+'Q2 (Apr-Jun)'!D79+'Q3 (Jul-Sep)'!D79+'Q4 (Oct-Dec)'!D79</f>
        <v/>
      </c>
    </row>
    <row r="26">
      <c r="A26" s="6" t="inlineStr">
        <is>
          <t>Other</t>
        </is>
      </c>
      <c r="B26" s="7">
        <f>'Q1 (Jan-Mar)'!D80+'Q2 (Apr-Jun)'!D80+'Q3 (Jul-Sep)'!D80+'Q4 (Oct-Dec)'!D80</f>
        <v/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C5F8A"/>
    <outlinePr summaryBelow="1" summaryRight="1"/>
    <pageSetUpPr/>
  </sheetPr>
  <dimension ref="A1:F8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5" customWidth="1" min="3" max="3"/>
    <col width="15" customWidth="1" min="4" max="4"/>
    <col width="14" customWidth="1" min="5" max="5"/>
    <col width="30" customWidth="1" min="6" max="6"/>
  </cols>
  <sheetData>
    <row r="1" ht="40" customHeight="1">
      <c r="A1" s="16" t="inlineStr">
        <is>
          <t>Tax Deductions - Q1 (Jan-Mar) 2026</t>
        </is>
      </c>
    </row>
    <row r="3">
      <c r="A3" s="17" t="inlineStr">
        <is>
          <t>Date</t>
        </is>
      </c>
      <c r="B3" s="17" t="inlineStr">
        <is>
          <t>Category</t>
        </is>
      </c>
      <c r="C3" s="17" t="inlineStr">
        <is>
          <t>Description</t>
        </is>
      </c>
      <c r="D3" s="17" t="inlineStr">
        <is>
          <t>Amount</t>
        </is>
      </c>
      <c r="E3" s="17" t="inlineStr">
        <is>
          <t>Receipt (Y/N)</t>
        </is>
      </c>
      <c r="F3" s="17" t="inlineStr">
        <is>
          <t>Notes</t>
        </is>
      </c>
    </row>
    <row r="4">
      <c r="A4" s="18" t="n"/>
      <c r="B4" s="6" t="n"/>
      <c r="C4" s="6" t="n"/>
      <c r="D4" s="7" t="n"/>
      <c r="E4" s="6" t="n"/>
      <c r="F4" s="6" t="n"/>
    </row>
    <row r="5">
      <c r="A5" s="19" t="n"/>
      <c r="B5" s="8" t="n"/>
      <c r="C5" s="8" t="n"/>
      <c r="D5" s="9" t="n"/>
      <c r="E5" s="8" t="n"/>
      <c r="F5" s="8" t="n"/>
    </row>
    <row r="6">
      <c r="A6" s="18" t="n"/>
      <c r="B6" s="6" t="n"/>
      <c r="C6" s="6" t="n"/>
      <c r="D6" s="7" t="n"/>
      <c r="E6" s="6" t="n"/>
      <c r="F6" s="6" t="n"/>
    </row>
    <row r="7">
      <c r="A7" s="19" t="n"/>
      <c r="B7" s="8" t="n"/>
      <c r="C7" s="8" t="n"/>
      <c r="D7" s="9" t="n"/>
      <c r="E7" s="8" t="n"/>
      <c r="F7" s="8" t="n"/>
    </row>
    <row r="8">
      <c r="A8" s="18" t="n"/>
      <c r="B8" s="6" t="n"/>
      <c r="C8" s="6" t="n"/>
      <c r="D8" s="7" t="n"/>
      <c r="E8" s="6" t="n"/>
      <c r="F8" s="6" t="n"/>
    </row>
    <row r="9">
      <c r="A9" s="19" t="n"/>
      <c r="B9" s="8" t="n"/>
      <c r="C9" s="8" t="n"/>
      <c r="D9" s="9" t="n"/>
      <c r="E9" s="8" t="n"/>
      <c r="F9" s="8" t="n"/>
    </row>
    <row r="10">
      <c r="A10" s="18" t="n"/>
      <c r="B10" s="6" t="n"/>
      <c r="C10" s="6" t="n"/>
      <c r="D10" s="7" t="n"/>
      <c r="E10" s="6" t="n"/>
      <c r="F10" s="6" t="n"/>
    </row>
    <row r="11">
      <c r="A11" s="19" t="n"/>
      <c r="B11" s="8" t="n"/>
      <c r="C11" s="8" t="n"/>
      <c r="D11" s="9" t="n"/>
      <c r="E11" s="8" t="n"/>
      <c r="F11" s="8" t="n"/>
    </row>
    <row r="12">
      <c r="A12" s="18" t="n"/>
      <c r="B12" s="6" t="n"/>
      <c r="C12" s="6" t="n"/>
      <c r="D12" s="7" t="n"/>
      <c r="E12" s="6" t="n"/>
      <c r="F12" s="6" t="n"/>
    </row>
    <row r="13">
      <c r="A13" s="19" t="n"/>
      <c r="B13" s="8" t="n"/>
      <c r="C13" s="8" t="n"/>
      <c r="D13" s="9" t="n"/>
      <c r="E13" s="8" t="n"/>
      <c r="F13" s="8" t="n"/>
    </row>
    <row r="14">
      <c r="A14" s="18" t="n"/>
      <c r="B14" s="6" t="n"/>
      <c r="C14" s="6" t="n"/>
      <c r="D14" s="7" t="n"/>
      <c r="E14" s="6" t="n"/>
      <c r="F14" s="6" t="n"/>
    </row>
    <row r="15">
      <c r="A15" s="19" t="n"/>
      <c r="B15" s="8" t="n"/>
      <c r="C15" s="8" t="n"/>
      <c r="D15" s="9" t="n"/>
      <c r="E15" s="8" t="n"/>
      <c r="F15" s="8" t="n"/>
    </row>
    <row r="16">
      <c r="A16" s="18" t="n"/>
      <c r="B16" s="6" t="n"/>
      <c r="C16" s="6" t="n"/>
      <c r="D16" s="7" t="n"/>
      <c r="E16" s="6" t="n"/>
      <c r="F16" s="6" t="n"/>
    </row>
    <row r="17">
      <c r="A17" s="19" t="n"/>
      <c r="B17" s="8" t="n"/>
      <c r="C17" s="8" t="n"/>
      <c r="D17" s="9" t="n"/>
      <c r="E17" s="8" t="n"/>
      <c r="F17" s="8" t="n"/>
    </row>
    <row r="18">
      <c r="A18" s="18" t="n"/>
      <c r="B18" s="6" t="n"/>
      <c r="C18" s="6" t="n"/>
      <c r="D18" s="7" t="n"/>
      <c r="E18" s="6" t="n"/>
      <c r="F18" s="6" t="n"/>
    </row>
    <row r="19">
      <c r="A19" s="19" t="n"/>
      <c r="B19" s="8" t="n"/>
      <c r="C19" s="8" t="n"/>
      <c r="D19" s="9" t="n"/>
      <c r="E19" s="8" t="n"/>
      <c r="F19" s="8" t="n"/>
    </row>
    <row r="20">
      <c r="A20" s="18" t="n"/>
      <c r="B20" s="6" t="n"/>
      <c r="C20" s="6" t="n"/>
      <c r="D20" s="7" t="n"/>
      <c r="E20" s="6" t="n"/>
      <c r="F20" s="6" t="n"/>
    </row>
    <row r="21">
      <c r="A21" s="19" t="n"/>
      <c r="B21" s="8" t="n"/>
      <c r="C21" s="8" t="n"/>
      <c r="D21" s="9" t="n"/>
      <c r="E21" s="8" t="n"/>
      <c r="F21" s="8" t="n"/>
    </row>
    <row r="22">
      <c r="A22" s="18" t="n"/>
      <c r="B22" s="6" t="n"/>
      <c r="C22" s="6" t="n"/>
      <c r="D22" s="7" t="n"/>
      <c r="E22" s="6" t="n"/>
      <c r="F22" s="6" t="n"/>
    </row>
    <row r="23">
      <c r="A23" s="19" t="n"/>
      <c r="B23" s="8" t="n"/>
      <c r="C23" s="8" t="n"/>
      <c r="D23" s="9" t="n"/>
      <c r="E23" s="8" t="n"/>
      <c r="F23" s="8" t="n"/>
    </row>
    <row r="24">
      <c r="A24" s="18" t="n"/>
      <c r="B24" s="6" t="n"/>
      <c r="C24" s="6" t="n"/>
      <c r="D24" s="7" t="n"/>
      <c r="E24" s="6" t="n"/>
      <c r="F24" s="6" t="n"/>
    </row>
    <row r="25">
      <c r="A25" s="19" t="n"/>
      <c r="B25" s="8" t="n"/>
      <c r="C25" s="8" t="n"/>
      <c r="D25" s="9" t="n"/>
      <c r="E25" s="8" t="n"/>
      <c r="F25" s="8" t="n"/>
    </row>
    <row r="26">
      <c r="A26" s="18" t="n"/>
      <c r="B26" s="6" t="n"/>
      <c r="C26" s="6" t="n"/>
      <c r="D26" s="7" t="n"/>
      <c r="E26" s="6" t="n"/>
      <c r="F26" s="6" t="n"/>
    </row>
    <row r="27">
      <c r="A27" s="19" t="n"/>
      <c r="B27" s="8" t="n"/>
      <c r="C27" s="8" t="n"/>
      <c r="D27" s="9" t="n"/>
      <c r="E27" s="8" t="n"/>
      <c r="F27" s="8" t="n"/>
    </row>
    <row r="28">
      <c r="A28" s="18" t="n"/>
      <c r="B28" s="6" t="n"/>
      <c r="C28" s="6" t="n"/>
      <c r="D28" s="7" t="n"/>
      <c r="E28" s="6" t="n"/>
      <c r="F28" s="6" t="n"/>
    </row>
    <row r="29">
      <c r="A29" s="19" t="n"/>
      <c r="B29" s="8" t="n"/>
      <c r="C29" s="8" t="n"/>
      <c r="D29" s="9" t="n"/>
      <c r="E29" s="8" t="n"/>
      <c r="F29" s="8" t="n"/>
    </row>
    <row r="30">
      <c r="A30" s="18" t="n"/>
      <c r="B30" s="6" t="n"/>
      <c r="C30" s="6" t="n"/>
      <c r="D30" s="7" t="n"/>
      <c r="E30" s="6" t="n"/>
      <c r="F30" s="6" t="n"/>
    </row>
    <row r="31">
      <c r="A31" s="19" t="n"/>
      <c r="B31" s="8" t="n"/>
      <c r="C31" s="8" t="n"/>
      <c r="D31" s="9" t="n"/>
      <c r="E31" s="8" t="n"/>
      <c r="F31" s="8" t="n"/>
    </row>
    <row r="32">
      <c r="A32" s="18" t="n"/>
      <c r="B32" s="6" t="n"/>
      <c r="C32" s="6" t="n"/>
      <c r="D32" s="7" t="n"/>
      <c r="E32" s="6" t="n"/>
      <c r="F32" s="6" t="n"/>
    </row>
    <row r="33">
      <c r="A33" s="19" t="n"/>
      <c r="B33" s="8" t="n"/>
      <c r="C33" s="8" t="n"/>
      <c r="D33" s="9" t="n"/>
      <c r="E33" s="8" t="n"/>
      <c r="F33" s="8" t="n"/>
    </row>
    <row r="34">
      <c r="A34" s="18" t="n"/>
      <c r="B34" s="6" t="n"/>
      <c r="C34" s="6" t="n"/>
      <c r="D34" s="7" t="n"/>
      <c r="E34" s="6" t="n"/>
      <c r="F34" s="6" t="n"/>
    </row>
    <row r="35">
      <c r="A35" s="19" t="n"/>
      <c r="B35" s="8" t="n"/>
      <c r="C35" s="8" t="n"/>
      <c r="D35" s="9" t="n"/>
      <c r="E35" s="8" t="n"/>
      <c r="F35" s="8" t="n"/>
    </row>
    <row r="36">
      <c r="A36" s="18" t="n"/>
      <c r="B36" s="6" t="n"/>
      <c r="C36" s="6" t="n"/>
      <c r="D36" s="7" t="n"/>
      <c r="E36" s="6" t="n"/>
      <c r="F36" s="6" t="n"/>
    </row>
    <row r="37">
      <c r="A37" s="19" t="n"/>
      <c r="B37" s="8" t="n"/>
      <c r="C37" s="8" t="n"/>
      <c r="D37" s="9" t="n"/>
      <c r="E37" s="8" t="n"/>
      <c r="F37" s="8" t="n"/>
    </row>
    <row r="38">
      <c r="A38" s="18" t="n"/>
      <c r="B38" s="6" t="n"/>
      <c r="C38" s="6" t="n"/>
      <c r="D38" s="7" t="n"/>
      <c r="E38" s="6" t="n"/>
      <c r="F38" s="6" t="n"/>
    </row>
    <row r="39">
      <c r="A39" s="19" t="n"/>
      <c r="B39" s="8" t="n"/>
      <c r="C39" s="8" t="n"/>
      <c r="D39" s="9" t="n"/>
      <c r="E39" s="8" t="n"/>
      <c r="F39" s="8" t="n"/>
    </row>
    <row r="40">
      <c r="A40" s="18" t="n"/>
      <c r="B40" s="6" t="n"/>
      <c r="C40" s="6" t="n"/>
      <c r="D40" s="7" t="n"/>
      <c r="E40" s="6" t="n"/>
      <c r="F40" s="6" t="n"/>
    </row>
    <row r="41">
      <c r="A41" s="19" t="n"/>
      <c r="B41" s="8" t="n"/>
      <c r="C41" s="8" t="n"/>
      <c r="D41" s="9" t="n"/>
      <c r="E41" s="8" t="n"/>
      <c r="F41" s="8" t="n"/>
    </row>
    <row r="42">
      <c r="A42" s="18" t="n"/>
      <c r="B42" s="6" t="n"/>
      <c r="C42" s="6" t="n"/>
      <c r="D42" s="7" t="n"/>
      <c r="E42" s="6" t="n"/>
      <c r="F42" s="6" t="n"/>
    </row>
    <row r="43">
      <c r="A43" s="19" t="n"/>
      <c r="B43" s="8" t="n"/>
      <c r="C43" s="8" t="n"/>
      <c r="D43" s="9" t="n"/>
      <c r="E43" s="8" t="n"/>
      <c r="F43" s="8" t="n"/>
    </row>
    <row r="44">
      <c r="A44" s="18" t="n"/>
      <c r="B44" s="6" t="n"/>
      <c r="C44" s="6" t="n"/>
      <c r="D44" s="7" t="n"/>
      <c r="E44" s="6" t="n"/>
      <c r="F44" s="6" t="n"/>
    </row>
    <row r="45">
      <c r="A45" s="19" t="n"/>
      <c r="B45" s="8" t="n"/>
      <c r="C45" s="8" t="n"/>
      <c r="D45" s="9" t="n"/>
      <c r="E45" s="8" t="n"/>
      <c r="F45" s="8" t="n"/>
    </row>
    <row r="46">
      <c r="A46" s="18" t="n"/>
      <c r="B46" s="6" t="n"/>
      <c r="C46" s="6" t="n"/>
      <c r="D46" s="7" t="n"/>
      <c r="E46" s="6" t="n"/>
      <c r="F46" s="6" t="n"/>
    </row>
    <row r="47">
      <c r="A47" s="19" t="n"/>
      <c r="B47" s="8" t="n"/>
      <c r="C47" s="8" t="n"/>
      <c r="D47" s="9" t="n"/>
      <c r="E47" s="8" t="n"/>
      <c r="F47" s="8" t="n"/>
    </row>
    <row r="48">
      <c r="A48" s="18" t="n"/>
      <c r="B48" s="6" t="n"/>
      <c r="C48" s="6" t="n"/>
      <c r="D48" s="7" t="n"/>
      <c r="E48" s="6" t="n"/>
      <c r="F48" s="6" t="n"/>
    </row>
    <row r="49">
      <c r="A49" s="19" t="n"/>
      <c r="B49" s="8" t="n"/>
      <c r="C49" s="8" t="n"/>
      <c r="D49" s="9" t="n"/>
      <c r="E49" s="8" t="n"/>
      <c r="F49" s="8" t="n"/>
    </row>
    <row r="50">
      <c r="A50" s="18" t="n"/>
      <c r="B50" s="6" t="n"/>
      <c r="C50" s="6" t="n"/>
      <c r="D50" s="7" t="n"/>
      <c r="E50" s="6" t="n"/>
      <c r="F50" s="6" t="n"/>
    </row>
    <row r="51">
      <c r="A51" s="19" t="n"/>
      <c r="B51" s="8" t="n"/>
      <c r="C51" s="8" t="n"/>
      <c r="D51" s="9" t="n"/>
      <c r="E51" s="8" t="n"/>
      <c r="F51" s="8" t="n"/>
    </row>
    <row r="52">
      <c r="A52" s="18" t="n"/>
      <c r="B52" s="6" t="n"/>
      <c r="C52" s="6" t="n"/>
      <c r="D52" s="7" t="n"/>
      <c r="E52" s="6" t="n"/>
      <c r="F52" s="6" t="n"/>
    </row>
    <row r="53">
      <c r="A53" s="19" t="n"/>
      <c r="B53" s="8" t="n"/>
      <c r="C53" s="8" t="n"/>
      <c r="D53" s="9" t="n"/>
      <c r="E53" s="8" t="n"/>
      <c r="F53" s="8" t="n"/>
    </row>
    <row r="54">
      <c r="A54" s="18" t="n"/>
      <c r="B54" s="6" t="n"/>
      <c r="C54" s="6" t="n"/>
      <c r="D54" s="7" t="n"/>
      <c r="E54" s="6" t="n"/>
      <c r="F54" s="6" t="n"/>
    </row>
    <row r="55">
      <c r="A55" s="19" t="n"/>
      <c r="B55" s="8" t="n"/>
      <c r="C55" s="8" t="n"/>
      <c r="D55" s="9" t="n"/>
      <c r="E55" s="8" t="n"/>
      <c r="F55" s="8" t="n"/>
    </row>
    <row r="56">
      <c r="A56" s="18" t="n"/>
      <c r="B56" s="6" t="n"/>
      <c r="C56" s="6" t="n"/>
      <c r="D56" s="7" t="n"/>
      <c r="E56" s="6" t="n"/>
      <c r="F56" s="6" t="n"/>
    </row>
    <row r="57">
      <c r="A57" s="19" t="n"/>
      <c r="B57" s="8" t="n"/>
      <c r="C57" s="8" t="n"/>
      <c r="D57" s="9" t="n"/>
      <c r="E57" s="8" t="n"/>
      <c r="F57" s="8" t="n"/>
    </row>
    <row r="58">
      <c r="A58" s="18" t="n"/>
      <c r="B58" s="6" t="n"/>
      <c r="C58" s="6" t="n"/>
      <c r="D58" s="7" t="n"/>
      <c r="E58" s="6" t="n"/>
      <c r="F58" s="6" t="n"/>
    </row>
    <row r="59">
      <c r="A59" s="19" t="n"/>
      <c r="B59" s="8" t="n"/>
      <c r="C59" s="8" t="n"/>
      <c r="D59" s="9" t="n"/>
      <c r="E59" s="8" t="n"/>
      <c r="F59" s="8" t="n"/>
    </row>
    <row r="60">
      <c r="A60" s="18" t="n"/>
      <c r="B60" s="6" t="n"/>
      <c r="C60" s="6" t="n"/>
      <c r="D60" s="7" t="n"/>
      <c r="E60" s="6" t="n"/>
      <c r="F60" s="6" t="n"/>
    </row>
    <row r="61">
      <c r="A61" s="19" t="n"/>
      <c r="B61" s="8" t="n"/>
      <c r="C61" s="8" t="n"/>
      <c r="D61" s="9" t="n"/>
      <c r="E61" s="8" t="n"/>
      <c r="F61" s="8" t="n"/>
    </row>
    <row r="62">
      <c r="A62" s="18" t="n"/>
      <c r="B62" s="6" t="n"/>
      <c r="C62" s="6" t="n"/>
      <c r="D62" s="7" t="n"/>
      <c r="E62" s="6" t="n"/>
      <c r="F62" s="6" t="n"/>
    </row>
    <row r="63">
      <c r="A63" s="19" t="n"/>
      <c r="B63" s="8" t="n"/>
      <c r="C63" s="8" t="n"/>
      <c r="D63" s="9" t="n"/>
      <c r="E63" s="8" t="n"/>
      <c r="F63" s="8" t="n"/>
    </row>
    <row r="65">
      <c r="C65" s="12" t="inlineStr">
        <is>
          <t>Quarterly Total:</t>
        </is>
      </c>
      <c r="D65" s="20">
        <f>SUM(D4:D63)</f>
        <v/>
      </c>
    </row>
    <row r="66">
      <c r="C66" s="12" t="inlineStr">
        <is>
          <t>Entries with Receipts:</t>
        </is>
      </c>
      <c r="D66">
        <f>COUNTIF(E4:E63,"Y")</f>
        <v/>
      </c>
    </row>
    <row r="67">
      <c r="C67" s="12" t="inlineStr">
        <is>
          <t>Entries Missing Receipts:</t>
        </is>
      </c>
      <c r="D67" s="21">
        <f>COUNTIF(E4:E63,"N")</f>
        <v/>
      </c>
    </row>
    <row r="69">
      <c r="C69" s="2" t="inlineStr">
        <is>
          <t>Category Breakdown:</t>
        </is>
      </c>
    </row>
    <row r="70">
      <c r="C70" s="4" t="inlineStr">
        <is>
          <t>Home Office</t>
        </is>
      </c>
      <c r="D70" s="22">
        <f>SUMIF(B4:B63,"Home Office",D4:D63)</f>
        <v/>
      </c>
    </row>
    <row r="71">
      <c r="C71" s="4" t="inlineStr">
        <is>
          <t>Vehicle</t>
        </is>
      </c>
      <c r="D71" s="22">
        <f>SUMIF(B4:B63,"Vehicle",D4:D63)</f>
        <v/>
      </c>
    </row>
    <row r="72">
      <c r="C72" s="4" t="inlineStr">
        <is>
          <t>Supplies</t>
        </is>
      </c>
      <c r="D72" s="22">
        <f>SUMIF(B4:B63,"Supplies",D4:D63)</f>
        <v/>
      </c>
    </row>
    <row r="73">
      <c r="C73" s="4" t="inlineStr">
        <is>
          <t>Travel</t>
        </is>
      </c>
      <c r="D73" s="22">
        <f>SUMIF(B4:B63,"Travel",D4:D63)</f>
        <v/>
      </c>
    </row>
    <row r="74">
      <c r="C74" s="4" t="inlineStr">
        <is>
          <t>Meals (50%)</t>
        </is>
      </c>
      <c r="D74" s="22">
        <f>SUMIF(B4:B63,"Meals (50%)",D4:D63)</f>
        <v/>
      </c>
    </row>
    <row r="75">
      <c r="C75" s="4" t="inlineStr">
        <is>
          <t>Marketing</t>
        </is>
      </c>
      <c r="D75" s="22">
        <f>SUMIF(B4:B63,"Marketing",D4:D63)</f>
        <v/>
      </c>
    </row>
    <row r="76">
      <c r="C76" s="4" t="inlineStr">
        <is>
          <t>Professional Development</t>
        </is>
      </c>
      <c r="D76" s="22">
        <f>SUMIF(B4:B63,"Professional Development",D4:D63)</f>
        <v/>
      </c>
    </row>
    <row r="77">
      <c r="C77" s="4" t="inlineStr">
        <is>
          <t>Insurance</t>
        </is>
      </c>
      <c r="D77" s="22">
        <f>SUMIF(B4:B63,"Insurance",D4:D63)</f>
        <v/>
      </c>
    </row>
    <row r="78">
      <c r="C78" s="4" t="inlineStr">
        <is>
          <t>Software/Subscriptions</t>
        </is>
      </c>
      <c r="D78" s="22">
        <f>SUMIF(B4:B63,"Software/Subscriptions",D4:D63)</f>
        <v/>
      </c>
    </row>
    <row r="79">
      <c r="C79" s="4" t="inlineStr">
        <is>
          <t>Bank/Payment Fees</t>
        </is>
      </c>
      <c r="D79" s="22">
        <f>SUMIF(B4:B63,"Bank/Payment Fees",D4:D63)</f>
        <v/>
      </c>
    </row>
    <row r="80">
      <c r="C80" s="4" t="inlineStr">
        <is>
          <t>Other</t>
        </is>
      </c>
      <c r="D80" s="22">
        <f>SUMIF(B4:B63,"Other",D4:D63)</f>
        <v/>
      </c>
    </row>
  </sheetData>
  <mergeCells count="1">
    <mergeCell ref="A1:F1"/>
  </mergeCells>
  <dataValidations count="2">
    <dataValidation sqref="B4:B63" showDropDown="0" showInputMessage="0" showErrorMessage="0" allowBlank="1" type="list">
      <formula1>"Home Office,Vehicle,Supplies,Travel,Meals (50%),Marketing,Professional Development,Insurance,Software/Subscriptions,Bank/Payment Fees,Other"</formula1>
    </dataValidation>
    <dataValidation sqref="E4:E63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C5F8A"/>
    <outlinePr summaryBelow="1" summaryRight="1"/>
    <pageSetUpPr/>
  </sheetPr>
  <dimension ref="A1:F8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5" customWidth="1" min="3" max="3"/>
    <col width="15" customWidth="1" min="4" max="4"/>
    <col width="14" customWidth="1" min="5" max="5"/>
    <col width="30" customWidth="1" min="6" max="6"/>
  </cols>
  <sheetData>
    <row r="1" ht="40" customHeight="1">
      <c r="A1" s="16" t="inlineStr">
        <is>
          <t>Tax Deductions - Q2 (Apr-Jun) 2026</t>
        </is>
      </c>
    </row>
    <row r="3">
      <c r="A3" s="17" t="inlineStr">
        <is>
          <t>Date</t>
        </is>
      </c>
      <c r="B3" s="17" t="inlineStr">
        <is>
          <t>Category</t>
        </is>
      </c>
      <c r="C3" s="17" t="inlineStr">
        <is>
          <t>Description</t>
        </is>
      </c>
      <c r="D3" s="17" t="inlineStr">
        <is>
          <t>Amount</t>
        </is>
      </c>
      <c r="E3" s="17" t="inlineStr">
        <is>
          <t>Receipt (Y/N)</t>
        </is>
      </c>
      <c r="F3" s="17" t="inlineStr">
        <is>
          <t>Notes</t>
        </is>
      </c>
    </row>
    <row r="4">
      <c r="A4" s="18" t="n"/>
      <c r="B4" s="6" t="n"/>
      <c r="C4" s="6" t="n"/>
      <c r="D4" s="7" t="n"/>
      <c r="E4" s="6" t="n"/>
      <c r="F4" s="6" t="n"/>
    </row>
    <row r="5">
      <c r="A5" s="19" t="n"/>
      <c r="B5" s="8" t="n"/>
      <c r="C5" s="8" t="n"/>
      <c r="D5" s="9" t="n"/>
      <c r="E5" s="8" t="n"/>
      <c r="F5" s="8" t="n"/>
    </row>
    <row r="6">
      <c r="A6" s="18" t="n"/>
      <c r="B6" s="6" t="n"/>
      <c r="C6" s="6" t="n"/>
      <c r="D6" s="7" t="n"/>
      <c r="E6" s="6" t="n"/>
      <c r="F6" s="6" t="n"/>
    </row>
    <row r="7">
      <c r="A7" s="19" t="n"/>
      <c r="B7" s="8" t="n"/>
      <c r="C7" s="8" t="n"/>
      <c r="D7" s="9" t="n"/>
      <c r="E7" s="8" t="n"/>
      <c r="F7" s="8" t="n"/>
    </row>
    <row r="8">
      <c r="A8" s="18" t="n"/>
      <c r="B8" s="6" t="n"/>
      <c r="C8" s="6" t="n"/>
      <c r="D8" s="7" t="n"/>
      <c r="E8" s="6" t="n"/>
      <c r="F8" s="6" t="n"/>
    </row>
    <row r="9">
      <c r="A9" s="19" t="n"/>
      <c r="B9" s="8" t="n"/>
      <c r="C9" s="8" t="n"/>
      <c r="D9" s="9" t="n"/>
      <c r="E9" s="8" t="n"/>
      <c r="F9" s="8" t="n"/>
    </row>
    <row r="10">
      <c r="A10" s="18" t="n"/>
      <c r="B10" s="6" t="n"/>
      <c r="C10" s="6" t="n"/>
      <c r="D10" s="7" t="n"/>
      <c r="E10" s="6" t="n"/>
      <c r="F10" s="6" t="n"/>
    </row>
    <row r="11">
      <c r="A11" s="19" t="n"/>
      <c r="B11" s="8" t="n"/>
      <c r="C11" s="8" t="n"/>
      <c r="D11" s="9" t="n"/>
      <c r="E11" s="8" t="n"/>
      <c r="F11" s="8" t="n"/>
    </row>
    <row r="12">
      <c r="A12" s="18" t="n"/>
      <c r="B12" s="6" t="n"/>
      <c r="C12" s="6" t="n"/>
      <c r="D12" s="7" t="n"/>
      <c r="E12" s="6" t="n"/>
      <c r="F12" s="6" t="n"/>
    </row>
    <row r="13">
      <c r="A13" s="19" t="n"/>
      <c r="B13" s="8" t="n"/>
      <c r="C13" s="8" t="n"/>
      <c r="D13" s="9" t="n"/>
      <c r="E13" s="8" t="n"/>
      <c r="F13" s="8" t="n"/>
    </row>
    <row r="14">
      <c r="A14" s="18" t="n"/>
      <c r="B14" s="6" t="n"/>
      <c r="C14" s="6" t="n"/>
      <c r="D14" s="7" t="n"/>
      <c r="E14" s="6" t="n"/>
      <c r="F14" s="6" t="n"/>
    </row>
    <row r="15">
      <c r="A15" s="19" t="n"/>
      <c r="B15" s="8" t="n"/>
      <c r="C15" s="8" t="n"/>
      <c r="D15" s="9" t="n"/>
      <c r="E15" s="8" t="n"/>
      <c r="F15" s="8" t="n"/>
    </row>
    <row r="16">
      <c r="A16" s="18" t="n"/>
      <c r="B16" s="6" t="n"/>
      <c r="C16" s="6" t="n"/>
      <c r="D16" s="7" t="n"/>
      <c r="E16" s="6" t="n"/>
      <c r="F16" s="6" t="n"/>
    </row>
    <row r="17">
      <c r="A17" s="19" t="n"/>
      <c r="B17" s="8" t="n"/>
      <c r="C17" s="8" t="n"/>
      <c r="D17" s="9" t="n"/>
      <c r="E17" s="8" t="n"/>
      <c r="F17" s="8" t="n"/>
    </row>
    <row r="18">
      <c r="A18" s="18" t="n"/>
      <c r="B18" s="6" t="n"/>
      <c r="C18" s="6" t="n"/>
      <c r="D18" s="7" t="n"/>
      <c r="E18" s="6" t="n"/>
      <c r="F18" s="6" t="n"/>
    </row>
    <row r="19">
      <c r="A19" s="19" t="n"/>
      <c r="B19" s="8" t="n"/>
      <c r="C19" s="8" t="n"/>
      <c r="D19" s="9" t="n"/>
      <c r="E19" s="8" t="n"/>
      <c r="F19" s="8" t="n"/>
    </row>
    <row r="20">
      <c r="A20" s="18" t="n"/>
      <c r="B20" s="6" t="n"/>
      <c r="C20" s="6" t="n"/>
      <c r="D20" s="7" t="n"/>
      <c r="E20" s="6" t="n"/>
      <c r="F20" s="6" t="n"/>
    </row>
    <row r="21">
      <c r="A21" s="19" t="n"/>
      <c r="B21" s="8" t="n"/>
      <c r="C21" s="8" t="n"/>
      <c r="D21" s="9" t="n"/>
      <c r="E21" s="8" t="n"/>
      <c r="F21" s="8" t="n"/>
    </row>
    <row r="22">
      <c r="A22" s="18" t="n"/>
      <c r="B22" s="6" t="n"/>
      <c r="C22" s="6" t="n"/>
      <c r="D22" s="7" t="n"/>
      <c r="E22" s="6" t="n"/>
      <c r="F22" s="6" t="n"/>
    </row>
    <row r="23">
      <c r="A23" s="19" t="n"/>
      <c r="B23" s="8" t="n"/>
      <c r="C23" s="8" t="n"/>
      <c r="D23" s="9" t="n"/>
      <c r="E23" s="8" t="n"/>
      <c r="F23" s="8" t="n"/>
    </row>
    <row r="24">
      <c r="A24" s="18" t="n"/>
      <c r="B24" s="6" t="n"/>
      <c r="C24" s="6" t="n"/>
      <c r="D24" s="7" t="n"/>
      <c r="E24" s="6" t="n"/>
      <c r="F24" s="6" t="n"/>
    </row>
    <row r="25">
      <c r="A25" s="19" t="n"/>
      <c r="B25" s="8" t="n"/>
      <c r="C25" s="8" t="n"/>
      <c r="D25" s="9" t="n"/>
      <c r="E25" s="8" t="n"/>
      <c r="F25" s="8" t="n"/>
    </row>
    <row r="26">
      <c r="A26" s="18" t="n"/>
      <c r="B26" s="6" t="n"/>
      <c r="C26" s="6" t="n"/>
      <c r="D26" s="7" t="n"/>
      <c r="E26" s="6" t="n"/>
      <c r="F26" s="6" t="n"/>
    </row>
    <row r="27">
      <c r="A27" s="19" t="n"/>
      <c r="B27" s="8" t="n"/>
      <c r="C27" s="8" t="n"/>
      <c r="D27" s="9" t="n"/>
      <c r="E27" s="8" t="n"/>
      <c r="F27" s="8" t="n"/>
    </row>
    <row r="28">
      <c r="A28" s="18" t="n"/>
      <c r="B28" s="6" t="n"/>
      <c r="C28" s="6" t="n"/>
      <c r="D28" s="7" t="n"/>
      <c r="E28" s="6" t="n"/>
      <c r="F28" s="6" t="n"/>
    </row>
    <row r="29">
      <c r="A29" s="19" t="n"/>
      <c r="B29" s="8" t="n"/>
      <c r="C29" s="8" t="n"/>
      <c r="D29" s="9" t="n"/>
      <c r="E29" s="8" t="n"/>
      <c r="F29" s="8" t="n"/>
    </row>
    <row r="30">
      <c r="A30" s="18" t="n"/>
      <c r="B30" s="6" t="n"/>
      <c r="C30" s="6" t="n"/>
      <c r="D30" s="7" t="n"/>
      <c r="E30" s="6" t="n"/>
      <c r="F30" s="6" t="n"/>
    </row>
    <row r="31">
      <c r="A31" s="19" t="n"/>
      <c r="B31" s="8" t="n"/>
      <c r="C31" s="8" t="n"/>
      <c r="D31" s="9" t="n"/>
      <c r="E31" s="8" t="n"/>
      <c r="F31" s="8" t="n"/>
    </row>
    <row r="32">
      <c r="A32" s="18" t="n"/>
      <c r="B32" s="6" t="n"/>
      <c r="C32" s="6" t="n"/>
      <c r="D32" s="7" t="n"/>
      <c r="E32" s="6" t="n"/>
      <c r="F32" s="6" t="n"/>
    </row>
    <row r="33">
      <c r="A33" s="19" t="n"/>
      <c r="B33" s="8" t="n"/>
      <c r="C33" s="8" t="n"/>
      <c r="D33" s="9" t="n"/>
      <c r="E33" s="8" t="n"/>
      <c r="F33" s="8" t="n"/>
    </row>
    <row r="34">
      <c r="A34" s="18" t="n"/>
      <c r="B34" s="6" t="n"/>
      <c r="C34" s="6" t="n"/>
      <c r="D34" s="7" t="n"/>
      <c r="E34" s="6" t="n"/>
      <c r="F34" s="6" t="n"/>
    </row>
    <row r="35">
      <c r="A35" s="19" t="n"/>
      <c r="B35" s="8" t="n"/>
      <c r="C35" s="8" t="n"/>
      <c r="D35" s="9" t="n"/>
      <c r="E35" s="8" t="n"/>
      <c r="F35" s="8" t="n"/>
    </row>
    <row r="36">
      <c r="A36" s="18" t="n"/>
      <c r="B36" s="6" t="n"/>
      <c r="C36" s="6" t="n"/>
      <c r="D36" s="7" t="n"/>
      <c r="E36" s="6" t="n"/>
      <c r="F36" s="6" t="n"/>
    </row>
    <row r="37">
      <c r="A37" s="19" t="n"/>
      <c r="B37" s="8" t="n"/>
      <c r="C37" s="8" t="n"/>
      <c r="D37" s="9" t="n"/>
      <c r="E37" s="8" t="n"/>
      <c r="F37" s="8" t="n"/>
    </row>
    <row r="38">
      <c r="A38" s="18" t="n"/>
      <c r="B38" s="6" t="n"/>
      <c r="C38" s="6" t="n"/>
      <c r="D38" s="7" t="n"/>
      <c r="E38" s="6" t="n"/>
      <c r="F38" s="6" t="n"/>
    </row>
    <row r="39">
      <c r="A39" s="19" t="n"/>
      <c r="B39" s="8" t="n"/>
      <c r="C39" s="8" t="n"/>
      <c r="D39" s="9" t="n"/>
      <c r="E39" s="8" t="n"/>
      <c r="F39" s="8" t="n"/>
    </row>
    <row r="40">
      <c r="A40" s="18" t="n"/>
      <c r="B40" s="6" t="n"/>
      <c r="C40" s="6" t="n"/>
      <c r="D40" s="7" t="n"/>
      <c r="E40" s="6" t="n"/>
      <c r="F40" s="6" t="n"/>
    </row>
    <row r="41">
      <c r="A41" s="19" t="n"/>
      <c r="B41" s="8" t="n"/>
      <c r="C41" s="8" t="n"/>
      <c r="D41" s="9" t="n"/>
      <c r="E41" s="8" t="n"/>
      <c r="F41" s="8" t="n"/>
    </row>
    <row r="42">
      <c r="A42" s="18" t="n"/>
      <c r="B42" s="6" t="n"/>
      <c r="C42" s="6" t="n"/>
      <c r="D42" s="7" t="n"/>
      <c r="E42" s="6" t="n"/>
      <c r="F42" s="6" t="n"/>
    </row>
    <row r="43">
      <c r="A43" s="19" t="n"/>
      <c r="B43" s="8" t="n"/>
      <c r="C43" s="8" t="n"/>
      <c r="D43" s="9" t="n"/>
      <c r="E43" s="8" t="n"/>
      <c r="F43" s="8" t="n"/>
    </row>
    <row r="44">
      <c r="A44" s="18" t="n"/>
      <c r="B44" s="6" t="n"/>
      <c r="C44" s="6" t="n"/>
      <c r="D44" s="7" t="n"/>
      <c r="E44" s="6" t="n"/>
      <c r="F44" s="6" t="n"/>
    </row>
    <row r="45">
      <c r="A45" s="19" t="n"/>
      <c r="B45" s="8" t="n"/>
      <c r="C45" s="8" t="n"/>
      <c r="D45" s="9" t="n"/>
      <c r="E45" s="8" t="n"/>
      <c r="F45" s="8" t="n"/>
    </row>
    <row r="46">
      <c r="A46" s="18" t="n"/>
      <c r="B46" s="6" t="n"/>
      <c r="C46" s="6" t="n"/>
      <c r="D46" s="7" t="n"/>
      <c r="E46" s="6" t="n"/>
      <c r="F46" s="6" t="n"/>
    </row>
    <row r="47">
      <c r="A47" s="19" t="n"/>
      <c r="B47" s="8" t="n"/>
      <c r="C47" s="8" t="n"/>
      <c r="D47" s="9" t="n"/>
      <c r="E47" s="8" t="n"/>
      <c r="F47" s="8" t="n"/>
    </row>
    <row r="48">
      <c r="A48" s="18" t="n"/>
      <c r="B48" s="6" t="n"/>
      <c r="C48" s="6" t="n"/>
      <c r="D48" s="7" t="n"/>
      <c r="E48" s="6" t="n"/>
      <c r="F48" s="6" t="n"/>
    </row>
    <row r="49">
      <c r="A49" s="19" t="n"/>
      <c r="B49" s="8" t="n"/>
      <c r="C49" s="8" t="n"/>
      <c r="D49" s="9" t="n"/>
      <c r="E49" s="8" t="n"/>
      <c r="F49" s="8" t="n"/>
    </row>
    <row r="50">
      <c r="A50" s="18" t="n"/>
      <c r="B50" s="6" t="n"/>
      <c r="C50" s="6" t="n"/>
      <c r="D50" s="7" t="n"/>
      <c r="E50" s="6" t="n"/>
      <c r="F50" s="6" t="n"/>
    </row>
    <row r="51">
      <c r="A51" s="19" t="n"/>
      <c r="B51" s="8" t="n"/>
      <c r="C51" s="8" t="n"/>
      <c r="D51" s="9" t="n"/>
      <c r="E51" s="8" t="n"/>
      <c r="F51" s="8" t="n"/>
    </row>
    <row r="52">
      <c r="A52" s="18" t="n"/>
      <c r="B52" s="6" t="n"/>
      <c r="C52" s="6" t="n"/>
      <c r="D52" s="7" t="n"/>
      <c r="E52" s="6" t="n"/>
      <c r="F52" s="6" t="n"/>
    </row>
    <row r="53">
      <c r="A53" s="19" t="n"/>
      <c r="B53" s="8" t="n"/>
      <c r="C53" s="8" t="n"/>
      <c r="D53" s="9" t="n"/>
      <c r="E53" s="8" t="n"/>
      <c r="F53" s="8" t="n"/>
    </row>
    <row r="54">
      <c r="A54" s="18" t="n"/>
      <c r="B54" s="6" t="n"/>
      <c r="C54" s="6" t="n"/>
      <c r="D54" s="7" t="n"/>
      <c r="E54" s="6" t="n"/>
      <c r="F54" s="6" t="n"/>
    </row>
    <row r="55">
      <c r="A55" s="19" t="n"/>
      <c r="B55" s="8" t="n"/>
      <c r="C55" s="8" t="n"/>
      <c r="D55" s="9" t="n"/>
      <c r="E55" s="8" t="n"/>
      <c r="F55" s="8" t="n"/>
    </row>
    <row r="56">
      <c r="A56" s="18" t="n"/>
      <c r="B56" s="6" t="n"/>
      <c r="C56" s="6" t="n"/>
      <c r="D56" s="7" t="n"/>
      <c r="E56" s="6" t="n"/>
      <c r="F56" s="6" t="n"/>
    </row>
    <row r="57">
      <c r="A57" s="19" t="n"/>
      <c r="B57" s="8" t="n"/>
      <c r="C57" s="8" t="n"/>
      <c r="D57" s="9" t="n"/>
      <c r="E57" s="8" t="n"/>
      <c r="F57" s="8" t="n"/>
    </row>
    <row r="58">
      <c r="A58" s="18" t="n"/>
      <c r="B58" s="6" t="n"/>
      <c r="C58" s="6" t="n"/>
      <c r="D58" s="7" t="n"/>
      <c r="E58" s="6" t="n"/>
      <c r="F58" s="6" t="n"/>
    </row>
    <row r="59">
      <c r="A59" s="19" t="n"/>
      <c r="B59" s="8" t="n"/>
      <c r="C59" s="8" t="n"/>
      <c r="D59" s="9" t="n"/>
      <c r="E59" s="8" t="n"/>
      <c r="F59" s="8" t="n"/>
    </row>
    <row r="60">
      <c r="A60" s="18" t="n"/>
      <c r="B60" s="6" t="n"/>
      <c r="C60" s="6" t="n"/>
      <c r="D60" s="7" t="n"/>
      <c r="E60" s="6" t="n"/>
      <c r="F60" s="6" t="n"/>
    </row>
    <row r="61">
      <c r="A61" s="19" t="n"/>
      <c r="B61" s="8" t="n"/>
      <c r="C61" s="8" t="n"/>
      <c r="D61" s="9" t="n"/>
      <c r="E61" s="8" t="n"/>
      <c r="F61" s="8" t="n"/>
    </row>
    <row r="62">
      <c r="A62" s="18" t="n"/>
      <c r="B62" s="6" t="n"/>
      <c r="C62" s="6" t="n"/>
      <c r="D62" s="7" t="n"/>
      <c r="E62" s="6" t="n"/>
      <c r="F62" s="6" t="n"/>
    </row>
    <row r="63">
      <c r="A63" s="19" t="n"/>
      <c r="B63" s="8" t="n"/>
      <c r="C63" s="8" t="n"/>
      <c r="D63" s="9" t="n"/>
      <c r="E63" s="8" t="n"/>
      <c r="F63" s="8" t="n"/>
    </row>
    <row r="65">
      <c r="C65" s="12" t="inlineStr">
        <is>
          <t>Quarterly Total:</t>
        </is>
      </c>
      <c r="D65" s="20">
        <f>SUM(D4:D63)</f>
        <v/>
      </c>
    </row>
    <row r="66">
      <c r="C66" s="12" t="inlineStr">
        <is>
          <t>Entries with Receipts:</t>
        </is>
      </c>
      <c r="D66">
        <f>COUNTIF(E4:E63,"Y")</f>
        <v/>
      </c>
    </row>
    <row r="67">
      <c r="C67" s="12" t="inlineStr">
        <is>
          <t>Entries Missing Receipts:</t>
        </is>
      </c>
      <c r="D67" s="21">
        <f>COUNTIF(E4:E63,"N")</f>
        <v/>
      </c>
    </row>
    <row r="69">
      <c r="C69" s="2" t="inlineStr">
        <is>
          <t>Category Breakdown:</t>
        </is>
      </c>
    </row>
    <row r="70">
      <c r="C70" s="4" t="inlineStr">
        <is>
          <t>Home Office</t>
        </is>
      </c>
      <c r="D70" s="22">
        <f>SUMIF(B4:B63,"Home Office",D4:D63)</f>
        <v/>
      </c>
    </row>
    <row r="71">
      <c r="C71" s="4" t="inlineStr">
        <is>
          <t>Vehicle</t>
        </is>
      </c>
      <c r="D71" s="22">
        <f>SUMIF(B4:B63,"Vehicle",D4:D63)</f>
        <v/>
      </c>
    </row>
    <row r="72">
      <c r="C72" s="4" t="inlineStr">
        <is>
          <t>Supplies</t>
        </is>
      </c>
      <c r="D72" s="22">
        <f>SUMIF(B4:B63,"Supplies",D4:D63)</f>
        <v/>
      </c>
    </row>
    <row r="73">
      <c r="C73" s="4" t="inlineStr">
        <is>
          <t>Travel</t>
        </is>
      </c>
      <c r="D73" s="22">
        <f>SUMIF(B4:B63,"Travel",D4:D63)</f>
        <v/>
      </c>
    </row>
    <row r="74">
      <c r="C74" s="4" t="inlineStr">
        <is>
          <t>Meals (50%)</t>
        </is>
      </c>
      <c r="D74" s="22">
        <f>SUMIF(B4:B63,"Meals (50%)",D4:D63)</f>
        <v/>
      </c>
    </row>
    <row r="75">
      <c r="C75" s="4" t="inlineStr">
        <is>
          <t>Marketing</t>
        </is>
      </c>
      <c r="D75" s="22">
        <f>SUMIF(B4:B63,"Marketing",D4:D63)</f>
        <v/>
      </c>
    </row>
    <row r="76">
      <c r="C76" s="4" t="inlineStr">
        <is>
          <t>Professional Development</t>
        </is>
      </c>
      <c r="D76" s="22">
        <f>SUMIF(B4:B63,"Professional Development",D4:D63)</f>
        <v/>
      </c>
    </row>
    <row r="77">
      <c r="C77" s="4" t="inlineStr">
        <is>
          <t>Insurance</t>
        </is>
      </c>
      <c r="D77" s="22">
        <f>SUMIF(B4:B63,"Insurance",D4:D63)</f>
        <v/>
      </c>
    </row>
    <row r="78">
      <c r="C78" s="4" t="inlineStr">
        <is>
          <t>Software/Subscriptions</t>
        </is>
      </c>
      <c r="D78" s="22">
        <f>SUMIF(B4:B63,"Software/Subscriptions",D4:D63)</f>
        <v/>
      </c>
    </row>
    <row r="79">
      <c r="C79" s="4" t="inlineStr">
        <is>
          <t>Bank/Payment Fees</t>
        </is>
      </c>
      <c r="D79" s="22">
        <f>SUMIF(B4:B63,"Bank/Payment Fees",D4:D63)</f>
        <v/>
      </c>
    </row>
    <row r="80">
      <c r="C80" s="4" t="inlineStr">
        <is>
          <t>Other</t>
        </is>
      </c>
      <c r="D80" s="22">
        <f>SUMIF(B4:B63,"Other",D4:D63)</f>
        <v/>
      </c>
    </row>
  </sheetData>
  <mergeCells count="1">
    <mergeCell ref="A1:F1"/>
  </mergeCells>
  <dataValidations count="2">
    <dataValidation sqref="B4:B63" showDropDown="0" showInputMessage="0" showErrorMessage="0" allowBlank="1" type="list">
      <formula1>"Home Office,Vehicle,Supplies,Travel,Meals (50%),Marketing,Professional Development,Insurance,Software/Subscriptions,Bank/Payment Fees,Other"</formula1>
    </dataValidation>
    <dataValidation sqref="E4:E63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C5F8A"/>
    <outlinePr summaryBelow="1" summaryRight="1"/>
    <pageSetUpPr/>
  </sheetPr>
  <dimension ref="A1:F8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5" customWidth="1" min="3" max="3"/>
    <col width="15" customWidth="1" min="4" max="4"/>
    <col width="14" customWidth="1" min="5" max="5"/>
    <col width="30" customWidth="1" min="6" max="6"/>
  </cols>
  <sheetData>
    <row r="1" ht="40" customHeight="1">
      <c r="A1" s="16" t="inlineStr">
        <is>
          <t>Tax Deductions - Q3 (Jul-Sep) 2026</t>
        </is>
      </c>
    </row>
    <row r="3">
      <c r="A3" s="17" t="inlineStr">
        <is>
          <t>Date</t>
        </is>
      </c>
      <c r="B3" s="17" t="inlineStr">
        <is>
          <t>Category</t>
        </is>
      </c>
      <c r="C3" s="17" t="inlineStr">
        <is>
          <t>Description</t>
        </is>
      </c>
      <c r="D3" s="17" t="inlineStr">
        <is>
          <t>Amount</t>
        </is>
      </c>
      <c r="E3" s="17" t="inlineStr">
        <is>
          <t>Receipt (Y/N)</t>
        </is>
      </c>
      <c r="F3" s="17" t="inlineStr">
        <is>
          <t>Notes</t>
        </is>
      </c>
    </row>
    <row r="4">
      <c r="A4" s="18" t="n"/>
      <c r="B4" s="6" t="n"/>
      <c r="C4" s="6" t="n"/>
      <c r="D4" s="7" t="n"/>
      <c r="E4" s="6" t="n"/>
      <c r="F4" s="6" t="n"/>
    </row>
    <row r="5">
      <c r="A5" s="19" t="n"/>
      <c r="B5" s="8" t="n"/>
      <c r="C5" s="8" t="n"/>
      <c r="D5" s="9" t="n"/>
      <c r="E5" s="8" t="n"/>
      <c r="F5" s="8" t="n"/>
    </row>
    <row r="6">
      <c r="A6" s="18" t="n"/>
      <c r="B6" s="6" t="n"/>
      <c r="C6" s="6" t="n"/>
      <c r="D6" s="7" t="n"/>
      <c r="E6" s="6" t="n"/>
      <c r="F6" s="6" t="n"/>
    </row>
    <row r="7">
      <c r="A7" s="19" t="n"/>
      <c r="B7" s="8" t="n"/>
      <c r="C7" s="8" t="n"/>
      <c r="D7" s="9" t="n"/>
      <c r="E7" s="8" t="n"/>
      <c r="F7" s="8" t="n"/>
    </row>
    <row r="8">
      <c r="A8" s="18" t="n"/>
      <c r="B8" s="6" t="n"/>
      <c r="C8" s="6" t="n"/>
      <c r="D8" s="7" t="n"/>
      <c r="E8" s="6" t="n"/>
      <c r="F8" s="6" t="n"/>
    </row>
    <row r="9">
      <c r="A9" s="19" t="n"/>
      <c r="B9" s="8" t="n"/>
      <c r="C9" s="8" t="n"/>
      <c r="D9" s="9" t="n"/>
      <c r="E9" s="8" t="n"/>
      <c r="F9" s="8" t="n"/>
    </row>
    <row r="10">
      <c r="A10" s="18" t="n"/>
      <c r="B10" s="6" t="n"/>
      <c r="C10" s="6" t="n"/>
      <c r="D10" s="7" t="n"/>
      <c r="E10" s="6" t="n"/>
      <c r="F10" s="6" t="n"/>
    </row>
    <row r="11">
      <c r="A11" s="19" t="n"/>
      <c r="B11" s="8" t="n"/>
      <c r="C11" s="8" t="n"/>
      <c r="D11" s="9" t="n"/>
      <c r="E11" s="8" t="n"/>
      <c r="F11" s="8" t="n"/>
    </row>
    <row r="12">
      <c r="A12" s="18" t="n"/>
      <c r="B12" s="6" t="n"/>
      <c r="C12" s="6" t="n"/>
      <c r="D12" s="7" t="n"/>
      <c r="E12" s="6" t="n"/>
      <c r="F12" s="6" t="n"/>
    </row>
    <row r="13">
      <c r="A13" s="19" t="n"/>
      <c r="B13" s="8" t="n"/>
      <c r="C13" s="8" t="n"/>
      <c r="D13" s="9" t="n"/>
      <c r="E13" s="8" t="n"/>
      <c r="F13" s="8" t="n"/>
    </row>
    <row r="14">
      <c r="A14" s="18" t="n"/>
      <c r="B14" s="6" t="n"/>
      <c r="C14" s="6" t="n"/>
      <c r="D14" s="7" t="n"/>
      <c r="E14" s="6" t="n"/>
      <c r="F14" s="6" t="n"/>
    </row>
    <row r="15">
      <c r="A15" s="19" t="n"/>
      <c r="B15" s="8" t="n"/>
      <c r="C15" s="8" t="n"/>
      <c r="D15" s="9" t="n"/>
      <c r="E15" s="8" t="n"/>
      <c r="F15" s="8" t="n"/>
    </row>
    <row r="16">
      <c r="A16" s="18" t="n"/>
      <c r="B16" s="6" t="n"/>
      <c r="C16" s="6" t="n"/>
      <c r="D16" s="7" t="n"/>
      <c r="E16" s="6" t="n"/>
      <c r="F16" s="6" t="n"/>
    </row>
    <row r="17">
      <c r="A17" s="19" t="n"/>
      <c r="B17" s="8" t="n"/>
      <c r="C17" s="8" t="n"/>
      <c r="D17" s="9" t="n"/>
      <c r="E17" s="8" t="n"/>
      <c r="F17" s="8" t="n"/>
    </row>
    <row r="18">
      <c r="A18" s="18" t="n"/>
      <c r="B18" s="6" t="n"/>
      <c r="C18" s="6" t="n"/>
      <c r="D18" s="7" t="n"/>
      <c r="E18" s="6" t="n"/>
      <c r="F18" s="6" t="n"/>
    </row>
    <row r="19">
      <c r="A19" s="19" t="n"/>
      <c r="B19" s="8" t="n"/>
      <c r="C19" s="8" t="n"/>
      <c r="D19" s="9" t="n"/>
      <c r="E19" s="8" t="n"/>
      <c r="F19" s="8" t="n"/>
    </row>
    <row r="20">
      <c r="A20" s="18" t="n"/>
      <c r="B20" s="6" t="n"/>
      <c r="C20" s="6" t="n"/>
      <c r="D20" s="7" t="n"/>
      <c r="E20" s="6" t="n"/>
      <c r="F20" s="6" t="n"/>
    </row>
    <row r="21">
      <c r="A21" s="19" t="n"/>
      <c r="B21" s="8" t="n"/>
      <c r="C21" s="8" t="n"/>
      <c r="D21" s="9" t="n"/>
      <c r="E21" s="8" t="n"/>
      <c r="F21" s="8" t="n"/>
    </row>
    <row r="22">
      <c r="A22" s="18" t="n"/>
      <c r="B22" s="6" t="n"/>
      <c r="C22" s="6" t="n"/>
      <c r="D22" s="7" t="n"/>
      <c r="E22" s="6" t="n"/>
      <c r="F22" s="6" t="n"/>
    </row>
    <row r="23">
      <c r="A23" s="19" t="n"/>
      <c r="B23" s="8" t="n"/>
      <c r="C23" s="8" t="n"/>
      <c r="D23" s="9" t="n"/>
      <c r="E23" s="8" t="n"/>
      <c r="F23" s="8" t="n"/>
    </row>
    <row r="24">
      <c r="A24" s="18" t="n"/>
      <c r="B24" s="6" t="n"/>
      <c r="C24" s="6" t="n"/>
      <c r="D24" s="7" t="n"/>
      <c r="E24" s="6" t="n"/>
      <c r="F24" s="6" t="n"/>
    </row>
    <row r="25">
      <c r="A25" s="19" t="n"/>
      <c r="B25" s="8" t="n"/>
      <c r="C25" s="8" t="n"/>
      <c r="D25" s="9" t="n"/>
      <c r="E25" s="8" t="n"/>
      <c r="F25" s="8" t="n"/>
    </row>
    <row r="26">
      <c r="A26" s="18" t="n"/>
      <c r="B26" s="6" t="n"/>
      <c r="C26" s="6" t="n"/>
      <c r="D26" s="7" t="n"/>
      <c r="E26" s="6" t="n"/>
      <c r="F26" s="6" t="n"/>
    </row>
    <row r="27">
      <c r="A27" s="19" t="n"/>
      <c r="B27" s="8" t="n"/>
      <c r="C27" s="8" t="n"/>
      <c r="D27" s="9" t="n"/>
      <c r="E27" s="8" t="n"/>
      <c r="F27" s="8" t="n"/>
    </row>
    <row r="28">
      <c r="A28" s="18" t="n"/>
      <c r="B28" s="6" t="n"/>
      <c r="C28" s="6" t="n"/>
      <c r="D28" s="7" t="n"/>
      <c r="E28" s="6" t="n"/>
      <c r="F28" s="6" t="n"/>
    </row>
    <row r="29">
      <c r="A29" s="19" t="n"/>
      <c r="B29" s="8" t="n"/>
      <c r="C29" s="8" t="n"/>
      <c r="D29" s="9" t="n"/>
      <c r="E29" s="8" t="n"/>
      <c r="F29" s="8" t="n"/>
    </row>
    <row r="30">
      <c r="A30" s="18" t="n"/>
      <c r="B30" s="6" t="n"/>
      <c r="C30" s="6" t="n"/>
      <c r="D30" s="7" t="n"/>
      <c r="E30" s="6" t="n"/>
      <c r="F30" s="6" t="n"/>
    </row>
    <row r="31">
      <c r="A31" s="19" t="n"/>
      <c r="B31" s="8" t="n"/>
      <c r="C31" s="8" t="n"/>
      <c r="D31" s="9" t="n"/>
      <c r="E31" s="8" t="n"/>
      <c r="F31" s="8" t="n"/>
    </row>
    <row r="32">
      <c r="A32" s="18" t="n"/>
      <c r="B32" s="6" t="n"/>
      <c r="C32" s="6" t="n"/>
      <c r="D32" s="7" t="n"/>
      <c r="E32" s="6" t="n"/>
      <c r="F32" s="6" t="n"/>
    </row>
    <row r="33">
      <c r="A33" s="19" t="n"/>
      <c r="B33" s="8" t="n"/>
      <c r="C33" s="8" t="n"/>
      <c r="D33" s="9" t="n"/>
      <c r="E33" s="8" t="n"/>
      <c r="F33" s="8" t="n"/>
    </row>
    <row r="34">
      <c r="A34" s="18" t="n"/>
      <c r="B34" s="6" t="n"/>
      <c r="C34" s="6" t="n"/>
      <c r="D34" s="7" t="n"/>
      <c r="E34" s="6" t="n"/>
      <c r="F34" s="6" t="n"/>
    </row>
    <row r="35">
      <c r="A35" s="19" t="n"/>
      <c r="B35" s="8" t="n"/>
      <c r="C35" s="8" t="n"/>
      <c r="D35" s="9" t="n"/>
      <c r="E35" s="8" t="n"/>
      <c r="F35" s="8" t="n"/>
    </row>
    <row r="36">
      <c r="A36" s="18" t="n"/>
      <c r="B36" s="6" t="n"/>
      <c r="C36" s="6" t="n"/>
      <c r="D36" s="7" t="n"/>
      <c r="E36" s="6" t="n"/>
      <c r="F36" s="6" t="n"/>
    </row>
    <row r="37">
      <c r="A37" s="19" t="n"/>
      <c r="B37" s="8" t="n"/>
      <c r="C37" s="8" t="n"/>
      <c r="D37" s="9" t="n"/>
      <c r="E37" s="8" t="n"/>
      <c r="F37" s="8" t="n"/>
    </row>
    <row r="38">
      <c r="A38" s="18" t="n"/>
      <c r="B38" s="6" t="n"/>
      <c r="C38" s="6" t="n"/>
      <c r="D38" s="7" t="n"/>
      <c r="E38" s="6" t="n"/>
      <c r="F38" s="6" t="n"/>
    </row>
    <row r="39">
      <c r="A39" s="19" t="n"/>
      <c r="B39" s="8" t="n"/>
      <c r="C39" s="8" t="n"/>
      <c r="D39" s="9" t="n"/>
      <c r="E39" s="8" t="n"/>
      <c r="F39" s="8" t="n"/>
    </row>
    <row r="40">
      <c r="A40" s="18" t="n"/>
      <c r="B40" s="6" t="n"/>
      <c r="C40" s="6" t="n"/>
      <c r="D40" s="7" t="n"/>
      <c r="E40" s="6" t="n"/>
      <c r="F40" s="6" t="n"/>
    </row>
    <row r="41">
      <c r="A41" s="19" t="n"/>
      <c r="B41" s="8" t="n"/>
      <c r="C41" s="8" t="n"/>
      <c r="D41" s="9" t="n"/>
      <c r="E41" s="8" t="n"/>
      <c r="F41" s="8" t="n"/>
    </row>
    <row r="42">
      <c r="A42" s="18" t="n"/>
      <c r="B42" s="6" t="n"/>
      <c r="C42" s="6" t="n"/>
      <c r="D42" s="7" t="n"/>
      <c r="E42" s="6" t="n"/>
      <c r="F42" s="6" t="n"/>
    </row>
    <row r="43">
      <c r="A43" s="19" t="n"/>
      <c r="B43" s="8" t="n"/>
      <c r="C43" s="8" t="n"/>
      <c r="D43" s="9" t="n"/>
      <c r="E43" s="8" t="n"/>
      <c r="F43" s="8" t="n"/>
    </row>
    <row r="44">
      <c r="A44" s="18" t="n"/>
      <c r="B44" s="6" t="n"/>
      <c r="C44" s="6" t="n"/>
      <c r="D44" s="7" t="n"/>
      <c r="E44" s="6" t="n"/>
      <c r="F44" s="6" t="n"/>
    </row>
    <row r="45">
      <c r="A45" s="19" t="n"/>
      <c r="B45" s="8" t="n"/>
      <c r="C45" s="8" t="n"/>
      <c r="D45" s="9" t="n"/>
      <c r="E45" s="8" t="n"/>
      <c r="F45" s="8" t="n"/>
    </row>
    <row r="46">
      <c r="A46" s="18" t="n"/>
      <c r="B46" s="6" t="n"/>
      <c r="C46" s="6" t="n"/>
      <c r="D46" s="7" t="n"/>
      <c r="E46" s="6" t="n"/>
      <c r="F46" s="6" t="n"/>
    </row>
    <row r="47">
      <c r="A47" s="19" t="n"/>
      <c r="B47" s="8" t="n"/>
      <c r="C47" s="8" t="n"/>
      <c r="D47" s="9" t="n"/>
      <c r="E47" s="8" t="n"/>
      <c r="F47" s="8" t="n"/>
    </row>
    <row r="48">
      <c r="A48" s="18" t="n"/>
      <c r="B48" s="6" t="n"/>
      <c r="C48" s="6" t="n"/>
      <c r="D48" s="7" t="n"/>
      <c r="E48" s="6" t="n"/>
      <c r="F48" s="6" t="n"/>
    </row>
    <row r="49">
      <c r="A49" s="19" t="n"/>
      <c r="B49" s="8" t="n"/>
      <c r="C49" s="8" t="n"/>
      <c r="D49" s="9" t="n"/>
      <c r="E49" s="8" t="n"/>
      <c r="F49" s="8" t="n"/>
    </row>
    <row r="50">
      <c r="A50" s="18" t="n"/>
      <c r="B50" s="6" t="n"/>
      <c r="C50" s="6" t="n"/>
      <c r="D50" s="7" t="n"/>
      <c r="E50" s="6" t="n"/>
      <c r="F50" s="6" t="n"/>
    </row>
    <row r="51">
      <c r="A51" s="19" t="n"/>
      <c r="B51" s="8" t="n"/>
      <c r="C51" s="8" t="n"/>
      <c r="D51" s="9" t="n"/>
      <c r="E51" s="8" t="n"/>
      <c r="F51" s="8" t="n"/>
    </row>
    <row r="52">
      <c r="A52" s="18" t="n"/>
      <c r="B52" s="6" t="n"/>
      <c r="C52" s="6" t="n"/>
      <c r="D52" s="7" t="n"/>
      <c r="E52" s="6" t="n"/>
      <c r="F52" s="6" t="n"/>
    </row>
    <row r="53">
      <c r="A53" s="19" t="n"/>
      <c r="B53" s="8" t="n"/>
      <c r="C53" s="8" t="n"/>
      <c r="D53" s="9" t="n"/>
      <c r="E53" s="8" t="n"/>
      <c r="F53" s="8" t="n"/>
    </row>
    <row r="54">
      <c r="A54" s="18" t="n"/>
      <c r="B54" s="6" t="n"/>
      <c r="C54" s="6" t="n"/>
      <c r="D54" s="7" t="n"/>
      <c r="E54" s="6" t="n"/>
      <c r="F54" s="6" t="n"/>
    </row>
    <row r="55">
      <c r="A55" s="19" t="n"/>
      <c r="B55" s="8" t="n"/>
      <c r="C55" s="8" t="n"/>
      <c r="D55" s="9" t="n"/>
      <c r="E55" s="8" t="n"/>
      <c r="F55" s="8" t="n"/>
    </row>
    <row r="56">
      <c r="A56" s="18" t="n"/>
      <c r="B56" s="6" t="n"/>
      <c r="C56" s="6" t="n"/>
      <c r="D56" s="7" t="n"/>
      <c r="E56" s="6" t="n"/>
      <c r="F56" s="6" t="n"/>
    </row>
    <row r="57">
      <c r="A57" s="19" t="n"/>
      <c r="B57" s="8" t="n"/>
      <c r="C57" s="8" t="n"/>
      <c r="D57" s="9" t="n"/>
      <c r="E57" s="8" t="n"/>
      <c r="F57" s="8" t="n"/>
    </row>
    <row r="58">
      <c r="A58" s="18" t="n"/>
      <c r="B58" s="6" t="n"/>
      <c r="C58" s="6" t="n"/>
      <c r="D58" s="7" t="n"/>
      <c r="E58" s="6" t="n"/>
      <c r="F58" s="6" t="n"/>
    </row>
    <row r="59">
      <c r="A59" s="19" t="n"/>
      <c r="B59" s="8" t="n"/>
      <c r="C59" s="8" t="n"/>
      <c r="D59" s="9" t="n"/>
      <c r="E59" s="8" t="n"/>
      <c r="F59" s="8" t="n"/>
    </row>
    <row r="60">
      <c r="A60" s="18" t="n"/>
      <c r="B60" s="6" t="n"/>
      <c r="C60" s="6" t="n"/>
      <c r="D60" s="7" t="n"/>
      <c r="E60" s="6" t="n"/>
      <c r="F60" s="6" t="n"/>
    </row>
    <row r="61">
      <c r="A61" s="19" t="n"/>
      <c r="B61" s="8" t="n"/>
      <c r="C61" s="8" t="n"/>
      <c r="D61" s="9" t="n"/>
      <c r="E61" s="8" t="n"/>
      <c r="F61" s="8" t="n"/>
    </row>
    <row r="62">
      <c r="A62" s="18" t="n"/>
      <c r="B62" s="6" t="n"/>
      <c r="C62" s="6" t="n"/>
      <c r="D62" s="7" t="n"/>
      <c r="E62" s="6" t="n"/>
      <c r="F62" s="6" t="n"/>
    </row>
    <row r="63">
      <c r="A63" s="19" t="n"/>
      <c r="B63" s="8" t="n"/>
      <c r="C63" s="8" t="n"/>
      <c r="D63" s="9" t="n"/>
      <c r="E63" s="8" t="n"/>
      <c r="F63" s="8" t="n"/>
    </row>
    <row r="65">
      <c r="C65" s="12" t="inlineStr">
        <is>
          <t>Quarterly Total:</t>
        </is>
      </c>
      <c r="D65" s="20">
        <f>SUM(D4:D63)</f>
        <v/>
      </c>
    </row>
    <row r="66">
      <c r="C66" s="12" t="inlineStr">
        <is>
          <t>Entries with Receipts:</t>
        </is>
      </c>
      <c r="D66">
        <f>COUNTIF(E4:E63,"Y")</f>
        <v/>
      </c>
    </row>
    <row r="67">
      <c r="C67" s="12" t="inlineStr">
        <is>
          <t>Entries Missing Receipts:</t>
        </is>
      </c>
      <c r="D67" s="21">
        <f>COUNTIF(E4:E63,"N")</f>
        <v/>
      </c>
    </row>
    <row r="69">
      <c r="C69" s="2" t="inlineStr">
        <is>
          <t>Category Breakdown:</t>
        </is>
      </c>
    </row>
    <row r="70">
      <c r="C70" s="4" t="inlineStr">
        <is>
          <t>Home Office</t>
        </is>
      </c>
      <c r="D70" s="22">
        <f>SUMIF(B4:B63,"Home Office",D4:D63)</f>
        <v/>
      </c>
    </row>
    <row r="71">
      <c r="C71" s="4" t="inlineStr">
        <is>
          <t>Vehicle</t>
        </is>
      </c>
      <c r="D71" s="22">
        <f>SUMIF(B4:B63,"Vehicle",D4:D63)</f>
        <v/>
      </c>
    </row>
    <row r="72">
      <c r="C72" s="4" t="inlineStr">
        <is>
          <t>Supplies</t>
        </is>
      </c>
      <c r="D72" s="22">
        <f>SUMIF(B4:B63,"Supplies",D4:D63)</f>
        <v/>
      </c>
    </row>
    <row r="73">
      <c r="C73" s="4" t="inlineStr">
        <is>
          <t>Travel</t>
        </is>
      </c>
      <c r="D73" s="22">
        <f>SUMIF(B4:B63,"Travel",D4:D63)</f>
        <v/>
      </c>
    </row>
    <row r="74">
      <c r="C74" s="4" t="inlineStr">
        <is>
          <t>Meals (50%)</t>
        </is>
      </c>
      <c r="D74" s="22">
        <f>SUMIF(B4:B63,"Meals (50%)",D4:D63)</f>
        <v/>
      </c>
    </row>
    <row r="75">
      <c r="C75" s="4" t="inlineStr">
        <is>
          <t>Marketing</t>
        </is>
      </c>
      <c r="D75" s="22">
        <f>SUMIF(B4:B63,"Marketing",D4:D63)</f>
        <v/>
      </c>
    </row>
    <row r="76">
      <c r="C76" s="4" t="inlineStr">
        <is>
          <t>Professional Development</t>
        </is>
      </c>
      <c r="D76" s="22">
        <f>SUMIF(B4:B63,"Professional Development",D4:D63)</f>
        <v/>
      </c>
    </row>
    <row r="77">
      <c r="C77" s="4" t="inlineStr">
        <is>
          <t>Insurance</t>
        </is>
      </c>
      <c r="D77" s="22">
        <f>SUMIF(B4:B63,"Insurance",D4:D63)</f>
        <v/>
      </c>
    </row>
    <row r="78">
      <c r="C78" s="4" t="inlineStr">
        <is>
          <t>Software/Subscriptions</t>
        </is>
      </c>
      <c r="D78" s="22">
        <f>SUMIF(B4:B63,"Software/Subscriptions",D4:D63)</f>
        <v/>
      </c>
    </row>
    <row r="79">
      <c r="C79" s="4" t="inlineStr">
        <is>
          <t>Bank/Payment Fees</t>
        </is>
      </c>
      <c r="D79" s="22">
        <f>SUMIF(B4:B63,"Bank/Payment Fees",D4:D63)</f>
        <v/>
      </c>
    </row>
    <row r="80">
      <c r="C80" s="4" t="inlineStr">
        <is>
          <t>Other</t>
        </is>
      </c>
      <c r="D80" s="22">
        <f>SUMIF(B4:B63,"Other",D4:D63)</f>
        <v/>
      </c>
    </row>
  </sheetData>
  <mergeCells count="1">
    <mergeCell ref="A1:F1"/>
  </mergeCells>
  <dataValidations count="2">
    <dataValidation sqref="B4:B63" showDropDown="0" showInputMessage="0" showErrorMessage="0" allowBlank="1" type="list">
      <formula1>"Home Office,Vehicle,Supplies,Travel,Meals (50%),Marketing,Professional Development,Insurance,Software/Subscriptions,Bank/Payment Fees,Other"</formula1>
    </dataValidation>
    <dataValidation sqref="E4:E63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C5F8A"/>
    <outlinePr summaryBelow="1" summaryRight="1"/>
    <pageSetUpPr/>
  </sheetPr>
  <dimension ref="A1:F8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5" customWidth="1" min="3" max="3"/>
    <col width="15" customWidth="1" min="4" max="4"/>
    <col width="14" customWidth="1" min="5" max="5"/>
    <col width="30" customWidth="1" min="6" max="6"/>
  </cols>
  <sheetData>
    <row r="1" ht="40" customHeight="1">
      <c r="A1" s="16" t="inlineStr">
        <is>
          <t>Tax Deductions - Q4 (Oct-Dec) 2026</t>
        </is>
      </c>
    </row>
    <row r="3">
      <c r="A3" s="17" t="inlineStr">
        <is>
          <t>Date</t>
        </is>
      </c>
      <c r="B3" s="17" t="inlineStr">
        <is>
          <t>Category</t>
        </is>
      </c>
      <c r="C3" s="17" t="inlineStr">
        <is>
          <t>Description</t>
        </is>
      </c>
      <c r="D3" s="17" t="inlineStr">
        <is>
          <t>Amount</t>
        </is>
      </c>
      <c r="E3" s="17" t="inlineStr">
        <is>
          <t>Receipt (Y/N)</t>
        </is>
      </c>
      <c r="F3" s="17" t="inlineStr">
        <is>
          <t>Notes</t>
        </is>
      </c>
    </row>
    <row r="4">
      <c r="A4" s="18" t="n"/>
      <c r="B4" s="6" t="n"/>
      <c r="C4" s="6" t="n"/>
      <c r="D4" s="7" t="n"/>
      <c r="E4" s="6" t="n"/>
      <c r="F4" s="6" t="n"/>
    </row>
    <row r="5">
      <c r="A5" s="19" t="n"/>
      <c r="B5" s="8" t="n"/>
      <c r="C5" s="8" t="n"/>
      <c r="D5" s="9" t="n"/>
      <c r="E5" s="8" t="n"/>
      <c r="F5" s="8" t="n"/>
    </row>
    <row r="6">
      <c r="A6" s="18" t="n"/>
      <c r="B6" s="6" t="n"/>
      <c r="C6" s="6" t="n"/>
      <c r="D6" s="7" t="n"/>
      <c r="E6" s="6" t="n"/>
      <c r="F6" s="6" t="n"/>
    </row>
    <row r="7">
      <c r="A7" s="19" t="n"/>
      <c r="B7" s="8" t="n"/>
      <c r="C7" s="8" t="n"/>
      <c r="D7" s="9" t="n"/>
      <c r="E7" s="8" t="n"/>
      <c r="F7" s="8" t="n"/>
    </row>
    <row r="8">
      <c r="A8" s="18" t="n"/>
      <c r="B8" s="6" t="n"/>
      <c r="C8" s="6" t="n"/>
      <c r="D8" s="7" t="n"/>
      <c r="E8" s="6" t="n"/>
      <c r="F8" s="6" t="n"/>
    </row>
    <row r="9">
      <c r="A9" s="19" t="n"/>
      <c r="B9" s="8" t="n"/>
      <c r="C9" s="8" t="n"/>
      <c r="D9" s="9" t="n"/>
      <c r="E9" s="8" t="n"/>
      <c r="F9" s="8" t="n"/>
    </row>
    <row r="10">
      <c r="A10" s="18" t="n"/>
      <c r="B10" s="6" t="n"/>
      <c r="C10" s="6" t="n"/>
      <c r="D10" s="7" t="n"/>
      <c r="E10" s="6" t="n"/>
      <c r="F10" s="6" t="n"/>
    </row>
    <row r="11">
      <c r="A11" s="19" t="n"/>
      <c r="B11" s="8" t="n"/>
      <c r="C11" s="8" t="n"/>
      <c r="D11" s="9" t="n"/>
      <c r="E11" s="8" t="n"/>
      <c r="F11" s="8" t="n"/>
    </row>
    <row r="12">
      <c r="A12" s="18" t="n"/>
      <c r="B12" s="6" t="n"/>
      <c r="C12" s="6" t="n"/>
      <c r="D12" s="7" t="n"/>
      <c r="E12" s="6" t="n"/>
      <c r="F12" s="6" t="n"/>
    </row>
    <row r="13">
      <c r="A13" s="19" t="n"/>
      <c r="B13" s="8" t="n"/>
      <c r="C13" s="8" t="n"/>
      <c r="D13" s="9" t="n"/>
      <c r="E13" s="8" t="n"/>
      <c r="F13" s="8" t="n"/>
    </row>
    <row r="14">
      <c r="A14" s="18" t="n"/>
      <c r="B14" s="6" t="n"/>
      <c r="C14" s="6" t="n"/>
      <c r="D14" s="7" t="n"/>
      <c r="E14" s="6" t="n"/>
      <c r="F14" s="6" t="n"/>
    </row>
    <row r="15">
      <c r="A15" s="19" t="n"/>
      <c r="B15" s="8" t="n"/>
      <c r="C15" s="8" t="n"/>
      <c r="D15" s="9" t="n"/>
      <c r="E15" s="8" t="n"/>
      <c r="F15" s="8" t="n"/>
    </row>
    <row r="16">
      <c r="A16" s="18" t="n"/>
      <c r="B16" s="6" t="n"/>
      <c r="C16" s="6" t="n"/>
      <c r="D16" s="7" t="n"/>
      <c r="E16" s="6" t="n"/>
      <c r="F16" s="6" t="n"/>
    </row>
    <row r="17">
      <c r="A17" s="19" t="n"/>
      <c r="B17" s="8" t="n"/>
      <c r="C17" s="8" t="n"/>
      <c r="D17" s="9" t="n"/>
      <c r="E17" s="8" t="n"/>
      <c r="F17" s="8" t="n"/>
    </row>
    <row r="18">
      <c r="A18" s="18" t="n"/>
      <c r="B18" s="6" t="n"/>
      <c r="C18" s="6" t="n"/>
      <c r="D18" s="7" t="n"/>
      <c r="E18" s="6" t="n"/>
      <c r="F18" s="6" t="n"/>
    </row>
    <row r="19">
      <c r="A19" s="19" t="n"/>
      <c r="B19" s="8" t="n"/>
      <c r="C19" s="8" t="n"/>
      <c r="D19" s="9" t="n"/>
      <c r="E19" s="8" t="n"/>
      <c r="F19" s="8" t="n"/>
    </row>
    <row r="20">
      <c r="A20" s="18" t="n"/>
      <c r="B20" s="6" t="n"/>
      <c r="C20" s="6" t="n"/>
      <c r="D20" s="7" t="n"/>
      <c r="E20" s="6" t="n"/>
      <c r="F20" s="6" t="n"/>
    </row>
    <row r="21">
      <c r="A21" s="19" t="n"/>
      <c r="B21" s="8" t="n"/>
      <c r="C21" s="8" t="n"/>
      <c r="D21" s="9" t="n"/>
      <c r="E21" s="8" t="n"/>
      <c r="F21" s="8" t="n"/>
    </row>
    <row r="22">
      <c r="A22" s="18" t="n"/>
      <c r="B22" s="6" t="n"/>
      <c r="C22" s="6" t="n"/>
      <c r="D22" s="7" t="n"/>
      <c r="E22" s="6" t="n"/>
      <c r="F22" s="6" t="n"/>
    </row>
    <row r="23">
      <c r="A23" s="19" t="n"/>
      <c r="B23" s="8" t="n"/>
      <c r="C23" s="8" t="n"/>
      <c r="D23" s="9" t="n"/>
      <c r="E23" s="8" t="n"/>
      <c r="F23" s="8" t="n"/>
    </row>
    <row r="24">
      <c r="A24" s="18" t="n"/>
      <c r="B24" s="6" t="n"/>
      <c r="C24" s="6" t="n"/>
      <c r="D24" s="7" t="n"/>
      <c r="E24" s="6" t="n"/>
      <c r="F24" s="6" t="n"/>
    </row>
    <row r="25">
      <c r="A25" s="19" t="n"/>
      <c r="B25" s="8" t="n"/>
      <c r="C25" s="8" t="n"/>
      <c r="D25" s="9" t="n"/>
      <c r="E25" s="8" t="n"/>
      <c r="F25" s="8" t="n"/>
    </row>
    <row r="26">
      <c r="A26" s="18" t="n"/>
      <c r="B26" s="6" t="n"/>
      <c r="C26" s="6" t="n"/>
      <c r="D26" s="7" t="n"/>
      <c r="E26" s="6" t="n"/>
      <c r="F26" s="6" t="n"/>
    </row>
    <row r="27">
      <c r="A27" s="19" t="n"/>
      <c r="B27" s="8" t="n"/>
      <c r="C27" s="8" t="n"/>
      <c r="D27" s="9" t="n"/>
      <c r="E27" s="8" t="n"/>
      <c r="F27" s="8" t="n"/>
    </row>
    <row r="28">
      <c r="A28" s="18" t="n"/>
      <c r="B28" s="6" t="n"/>
      <c r="C28" s="6" t="n"/>
      <c r="D28" s="7" t="n"/>
      <c r="E28" s="6" t="n"/>
      <c r="F28" s="6" t="n"/>
    </row>
    <row r="29">
      <c r="A29" s="19" t="n"/>
      <c r="B29" s="8" t="n"/>
      <c r="C29" s="8" t="n"/>
      <c r="D29" s="9" t="n"/>
      <c r="E29" s="8" t="n"/>
      <c r="F29" s="8" t="n"/>
    </row>
    <row r="30">
      <c r="A30" s="18" t="n"/>
      <c r="B30" s="6" t="n"/>
      <c r="C30" s="6" t="n"/>
      <c r="D30" s="7" t="n"/>
      <c r="E30" s="6" t="n"/>
      <c r="F30" s="6" t="n"/>
    </row>
    <row r="31">
      <c r="A31" s="19" t="n"/>
      <c r="B31" s="8" t="n"/>
      <c r="C31" s="8" t="n"/>
      <c r="D31" s="9" t="n"/>
      <c r="E31" s="8" t="n"/>
      <c r="F31" s="8" t="n"/>
    </row>
    <row r="32">
      <c r="A32" s="18" t="n"/>
      <c r="B32" s="6" t="n"/>
      <c r="C32" s="6" t="n"/>
      <c r="D32" s="7" t="n"/>
      <c r="E32" s="6" t="n"/>
      <c r="F32" s="6" t="n"/>
    </row>
    <row r="33">
      <c r="A33" s="19" t="n"/>
      <c r="B33" s="8" t="n"/>
      <c r="C33" s="8" t="n"/>
      <c r="D33" s="9" t="n"/>
      <c r="E33" s="8" t="n"/>
      <c r="F33" s="8" t="n"/>
    </row>
    <row r="34">
      <c r="A34" s="18" t="n"/>
      <c r="B34" s="6" t="n"/>
      <c r="C34" s="6" t="n"/>
      <c r="D34" s="7" t="n"/>
      <c r="E34" s="6" t="n"/>
      <c r="F34" s="6" t="n"/>
    </row>
    <row r="35">
      <c r="A35" s="19" t="n"/>
      <c r="B35" s="8" t="n"/>
      <c r="C35" s="8" t="n"/>
      <c r="D35" s="9" t="n"/>
      <c r="E35" s="8" t="n"/>
      <c r="F35" s="8" t="n"/>
    </row>
    <row r="36">
      <c r="A36" s="18" t="n"/>
      <c r="B36" s="6" t="n"/>
      <c r="C36" s="6" t="n"/>
      <c r="D36" s="7" t="n"/>
      <c r="E36" s="6" t="n"/>
      <c r="F36" s="6" t="n"/>
    </row>
    <row r="37">
      <c r="A37" s="19" t="n"/>
      <c r="B37" s="8" t="n"/>
      <c r="C37" s="8" t="n"/>
      <c r="D37" s="9" t="n"/>
      <c r="E37" s="8" t="n"/>
      <c r="F37" s="8" t="n"/>
    </row>
    <row r="38">
      <c r="A38" s="18" t="n"/>
      <c r="B38" s="6" t="n"/>
      <c r="C38" s="6" t="n"/>
      <c r="D38" s="7" t="n"/>
      <c r="E38" s="6" t="n"/>
      <c r="F38" s="6" t="n"/>
    </row>
    <row r="39">
      <c r="A39" s="19" t="n"/>
      <c r="B39" s="8" t="n"/>
      <c r="C39" s="8" t="n"/>
      <c r="D39" s="9" t="n"/>
      <c r="E39" s="8" t="n"/>
      <c r="F39" s="8" t="n"/>
    </row>
    <row r="40">
      <c r="A40" s="18" t="n"/>
      <c r="B40" s="6" t="n"/>
      <c r="C40" s="6" t="n"/>
      <c r="D40" s="7" t="n"/>
      <c r="E40" s="6" t="n"/>
      <c r="F40" s="6" t="n"/>
    </row>
    <row r="41">
      <c r="A41" s="19" t="n"/>
      <c r="B41" s="8" t="n"/>
      <c r="C41" s="8" t="n"/>
      <c r="D41" s="9" t="n"/>
      <c r="E41" s="8" t="n"/>
      <c r="F41" s="8" t="n"/>
    </row>
    <row r="42">
      <c r="A42" s="18" t="n"/>
      <c r="B42" s="6" t="n"/>
      <c r="C42" s="6" t="n"/>
      <c r="D42" s="7" t="n"/>
      <c r="E42" s="6" t="n"/>
      <c r="F42" s="6" t="n"/>
    </row>
    <row r="43">
      <c r="A43" s="19" t="n"/>
      <c r="B43" s="8" t="n"/>
      <c r="C43" s="8" t="n"/>
      <c r="D43" s="9" t="n"/>
      <c r="E43" s="8" t="n"/>
      <c r="F43" s="8" t="n"/>
    </row>
    <row r="44">
      <c r="A44" s="18" t="n"/>
      <c r="B44" s="6" t="n"/>
      <c r="C44" s="6" t="n"/>
      <c r="D44" s="7" t="n"/>
      <c r="E44" s="6" t="n"/>
      <c r="F44" s="6" t="n"/>
    </row>
    <row r="45">
      <c r="A45" s="19" t="n"/>
      <c r="B45" s="8" t="n"/>
      <c r="C45" s="8" t="n"/>
      <c r="D45" s="9" t="n"/>
      <c r="E45" s="8" t="n"/>
      <c r="F45" s="8" t="n"/>
    </row>
    <row r="46">
      <c r="A46" s="18" t="n"/>
      <c r="B46" s="6" t="n"/>
      <c r="C46" s="6" t="n"/>
      <c r="D46" s="7" t="n"/>
      <c r="E46" s="6" t="n"/>
      <c r="F46" s="6" t="n"/>
    </row>
    <row r="47">
      <c r="A47" s="19" t="n"/>
      <c r="B47" s="8" t="n"/>
      <c r="C47" s="8" t="n"/>
      <c r="D47" s="9" t="n"/>
      <c r="E47" s="8" t="n"/>
      <c r="F47" s="8" t="n"/>
    </row>
    <row r="48">
      <c r="A48" s="18" t="n"/>
      <c r="B48" s="6" t="n"/>
      <c r="C48" s="6" t="n"/>
      <c r="D48" s="7" t="n"/>
      <c r="E48" s="6" t="n"/>
      <c r="F48" s="6" t="n"/>
    </row>
    <row r="49">
      <c r="A49" s="19" t="n"/>
      <c r="B49" s="8" t="n"/>
      <c r="C49" s="8" t="n"/>
      <c r="D49" s="9" t="n"/>
      <c r="E49" s="8" t="n"/>
      <c r="F49" s="8" t="n"/>
    </row>
    <row r="50">
      <c r="A50" s="18" t="n"/>
      <c r="B50" s="6" t="n"/>
      <c r="C50" s="6" t="n"/>
      <c r="D50" s="7" t="n"/>
      <c r="E50" s="6" t="n"/>
      <c r="F50" s="6" t="n"/>
    </row>
    <row r="51">
      <c r="A51" s="19" t="n"/>
      <c r="B51" s="8" t="n"/>
      <c r="C51" s="8" t="n"/>
      <c r="D51" s="9" t="n"/>
      <c r="E51" s="8" t="n"/>
      <c r="F51" s="8" t="n"/>
    </row>
    <row r="52">
      <c r="A52" s="18" t="n"/>
      <c r="B52" s="6" t="n"/>
      <c r="C52" s="6" t="n"/>
      <c r="D52" s="7" t="n"/>
      <c r="E52" s="6" t="n"/>
      <c r="F52" s="6" t="n"/>
    </row>
    <row r="53">
      <c r="A53" s="19" t="n"/>
      <c r="B53" s="8" t="n"/>
      <c r="C53" s="8" t="n"/>
      <c r="D53" s="9" t="n"/>
      <c r="E53" s="8" t="n"/>
      <c r="F53" s="8" t="n"/>
    </row>
    <row r="54">
      <c r="A54" s="18" t="n"/>
      <c r="B54" s="6" t="n"/>
      <c r="C54" s="6" t="n"/>
      <c r="D54" s="7" t="n"/>
      <c r="E54" s="6" t="n"/>
      <c r="F54" s="6" t="n"/>
    </row>
    <row r="55">
      <c r="A55" s="19" t="n"/>
      <c r="B55" s="8" t="n"/>
      <c r="C55" s="8" t="n"/>
      <c r="D55" s="9" t="n"/>
      <c r="E55" s="8" t="n"/>
      <c r="F55" s="8" t="n"/>
    </row>
    <row r="56">
      <c r="A56" s="18" t="n"/>
      <c r="B56" s="6" t="n"/>
      <c r="C56" s="6" t="n"/>
      <c r="D56" s="7" t="n"/>
      <c r="E56" s="6" t="n"/>
      <c r="F56" s="6" t="n"/>
    </row>
    <row r="57">
      <c r="A57" s="19" t="n"/>
      <c r="B57" s="8" t="n"/>
      <c r="C57" s="8" t="n"/>
      <c r="D57" s="9" t="n"/>
      <c r="E57" s="8" t="n"/>
      <c r="F57" s="8" t="n"/>
    </row>
    <row r="58">
      <c r="A58" s="18" t="n"/>
      <c r="B58" s="6" t="n"/>
      <c r="C58" s="6" t="n"/>
      <c r="D58" s="7" t="n"/>
      <c r="E58" s="6" t="n"/>
      <c r="F58" s="6" t="n"/>
    </row>
    <row r="59">
      <c r="A59" s="19" t="n"/>
      <c r="B59" s="8" t="n"/>
      <c r="C59" s="8" t="n"/>
      <c r="D59" s="9" t="n"/>
      <c r="E59" s="8" t="n"/>
      <c r="F59" s="8" t="n"/>
    </row>
    <row r="60">
      <c r="A60" s="18" t="n"/>
      <c r="B60" s="6" t="n"/>
      <c r="C60" s="6" t="n"/>
      <c r="D60" s="7" t="n"/>
      <c r="E60" s="6" t="n"/>
      <c r="F60" s="6" t="n"/>
    </row>
    <row r="61">
      <c r="A61" s="19" t="n"/>
      <c r="B61" s="8" t="n"/>
      <c r="C61" s="8" t="n"/>
      <c r="D61" s="9" t="n"/>
      <c r="E61" s="8" t="n"/>
      <c r="F61" s="8" t="n"/>
    </row>
    <row r="62">
      <c r="A62" s="18" t="n"/>
      <c r="B62" s="6" t="n"/>
      <c r="C62" s="6" t="n"/>
      <c r="D62" s="7" t="n"/>
      <c r="E62" s="6" t="n"/>
      <c r="F62" s="6" t="n"/>
    </row>
    <row r="63">
      <c r="A63" s="19" t="n"/>
      <c r="B63" s="8" t="n"/>
      <c r="C63" s="8" t="n"/>
      <c r="D63" s="9" t="n"/>
      <c r="E63" s="8" t="n"/>
      <c r="F63" s="8" t="n"/>
    </row>
    <row r="65">
      <c r="C65" s="12" t="inlineStr">
        <is>
          <t>Quarterly Total:</t>
        </is>
      </c>
      <c r="D65" s="20">
        <f>SUM(D4:D63)</f>
        <v/>
      </c>
    </row>
    <row r="66">
      <c r="C66" s="12" t="inlineStr">
        <is>
          <t>Entries with Receipts:</t>
        </is>
      </c>
      <c r="D66">
        <f>COUNTIF(E4:E63,"Y")</f>
        <v/>
      </c>
    </row>
    <row r="67">
      <c r="C67" s="12" t="inlineStr">
        <is>
          <t>Entries Missing Receipts:</t>
        </is>
      </c>
      <c r="D67" s="21">
        <f>COUNTIF(E4:E63,"N")</f>
        <v/>
      </c>
    </row>
    <row r="69">
      <c r="C69" s="2" t="inlineStr">
        <is>
          <t>Category Breakdown:</t>
        </is>
      </c>
    </row>
    <row r="70">
      <c r="C70" s="4" t="inlineStr">
        <is>
          <t>Home Office</t>
        </is>
      </c>
      <c r="D70" s="22">
        <f>SUMIF(B4:B63,"Home Office",D4:D63)</f>
        <v/>
      </c>
    </row>
    <row r="71">
      <c r="C71" s="4" t="inlineStr">
        <is>
          <t>Vehicle</t>
        </is>
      </c>
      <c r="D71" s="22">
        <f>SUMIF(B4:B63,"Vehicle",D4:D63)</f>
        <v/>
      </c>
    </row>
    <row r="72">
      <c r="C72" s="4" t="inlineStr">
        <is>
          <t>Supplies</t>
        </is>
      </c>
      <c r="D72" s="22">
        <f>SUMIF(B4:B63,"Supplies",D4:D63)</f>
        <v/>
      </c>
    </row>
    <row r="73">
      <c r="C73" s="4" t="inlineStr">
        <is>
          <t>Travel</t>
        </is>
      </c>
      <c r="D73" s="22">
        <f>SUMIF(B4:B63,"Travel",D4:D63)</f>
        <v/>
      </c>
    </row>
    <row r="74">
      <c r="C74" s="4" t="inlineStr">
        <is>
          <t>Meals (50%)</t>
        </is>
      </c>
      <c r="D74" s="22">
        <f>SUMIF(B4:B63,"Meals (50%)",D4:D63)</f>
        <v/>
      </c>
    </row>
    <row r="75">
      <c r="C75" s="4" t="inlineStr">
        <is>
          <t>Marketing</t>
        </is>
      </c>
      <c r="D75" s="22">
        <f>SUMIF(B4:B63,"Marketing",D4:D63)</f>
        <v/>
      </c>
    </row>
    <row r="76">
      <c r="C76" s="4" t="inlineStr">
        <is>
          <t>Professional Development</t>
        </is>
      </c>
      <c r="D76" s="22">
        <f>SUMIF(B4:B63,"Professional Development",D4:D63)</f>
        <v/>
      </c>
    </row>
    <row r="77">
      <c r="C77" s="4" t="inlineStr">
        <is>
          <t>Insurance</t>
        </is>
      </c>
      <c r="D77" s="22">
        <f>SUMIF(B4:B63,"Insurance",D4:D63)</f>
        <v/>
      </c>
    </row>
    <row r="78">
      <c r="C78" s="4" t="inlineStr">
        <is>
          <t>Software/Subscriptions</t>
        </is>
      </c>
      <c r="D78" s="22">
        <f>SUMIF(B4:B63,"Software/Subscriptions",D4:D63)</f>
        <v/>
      </c>
    </row>
    <row r="79">
      <c r="C79" s="4" t="inlineStr">
        <is>
          <t>Bank/Payment Fees</t>
        </is>
      </c>
      <c r="D79" s="22">
        <f>SUMIF(B4:B63,"Bank/Payment Fees",D4:D63)</f>
        <v/>
      </c>
    </row>
    <row r="80">
      <c r="C80" s="4" t="inlineStr">
        <is>
          <t>Other</t>
        </is>
      </c>
      <c r="D80" s="22">
        <f>SUMIF(B4:B63,"Other",D4:D63)</f>
        <v/>
      </c>
    </row>
  </sheetData>
  <mergeCells count="1">
    <mergeCell ref="A1:F1"/>
  </mergeCells>
  <dataValidations count="2">
    <dataValidation sqref="B4:B63" showDropDown="0" showInputMessage="0" showErrorMessage="0" allowBlank="1" type="list">
      <formula1>"Home Office,Vehicle,Supplies,Travel,Meals (50%),Marketing,Professional Development,Insurance,Software/Subscriptions,Bank/Payment Fees,Other"</formula1>
    </dataValidation>
    <dataValidation sqref="E4:E63" showDropDown="0" showInputMessage="0" showErrorMessage="0" allowBlank="1" type="list">
      <formula1>"Y,N"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2026-02-19T04:19:50Z</dcterms:created>
  <dcterms:modified xsi:type="dcterms:W3CDTF">2026-02-19T04:19:50Z</dcterms:modified>
</cp:coreProperties>
</file>