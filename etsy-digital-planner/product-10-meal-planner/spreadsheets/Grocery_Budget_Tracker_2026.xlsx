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anuary" sheetId="2" state="visible" r:id="rId2"/>
    <sheet name="February" sheetId="3" state="visible" r:id="rId3"/>
    <sheet name="March" sheetId="4" state="visible" r:id="rId4"/>
    <sheet name="April" sheetId="5" state="visible" r:id="rId5"/>
    <sheet name="May" sheetId="6" state="visible" r:id="rId6"/>
    <sheet name="June" sheetId="7" state="visible" r:id="rId7"/>
    <sheet name="July" sheetId="8" state="visible" r:id="rId8"/>
    <sheet name="August" sheetId="9" state="visible" r:id="rId9"/>
    <sheet name="September" sheetId="10" state="visible" r:id="rId10"/>
    <sheet name="October" sheetId="11" state="visible" r:id="rId11"/>
    <sheet name="November" sheetId="12" state="visible" r:id="rId12"/>
    <sheet name="December" sheetId="13" state="visible" r:id="rId13"/>
    <sheet name="Annual 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b val="1"/>
      <color rgb="00FFFFFF"/>
      <sz val="12"/>
    </font>
    <font>
      <name val="Calibri"/>
      <b val="1"/>
      <color rgb="00C4713B"/>
      <sz val="12"/>
    </font>
    <font>
      <name val="Calibri"/>
      <b val="1"/>
      <color rgb="00444444"/>
      <sz val="11"/>
    </font>
    <font>
      <name val="Calibri"/>
      <b val="1"/>
      <color rgb="00C4713B"/>
      <sz val="18"/>
    </font>
  </fonts>
  <fills count="7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8FAE8B"/>
        <bgColor rgb="008FAE8B"/>
      </patternFill>
    </fill>
    <fill>
      <patternFill patternType="solid">
        <fgColor rgb="00D4E8D1"/>
        <bgColor rgb="00D4E8D1"/>
      </patternFill>
    </fill>
    <fill>
      <patternFill patternType="solid">
        <fgColor rgb="00F0C8A8"/>
        <bgColor rgb="00F0C8A8"/>
      </patternFill>
    </fill>
  </fills>
  <borders count="3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  <border>
      <bottom style="double">
        <color rgb="00C471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165" fontId="7" fillId="0" borderId="2" pivotButton="0" quotePrefix="0" xfId="0"/>
    <xf numFmtId="0" fontId="8" fillId="0" borderId="0" applyAlignment="1" pivotButton="0" quotePrefix="0" xfId="0">
      <alignment horizontal="right" vertical="center"/>
    </xf>
    <xf numFmtId="165" fontId="8" fillId="0" borderId="0" pivotButton="0" quotePrefix="0" xfId="0"/>
    <xf numFmtId="0" fontId="8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9" fillId="0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2" pivotButton="0" quotePrefix="0" xfId="0"/>
    <xf numFmtId="165" fontId="4" fillId="0" borderId="0" pivotButton="0" quotePrefix="0" xfId="0"/>
    <xf numFmtId="165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Grocery Spending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Dashboard'!B4</f>
            </strRef>
          </tx>
          <spPr>
            <a:solidFill>
              <a:srgbClr val="C4713B"/>
            </a:solidFill>
            <a:ln>
              <a:prstDash val="solid"/>
            </a:ln>
          </spPr>
          <cat>
            <numRef>
              <f>'Annual Dashboard'!$A$5:$A$16</f>
            </numRef>
          </cat>
          <val>
            <numRef>
              <f>'Annual Dashboard'!$B$5:$B$16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Grocery Budget Tracker 2026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Grocery Budget Tracker</t>
        </is>
      </c>
    </row>
    <row r="5">
      <c r="A5" s="4" t="inlineStr">
        <is>
          <t>- Each month has its own tab for recording grocery purchases.</t>
        </is>
      </c>
    </row>
    <row r="6">
      <c r="A6" s="4" t="inlineStr">
        <is>
          <t>- Log every trip: date, store, items, category, amount, payment method.</t>
        </is>
      </c>
    </row>
    <row r="7">
      <c r="A7" s="4" t="inlineStr">
        <is>
          <t>- Monthly totals and category breakdowns auto-calculate.</t>
        </is>
      </c>
    </row>
    <row r="8">
      <c r="A8" s="4" t="inlineStr">
        <is>
          <t>- The 'Annual Dashboard' tab shows yearly trends and comparisons.</t>
        </is>
      </c>
    </row>
    <row r="9">
      <c r="A9" s="5" t="inlineStr"/>
    </row>
    <row r="10" ht="30" customHeight="1">
      <c r="A10" s="3" t="inlineStr">
        <is>
          <t>Spending Categories</t>
        </is>
      </c>
    </row>
    <row r="11">
      <c r="A11" s="4" t="inlineStr">
        <is>
          <t>- Produce, Dairy, Meat/Protein, Bakery, Pantry/Dry Goods</t>
        </is>
      </c>
    </row>
    <row r="12">
      <c r="A12" s="4" t="inlineStr">
        <is>
          <t>- Frozen, Beverages, Snacks, Household, Other</t>
        </is>
      </c>
    </row>
    <row r="13">
      <c r="A13" s="5" t="inlineStr"/>
    </row>
    <row r="14" ht="30" customHeight="1">
      <c r="A14" s="3" t="inlineStr">
        <is>
          <t>Tips for Budget Tracking</t>
        </is>
      </c>
    </row>
    <row r="15">
      <c r="A15" s="4" t="inlineStr">
        <is>
          <t>- Record purchases the same day you shop.</t>
        </is>
      </c>
    </row>
    <row r="16">
      <c r="A16" s="4" t="inlineStr">
        <is>
          <t>- Review weekly to stay on track.</t>
        </is>
      </c>
    </row>
    <row r="17">
      <c r="A17" s="4" t="inlineStr">
        <is>
          <t>- Set a monthly budget goal and compare against actual spending.</t>
        </is>
      </c>
    </row>
    <row r="18">
      <c r="A18" s="4" t="inlineStr">
        <is>
          <t>- Look for trends in the annual dashboard to find savings opportunities.</t>
        </is>
      </c>
    </row>
  </sheetData>
  <mergeCells count="17">
    <mergeCell ref="A13:G13"/>
    <mergeCell ref="A14:G14"/>
    <mergeCell ref="A1:G1"/>
    <mergeCell ref="A17:G17"/>
    <mergeCell ref="A9:G9"/>
    <mergeCell ref="A18:G18"/>
    <mergeCell ref="A8:G8"/>
    <mergeCell ref="A6:G6"/>
    <mergeCell ref="A12:G12"/>
    <mergeCell ref="A4:G4"/>
    <mergeCell ref="A2:G2"/>
    <mergeCell ref="A16:G16"/>
    <mergeCell ref="A15:G15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January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February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March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April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May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June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July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August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September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October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4713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November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FAE8B"/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20" customWidth="1" min="4" max="4"/>
    <col width="16" customWidth="1" min="5" max="5"/>
    <col width="18" customWidth="1" min="6" max="6"/>
  </cols>
  <sheetData>
    <row r="1" ht="40" customHeight="1">
      <c r="A1" s="6" t="inlineStr">
        <is>
          <t>December 2026 - Grocery Budget Tracker</t>
        </is>
      </c>
    </row>
    <row r="3">
      <c r="A3" s="7" t="inlineStr">
        <is>
          <t>Date</t>
        </is>
      </c>
      <c r="B3" s="7" t="inlineStr">
        <is>
          <t>Store</t>
        </is>
      </c>
      <c r="C3" s="7" t="inlineStr">
        <is>
          <t>Items Description</t>
        </is>
      </c>
      <c r="D3" s="7" t="inlineStr">
        <is>
          <t>Category</t>
        </is>
      </c>
      <c r="E3" s="7" t="inlineStr">
        <is>
          <t>Amount</t>
        </is>
      </c>
      <c r="F3" s="7" t="inlineStr">
        <is>
          <t>Payment Method</t>
        </is>
      </c>
    </row>
    <row r="4">
      <c r="A4" s="8" t="n"/>
      <c r="B4" s="9" t="n"/>
      <c r="C4" s="9" t="n"/>
      <c r="D4" s="9" t="n"/>
      <c r="E4" s="10" t="n"/>
      <c r="F4" s="9" t="n"/>
    </row>
    <row r="5">
      <c r="A5" s="11" t="n"/>
      <c r="B5" s="12" t="n"/>
      <c r="C5" s="12" t="n"/>
      <c r="D5" s="12" t="n"/>
      <c r="E5" s="13" t="n"/>
      <c r="F5" s="12" t="n"/>
    </row>
    <row r="6">
      <c r="A6" s="8" t="n"/>
      <c r="B6" s="9" t="n"/>
      <c r="C6" s="9" t="n"/>
      <c r="D6" s="9" t="n"/>
      <c r="E6" s="10" t="n"/>
      <c r="F6" s="9" t="n"/>
    </row>
    <row r="7">
      <c r="A7" s="11" t="n"/>
      <c r="B7" s="12" t="n"/>
      <c r="C7" s="12" t="n"/>
      <c r="D7" s="12" t="n"/>
      <c r="E7" s="13" t="n"/>
      <c r="F7" s="12" t="n"/>
    </row>
    <row r="8">
      <c r="A8" s="8" t="n"/>
      <c r="B8" s="9" t="n"/>
      <c r="C8" s="9" t="n"/>
      <c r="D8" s="9" t="n"/>
      <c r="E8" s="10" t="n"/>
      <c r="F8" s="9" t="n"/>
    </row>
    <row r="9">
      <c r="A9" s="11" t="n"/>
      <c r="B9" s="12" t="n"/>
      <c r="C9" s="12" t="n"/>
      <c r="D9" s="12" t="n"/>
      <c r="E9" s="13" t="n"/>
      <c r="F9" s="12" t="n"/>
    </row>
    <row r="10">
      <c r="A10" s="8" t="n"/>
      <c r="B10" s="9" t="n"/>
      <c r="C10" s="9" t="n"/>
      <c r="D10" s="9" t="n"/>
      <c r="E10" s="10" t="n"/>
      <c r="F10" s="9" t="n"/>
    </row>
    <row r="11">
      <c r="A11" s="11" t="n"/>
      <c r="B11" s="12" t="n"/>
      <c r="C11" s="12" t="n"/>
      <c r="D11" s="12" t="n"/>
      <c r="E11" s="13" t="n"/>
      <c r="F11" s="12" t="n"/>
    </row>
    <row r="12">
      <c r="A12" s="8" t="n"/>
      <c r="B12" s="9" t="n"/>
      <c r="C12" s="9" t="n"/>
      <c r="D12" s="9" t="n"/>
      <c r="E12" s="10" t="n"/>
      <c r="F12" s="9" t="n"/>
    </row>
    <row r="13">
      <c r="A13" s="11" t="n"/>
      <c r="B13" s="12" t="n"/>
      <c r="C13" s="12" t="n"/>
      <c r="D13" s="12" t="n"/>
      <c r="E13" s="13" t="n"/>
      <c r="F13" s="12" t="n"/>
    </row>
    <row r="14">
      <c r="A14" s="8" t="n"/>
      <c r="B14" s="9" t="n"/>
      <c r="C14" s="9" t="n"/>
      <c r="D14" s="9" t="n"/>
      <c r="E14" s="10" t="n"/>
      <c r="F14" s="9" t="n"/>
    </row>
    <row r="15">
      <c r="A15" s="11" t="n"/>
      <c r="B15" s="12" t="n"/>
      <c r="C15" s="12" t="n"/>
      <c r="D15" s="12" t="n"/>
      <c r="E15" s="13" t="n"/>
      <c r="F15" s="12" t="n"/>
    </row>
    <row r="16">
      <c r="A16" s="8" t="n"/>
      <c r="B16" s="9" t="n"/>
      <c r="C16" s="9" t="n"/>
      <c r="D16" s="9" t="n"/>
      <c r="E16" s="10" t="n"/>
      <c r="F16" s="9" t="n"/>
    </row>
    <row r="17">
      <c r="A17" s="11" t="n"/>
      <c r="B17" s="12" t="n"/>
      <c r="C17" s="12" t="n"/>
      <c r="D17" s="12" t="n"/>
      <c r="E17" s="13" t="n"/>
      <c r="F17" s="12" t="n"/>
    </row>
    <row r="18">
      <c r="A18" s="8" t="n"/>
      <c r="B18" s="9" t="n"/>
      <c r="C18" s="9" t="n"/>
      <c r="D18" s="9" t="n"/>
      <c r="E18" s="10" t="n"/>
      <c r="F18" s="9" t="n"/>
    </row>
    <row r="19">
      <c r="A19" s="11" t="n"/>
      <c r="B19" s="12" t="n"/>
      <c r="C19" s="12" t="n"/>
      <c r="D19" s="12" t="n"/>
      <c r="E19" s="13" t="n"/>
      <c r="F19" s="12" t="n"/>
    </row>
    <row r="20">
      <c r="A20" s="8" t="n"/>
      <c r="B20" s="9" t="n"/>
      <c r="C20" s="9" t="n"/>
      <c r="D20" s="9" t="n"/>
      <c r="E20" s="10" t="n"/>
      <c r="F20" s="9" t="n"/>
    </row>
    <row r="21">
      <c r="A21" s="11" t="n"/>
      <c r="B21" s="12" t="n"/>
      <c r="C21" s="12" t="n"/>
      <c r="D21" s="12" t="n"/>
      <c r="E21" s="13" t="n"/>
      <c r="F21" s="12" t="n"/>
    </row>
    <row r="22">
      <c r="A22" s="8" t="n"/>
      <c r="B22" s="9" t="n"/>
      <c r="C22" s="9" t="n"/>
      <c r="D22" s="9" t="n"/>
      <c r="E22" s="10" t="n"/>
      <c r="F22" s="9" t="n"/>
    </row>
    <row r="23">
      <c r="A23" s="11" t="n"/>
      <c r="B23" s="12" t="n"/>
      <c r="C23" s="12" t="n"/>
      <c r="D23" s="12" t="n"/>
      <c r="E23" s="13" t="n"/>
      <c r="F23" s="12" t="n"/>
    </row>
    <row r="24">
      <c r="A24" s="8" t="n"/>
      <c r="B24" s="9" t="n"/>
      <c r="C24" s="9" t="n"/>
      <c r="D24" s="9" t="n"/>
      <c r="E24" s="10" t="n"/>
      <c r="F24" s="9" t="n"/>
    </row>
    <row r="25">
      <c r="A25" s="11" t="n"/>
      <c r="B25" s="12" t="n"/>
      <c r="C25" s="12" t="n"/>
      <c r="D25" s="12" t="n"/>
      <c r="E25" s="13" t="n"/>
      <c r="F25" s="12" t="n"/>
    </row>
    <row r="26">
      <c r="A26" s="8" t="n"/>
      <c r="B26" s="9" t="n"/>
      <c r="C26" s="9" t="n"/>
      <c r="D26" s="9" t="n"/>
      <c r="E26" s="10" t="n"/>
      <c r="F26" s="9" t="n"/>
    </row>
    <row r="27">
      <c r="A27" s="11" t="n"/>
      <c r="B27" s="12" t="n"/>
      <c r="C27" s="12" t="n"/>
      <c r="D27" s="12" t="n"/>
      <c r="E27" s="13" t="n"/>
      <c r="F27" s="12" t="n"/>
    </row>
    <row r="28">
      <c r="A28" s="8" t="n"/>
      <c r="B28" s="9" t="n"/>
      <c r="C28" s="9" t="n"/>
      <c r="D28" s="9" t="n"/>
      <c r="E28" s="10" t="n"/>
      <c r="F28" s="9" t="n"/>
    </row>
    <row r="29">
      <c r="A29" s="11" t="n"/>
      <c r="B29" s="12" t="n"/>
      <c r="C29" s="12" t="n"/>
      <c r="D29" s="12" t="n"/>
      <c r="E29" s="13" t="n"/>
      <c r="F29" s="12" t="n"/>
    </row>
    <row r="30">
      <c r="A30" s="8" t="n"/>
      <c r="B30" s="9" t="n"/>
      <c r="C30" s="9" t="n"/>
      <c r="D30" s="9" t="n"/>
      <c r="E30" s="10" t="n"/>
      <c r="F30" s="9" t="n"/>
    </row>
    <row r="31">
      <c r="A31" s="11" t="n"/>
      <c r="B31" s="12" t="n"/>
      <c r="C31" s="12" t="n"/>
      <c r="D31" s="12" t="n"/>
      <c r="E31" s="13" t="n"/>
      <c r="F31" s="12" t="n"/>
    </row>
    <row r="32">
      <c r="A32" s="8" t="n"/>
      <c r="B32" s="9" t="n"/>
      <c r="C32" s="9" t="n"/>
      <c r="D32" s="9" t="n"/>
      <c r="E32" s="10" t="n"/>
      <c r="F32" s="9" t="n"/>
    </row>
    <row r="33">
      <c r="A33" s="11" t="n"/>
      <c r="B33" s="12" t="n"/>
      <c r="C33" s="12" t="n"/>
      <c r="D33" s="12" t="n"/>
      <c r="E33" s="13" t="n"/>
      <c r="F33" s="12" t="n"/>
    </row>
    <row r="34">
      <c r="A34" s="8" t="n"/>
      <c r="B34" s="9" t="n"/>
      <c r="C34" s="9" t="n"/>
      <c r="D34" s="9" t="n"/>
      <c r="E34" s="10" t="n"/>
      <c r="F34" s="9" t="n"/>
    </row>
    <row r="35">
      <c r="A35" s="11" t="n"/>
      <c r="B35" s="12" t="n"/>
      <c r="C35" s="12" t="n"/>
      <c r="D35" s="12" t="n"/>
      <c r="E35" s="13" t="n"/>
      <c r="F35" s="12" t="n"/>
    </row>
    <row r="36">
      <c r="A36" s="8" t="n"/>
      <c r="B36" s="9" t="n"/>
      <c r="C36" s="9" t="n"/>
      <c r="D36" s="9" t="n"/>
      <c r="E36" s="10" t="n"/>
      <c r="F36" s="9" t="n"/>
    </row>
    <row r="37">
      <c r="A37" s="11" t="n"/>
      <c r="B37" s="12" t="n"/>
      <c r="C37" s="12" t="n"/>
      <c r="D37" s="12" t="n"/>
      <c r="E37" s="13" t="n"/>
      <c r="F37" s="12" t="n"/>
    </row>
    <row r="38">
      <c r="A38" s="8" t="n"/>
      <c r="B38" s="9" t="n"/>
      <c r="C38" s="9" t="n"/>
      <c r="D38" s="9" t="n"/>
      <c r="E38" s="10" t="n"/>
      <c r="F38" s="9" t="n"/>
    </row>
    <row r="40">
      <c r="A40" s="14" t="inlineStr">
        <is>
          <t>MONTHLY TOTAL:</t>
        </is>
      </c>
      <c r="E40" s="15">
        <f>SUM(E4:E38)</f>
        <v/>
      </c>
    </row>
    <row r="41">
      <c r="A41" s="16" t="inlineStr">
        <is>
          <t>AVERAGE PER TRIP:</t>
        </is>
      </c>
      <c r="E41" s="17">
        <f>IFERROR(E40/COUNTA(E4:E38),0)</f>
        <v/>
      </c>
    </row>
    <row r="42">
      <c r="A42" s="16" t="inlineStr">
        <is>
          <t>NUMBER OF TRIPS:</t>
        </is>
      </c>
      <c r="E42" s="18">
        <f>COUNTA(E4:E38)</f>
        <v/>
      </c>
    </row>
    <row r="45">
      <c r="A45" s="19" t="inlineStr">
        <is>
          <t>CATEGORY BREAKDOWN</t>
        </is>
      </c>
      <c r="B45" s="20" t="n"/>
      <c r="C45" s="20" t="n"/>
    </row>
    <row r="46">
      <c r="A46" s="21" t="inlineStr">
        <is>
          <t>Category</t>
        </is>
      </c>
      <c r="B46" s="21" t="inlineStr">
        <is>
          <t>Total Spent</t>
        </is>
      </c>
      <c r="C46" s="21" t="inlineStr">
        <is>
          <t>% of Total</t>
        </is>
      </c>
    </row>
    <row r="47">
      <c r="A47" s="22" t="inlineStr">
        <is>
          <t>Produce</t>
        </is>
      </c>
      <c r="B47" s="23">
        <f>SUMIF(D4:D38,"Produce",E4:E38)</f>
        <v/>
      </c>
      <c r="C47" s="24">
        <f>IFERROR(B47/E40,0)</f>
        <v/>
      </c>
    </row>
    <row r="48">
      <c r="A48" s="22" t="inlineStr">
        <is>
          <t>Dairy</t>
        </is>
      </c>
      <c r="B48" s="23">
        <f>SUMIF(D4:D38,"Dairy",E4:E38)</f>
        <v/>
      </c>
      <c r="C48" s="24">
        <f>IFERROR(B48/E40,0)</f>
        <v/>
      </c>
    </row>
    <row r="49">
      <c r="A49" s="22" t="inlineStr">
        <is>
          <t>Meat/Protein</t>
        </is>
      </c>
      <c r="B49" s="23">
        <f>SUMIF(D4:D38,"Meat/Protein",E4:E38)</f>
        <v/>
      </c>
      <c r="C49" s="24">
        <f>IFERROR(B49/E40,0)</f>
        <v/>
      </c>
    </row>
    <row r="50">
      <c r="A50" s="22" t="inlineStr">
        <is>
          <t>Bakery</t>
        </is>
      </c>
      <c r="B50" s="23">
        <f>SUMIF(D4:D38,"Bakery",E4:E38)</f>
        <v/>
      </c>
      <c r="C50" s="24">
        <f>IFERROR(B50/E40,0)</f>
        <v/>
      </c>
    </row>
    <row r="51">
      <c r="A51" s="22" t="inlineStr">
        <is>
          <t>Pantry/Dry Goods</t>
        </is>
      </c>
      <c r="B51" s="23">
        <f>SUMIF(D4:D38,"Pantry/Dry Goods",E4:E38)</f>
        <v/>
      </c>
      <c r="C51" s="24">
        <f>IFERROR(B51/E40,0)</f>
        <v/>
      </c>
    </row>
    <row r="52">
      <c r="A52" s="22" t="inlineStr">
        <is>
          <t>Frozen</t>
        </is>
      </c>
      <c r="B52" s="23">
        <f>SUMIF(D4:D38,"Frozen",E4:E38)</f>
        <v/>
      </c>
      <c r="C52" s="24">
        <f>IFERROR(B52/E40,0)</f>
        <v/>
      </c>
    </row>
    <row r="53">
      <c r="A53" s="22" t="inlineStr">
        <is>
          <t>Beverages</t>
        </is>
      </c>
      <c r="B53" s="23">
        <f>SUMIF(D4:D38,"Beverages",E4:E38)</f>
        <v/>
      </c>
      <c r="C53" s="24">
        <f>IFERROR(B53/E40,0)</f>
        <v/>
      </c>
    </row>
    <row r="54">
      <c r="A54" s="22" t="inlineStr">
        <is>
          <t>Snacks</t>
        </is>
      </c>
      <c r="B54" s="23">
        <f>SUMIF(D4:D38,"Snacks",E4:E38)</f>
        <v/>
      </c>
      <c r="C54" s="24">
        <f>IFERROR(B54/E40,0)</f>
        <v/>
      </c>
    </row>
    <row r="55">
      <c r="A55" s="22" t="inlineStr">
        <is>
          <t>Household</t>
        </is>
      </c>
      <c r="B55" s="23">
        <f>SUMIF(D4:D38,"Household",E4:E38)</f>
        <v/>
      </c>
      <c r="C55" s="24">
        <f>IFERROR(B55/E40,0)</f>
        <v/>
      </c>
    </row>
    <row r="56">
      <c r="A56" s="22" t="inlineStr">
        <is>
          <t>Other</t>
        </is>
      </c>
      <c r="B56" s="23">
        <f>SUMIF(D4:D38,"Other",E4:E38)</f>
        <v/>
      </c>
      <c r="C56" s="24">
        <f>IFERROR(B56/E40,0)</f>
        <v/>
      </c>
    </row>
  </sheetData>
  <mergeCells count="5">
    <mergeCell ref="A40:D40"/>
    <mergeCell ref="A45:C45"/>
    <mergeCell ref="A1:F1"/>
    <mergeCell ref="A41:D41"/>
    <mergeCell ref="A42:D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4A460"/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50" customHeight="1">
      <c r="A1" s="25" t="inlineStr">
        <is>
          <t>2026 Annual Grocery Budget Dashboard</t>
        </is>
      </c>
    </row>
    <row r="3">
      <c r="A3" s="26" t="inlineStr">
        <is>
          <t>MONTHLY SPENDING COMPARISON</t>
        </is>
      </c>
      <c r="B3" s="27" t="n"/>
      <c r="C3" s="27" t="n"/>
    </row>
    <row r="4">
      <c r="A4" s="7" t="inlineStr">
        <is>
          <t>Month</t>
        </is>
      </c>
      <c r="B4" s="7" t="inlineStr">
        <is>
          <t>Total Spent</t>
        </is>
      </c>
      <c r="C4" s="7" t="inlineStr">
        <is>
          <t># Trips</t>
        </is>
      </c>
    </row>
    <row r="5">
      <c r="A5" s="22" t="inlineStr">
        <is>
          <t>January</t>
        </is>
      </c>
      <c r="B5" s="23">
        <f>'January'!E40</f>
        <v/>
      </c>
      <c r="C5" s="28">
        <f>'January'!E42</f>
        <v/>
      </c>
    </row>
    <row r="6">
      <c r="A6" s="22" t="inlineStr">
        <is>
          <t>February</t>
        </is>
      </c>
      <c r="B6" s="23">
        <f>'February'!E40</f>
        <v/>
      </c>
      <c r="C6" s="28">
        <f>'February'!E42</f>
        <v/>
      </c>
    </row>
    <row r="7">
      <c r="A7" s="22" t="inlineStr">
        <is>
          <t>March</t>
        </is>
      </c>
      <c r="B7" s="23">
        <f>'March'!E40</f>
        <v/>
      </c>
      <c r="C7" s="28">
        <f>'March'!E42</f>
        <v/>
      </c>
    </row>
    <row r="8">
      <c r="A8" s="22" t="inlineStr">
        <is>
          <t>April</t>
        </is>
      </c>
      <c r="B8" s="23">
        <f>'April'!E40</f>
        <v/>
      </c>
      <c r="C8" s="28">
        <f>'April'!E42</f>
        <v/>
      </c>
    </row>
    <row r="9">
      <c r="A9" s="22" t="inlineStr">
        <is>
          <t>May</t>
        </is>
      </c>
      <c r="B9" s="23">
        <f>'May'!E40</f>
        <v/>
      </c>
      <c r="C9" s="28">
        <f>'May'!E42</f>
        <v/>
      </c>
    </row>
    <row r="10">
      <c r="A10" s="22" t="inlineStr">
        <is>
          <t>June</t>
        </is>
      </c>
      <c r="B10" s="23">
        <f>'June'!E40</f>
        <v/>
      </c>
      <c r="C10" s="28">
        <f>'June'!E42</f>
        <v/>
      </c>
    </row>
    <row r="11">
      <c r="A11" s="22" t="inlineStr">
        <is>
          <t>July</t>
        </is>
      </c>
      <c r="B11" s="23">
        <f>'July'!E40</f>
        <v/>
      </c>
      <c r="C11" s="28">
        <f>'July'!E42</f>
        <v/>
      </c>
    </row>
    <row r="12">
      <c r="A12" s="22" t="inlineStr">
        <is>
          <t>August</t>
        </is>
      </c>
      <c r="B12" s="23">
        <f>'August'!E40</f>
        <v/>
      </c>
      <c r="C12" s="28">
        <f>'August'!E42</f>
        <v/>
      </c>
    </row>
    <row r="13">
      <c r="A13" s="22" t="inlineStr">
        <is>
          <t>September</t>
        </is>
      </c>
      <c r="B13" s="23">
        <f>'September'!E40</f>
        <v/>
      </c>
      <c r="C13" s="28">
        <f>'September'!E42</f>
        <v/>
      </c>
    </row>
    <row r="14">
      <c r="A14" s="22" t="inlineStr">
        <is>
          <t>October</t>
        </is>
      </c>
      <c r="B14" s="23">
        <f>'October'!E40</f>
        <v/>
      </c>
      <c r="C14" s="28">
        <f>'October'!E42</f>
        <v/>
      </c>
    </row>
    <row r="15">
      <c r="A15" s="22" t="inlineStr">
        <is>
          <t>November</t>
        </is>
      </c>
      <c r="B15" s="23">
        <f>'November'!E40</f>
        <v/>
      </c>
      <c r="C15" s="28">
        <f>'November'!E42</f>
        <v/>
      </c>
    </row>
    <row r="16">
      <c r="A16" s="22" t="inlineStr">
        <is>
          <t>December</t>
        </is>
      </c>
      <c r="B16" s="23">
        <f>'December'!E40</f>
        <v/>
      </c>
      <c r="C16" s="28">
        <f>'December'!E42</f>
        <v/>
      </c>
    </row>
    <row r="17">
      <c r="A17" s="29" t="inlineStr">
        <is>
          <t>ANNUAL TOTAL</t>
        </is>
      </c>
      <c r="B17" s="15">
        <f>SUM(B5:B16)</f>
        <v/>
      </c>
    </row>
    <row r="18">
      <c r="A18" s="18" t="inlineStr">
        <is>
          <t>MONTHLY AVERAGE</t>
        </is>
      </c>
      <c r="B18" s="30">
        <f>B17/12</f>
        <v/>
      </c>
    </row>
    <row r="19">
      <c r="A19" s="18" t="inlineStr">
        <is>
          <t>HIGHEST MONTH</t>
        </is>
      </c>
      <c r="B19" s="31">
        <f>MAX(B5:B16)</f>
        <v/>
      </c>
    </row>
    <row r="20">
      <c r="A20" s="18" t="inlineStr">
        <is>
          <t>LOWEST MONTH</t>
        </is>
      </c>
      <c r="B20" s="31">
        <f>MIN(B5:B16)</f>
        <v/>
      </c>
    </row>
    <row r="22">
      <c r="A22" s="32" t="inlineStr">
        <is>
          <t>ANNUAL CATEGORY BREAKDOWN</t>
        </is>
      </c>
      <c r="B22" s="33" t="n"/>
      <c r="C22" s="33" t="n"/>
    </row>
    <row r="23">
      <c r="A23" s="34" t="inlineStr">
        <is>
          <t>Category</t>
        </is>
      </c>
      <c r="B23" s="34" t="inlineStr">
        <is>
          <t>Annual Total</t>
        </is>
      </c>
      <c r="C23" s="34" t="inlineStr">
        <is>
          <t>% of Total</t>
        </is>
      </c>
    </row>
    <row r="24">
      <c r="A24" s="22" t="inlineStr">
        <is>
          <t>Produce</t>
        </is>
      </c>
      <c r="B24" s="23">
        <f>'January'!B47+'February'!B47+'March'!B47+'April'!B47+'May'!B47+'June'!B47+'July'!B47+'August'!B47+'September'!B47+'October'!B47+'November'!B47+'December'!B47</f>
        <v/>
      </c>
      <c r="C24" s="24">
        <f>IFERROR(B24/B17,0)</f>
        <v/>
      </c>
    </row>
    <row r="25">
      <c r="A25" s="22" t="inlineStr">
        <is>
          <t>Dairy</t>
        </is>
      </c>
      <c r="B25" s="23">
        <f>'January'!B48+'February'!B48+'March'!B48+'April'!B48+'May'!B48+'June'!B48+'July'!B48+'August'!B48+'September'!B48+'October'!B48+'November'!B48+'December'!B48</f>
        <v/>
      </c>
      <c r="C25" s="24">
        <f>IFERROR(B25/B17,0)</f>
        <v/>
      </c>
    </row>
    <row r="26">
      <c r="A26" s="22" t="inlineStr">
        <is>
          <t>Meat/Protein</t>
        </is>
      </c>
      <c r="B26" s="23">
        <f>'January'!B49+'February'!B49+'March'!B49+'April'!B49+'May'!B49+'June'!B49+'July'!B49+'August'!B49+'September'!B49+'October'!B49+'November'!B49+'December'!B49</f>
        <v/>
      </c>
      <c r="C26" s="24">
        <f>IFERROR(B26/B17,0)</f>
        <v/>
      </c>
    </row>
    <row r="27">
      <c r="A27" s="22" t="inlineStr">
        <is>
          <t>Bakery</t>
        </is>
      </c>
      <c r="B27" s="23">
        <f>'January'!B50+'February'!B50+'March'!B50+'April'!B50+'May'!B50+'June'!B50+'July'!B50+'August'!B50+'September'!B50+'October'!B50+'November'!B50+'December'!B50</f>
        <v/>
      </c>
      <c r="C27" s="24">
        <f>IFERROR(B27/B17,0)</f>
        <v/>
      </c>
    </row>
    <row r="28">
      <c r="A28" s="22" t="inlineStr">
        <is>
          <t>Pantry/Dry Goods</t>
        </is>
      </c>
      <c r="B28" s="23">
        <f>'January'!B51+'February'!B51+'March'!B51+'April'!B51+'May'!B51+'June'!B51+'July'!B51+'August'!B51+'September'!B51+'October'!B51+'November'!B51+'December'!B51</f>
        <v/>
      </c>
      <c r="C28" s="24">
        <f>IFERROR(B28/B17,0)</f>
        <v/>
      </c>
    </row>
    <row r="29">
      <c r="A29" s="22" t="inlineStr">
        <is>
          <t>Frozen</t>
        </is>
      </c>
      <c r="B29" s="23">
        <f>'January'!B52+'February'!B52+'March'!B52+'April'!B52+'May'!B52+'June'!B52+'July'!B52+'August'!B52+'September'!B52+'October'!B52+'November'!B52+'December'!B52</f>
        <v/>
      </c>
      <c r="C29" s="24">
        <f>IFERROR(B29/B17,0)</f>
        <v/>
      </c>
    </row>
    <row r="30">
      <c r="A30" s="22" t="inlineStr">
        <is>
          <t>Beverages</t>
        </is>
      </c>
      <c r="B30" s="23">
        <f>'January'!B53+'February'!B53+'March'!B53+'April'!B53+'May'!B53+'June'!B53+'July'!B53+'August'!B53+'September'!B53+'October'!B53+'November'!B53+'December'!B53</f>
        <v/>
      </c>
      <c r="C30" s="24">
        <f>IFERROR(B30/B17,0)</f>
        <v/>
      </c>
    </row>
    <row r="31">
      <c r="A31" s="22" t="inlineStr">
        <is>
          <t>Snacks</t>
        </is>
      </c>
      <c r="B31" s="23">
        <f>'January'!B54+'February'!B54+'March'!B54+'April'!B54+'May'!B54+'June'!B54+'July'!B54+'August'!B54+'September'!B54+'October'!B54+'November'!B54+'December'!B54</f>
        <v/>
      </c>
      <c r="C31" s="24">
        <f>IFERROR(B31/B17,0)</f>
        <v/>
      </c>
    </row>
    <row r="32">
      <c r="A32" s="22" t="inlineStr">
        <is>
          <t>Household</t>
        </is>
      </c>
      <c r="B32" s="23">
        <f>'January'!B55+'February'!B55+'March'!B55+'April'!B55+'May'!B55+'June'!B55+'July'!B55+'August'!B55+'September'!B55+'October'!B55+'November'!B55+'December'!B55</f>
        <v/>
      </c>
      <c r="C32" s="24">
        <f>IFERROR(B32/B17,0)</f>
        <v/>
      </c>
    </row>
    <row r="33">
      <c r="A33" s="22" t="inlineStr">
        <is>
          <t>Other</t>
        </is>
      </c>
      <c r="B33" s="23">
        <f>'January'!B56+'February'!B56+'March'!B56+'April'!B56+'May'!B56+'June'!B56+'July'!B56+'August'!B56+'September'!B56+'October'!B56+'November'!B56+'December'!B56</f>
        <v/>
      </c>
      <c r="C33" s="24">
        <f>IFERROR(B33/B17,0)</f>
        <v/>
      </c>
    </row>
  </sheetData>
  <mergeCells count="3">
    <mergeCell ref="A3:C3"/>
    <mergeCell ref="A22:C2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2026-02-19T04:18:15Z</dcterms:created>
  <dcterms:modified xsi:type="dcterms:W3CDTF">2026-02-19T04:18:15Z</dcterms:modified>
</cp:coreProperties>
</file>