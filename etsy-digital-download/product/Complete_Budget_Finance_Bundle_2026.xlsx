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Monthly Budget" sheetId="2" state="visible" r:id="rId2"/>
    <sheet name="Expense Tracker" sheetId="3" state="visible" r:id="rId3"/>
    <sheet name="Savings Goals" sheetId="4" state="visible" r:id="rId4"/>
    <sheet name="Debt Payoff" sheetId="5" state="visible" r:id="rId5"/>
    <sheet name="Net Worth" sheetId="6" state="visible" r:id="rId6"/>
    <sheet name="Annual Over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MM/DD/YYYY"/>
    <numFmt numFmtId="167" formatCode="MMM YYYY"/>
  </numFmts>
  <fonts count="16">
    <font>
      <name val="Calibri"/>
      <family val="2"/>
      <color theme="1"/>
      <sz val="11"/>
      <scheme val="minor"/>
    </font>
    <font>
      <name val="Calibri"/>
      <b val="1"/>
      <color rgb="001B4332"/>
      <sz val="20"/>
    </font>
    <font>
      <name val="Calibri"/>
      <i val="1"/>
      <color rgb="002D6A4F"/>
      <sz val="11"/>
    </font>
    <font>
      <name val="Calibri"/>
      <b val="1"/>
      <color rgb="001B4332"/>
      <sz val="14"/>
    </font>
    <font>
      <name val="Calibri"/>
      <b val="1"/>
      <color rgb="00FFFFFF"/>
      <sz val="12"/>
    </font>
    <font>
      <name val="Calibri"/>
      <color rgb="00212121"/>
      <sz val="11"/>
    </font>
    <font>
      <name val="Calibri"/>
      <b val="1"/>
      <color rgb="00212121"/>
      <sz val="11"/>
    </font>
    <font>
      <name val="Calibri"/>
      <b val="1"/>
      <color rgb="001B4332"/>
      <sz val="12"/>
    </font>
    <font>
      <name val="Calibri"/>
      <b val="1"/>
      <color rgb="002D6A4F"/>
      <sz val="12"/>
    </font>
    <font>
      <name val="Calibri"/>
      <color rgb="002D6A4F"/>
      <sz val="10"/>
    </font>
    <font>
      <name val="Calibri"/>
      <b val="1"/>
      <color rgb="00E63946"/>
      <sz val="14"/>
    </font>
    <font>
      <name val="Calibri"/>
      <b val="1"/>
      <color rgb="00212121"/>
      <sz val="12"/>
    </font>
    <font>
      <name val="Calibri"/>
      <b val="1"/>
      <color rgb="00FFFFFF"/>
      <sz val="11"/>
    </font>
    <font>
      <name val="Calibri"/>
      <b val="1"/>
      <color rgb="001B4332"/>
      <sz val="11"/>
    </font>
    <font>
      <name val="Calibri"/>
      <b val="1"/>
      <color rgb="001B4332"/>
      <sz val="13"/>
    </font>
    <font>
      <name val="Calibri"/>
      <color rgb="00212121"/>
      <sz val="10"/>
    </font>
  </fonts>
  <fills count="10">
    <fill>
      <patternFill/>
    </fill>
    <fill>
      <patternFill patternType="gray125"/>
    </fill>
    <fill>
      <patternFill patternType="solid">
        <fgColor rgb="00D8F3DC"/>
        <bgColor rgb="00D8F3DC"/>
      </patternFill>
    </fill>
    <fill>
      <patternFill patternType="solid">
        <fgColor rgb="00B7E4C7"/>
        <bgColor rgb="00B7E4C7"/>
      </patternFill>
    </fill>
    <fill>
      <patternFill patternType="solid">
        <fgColor rgb="002D6A4F"/>
        <bgColor rgb="002D6A4F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1B4332"/>
        <bgColor rgb="001B4332"/>
      </patternFill>
    </fill>
    <fill>
      <patternFill patternType="solid">
        <fgColor rgb="00FFE5E5"/>
        <bgColor rgb="00FFE5E5"/>
      </patternFill>
    </fill>
    <fill>
      <patternFill patternType="solid">
        <fgColor rgb="00E63946"/>
        <bgColor rgb="00E6394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2" borderId="1" pivotButton="0" quotePrefix="0" xfId="0"/>
    <xf numFmtId="164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0" fontId="11" fillId="2" borderId="1" pivotButton="0" quotePrefix="0" xfId="0"/>
    <xf numFmtId="164" fontId="3" fillId="5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13" fillId="2" borderId="0" pivotButton="0" quotePrefix="0" xfId="0"/>
    <xf numFmtId="164" fontId="13" fillId="3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1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'Monthly Budget'!$A$15:$A$33</f>
            </numRef>
          </cat>
          <val>
            <numRef>
              <f>'Monthly Budget'!$C$15:$C$33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Savings Goal Progress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'Savings Goals'!E4</f>
            </strRef>
          </tx>
          <spPr>
            <a:ln>
              <a:prstDash val="solid"/>
            </a:ln>
          </spPr>
          <cat>
            <numRef>
              <f>'Savings Goals'!$A$5:$A$14</f>
            </numRef>
          </cat>
          <val>
            <numRef>
              <f>'Savings Goals'!$E$5:$E$14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Complete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Worth'!F11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Worth'!$E$12:$E$23</f>
            </numRef>
          </cat>
          <val>
            <numRef>
              <f>'Net Worth'!$F$12:$F$23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Worth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Overview'!A5</f>
            </strRef>
          </tx>
          <spPr>
            <a:ln>
              <a:prstDash val="solid"/>
            </a:ln>
          </spPr>
          <cat>
            <numRef>
              <f>'Annual Overview'!$B$4:$M$4</f>
            </numRef>
          </cat>
          <val>
            <numRef>
              <f>'Annual Overview'!$B$5:$M$5</f>
            </numRef>
          </val>
        </ser>
        <ser>
          <idx val="1"/>
          <order val="1"/>
          <tx>
            <strRef>
              <f>'Annual Overview'!A6</f>
            </strRef>
          </tx>
          <spPr>
            <a:ln>
              <a:prstDash val="solid"/>
            </a:ln>
          </spPr>
          <cat>
            <numRef>
              <f>'Annual Overview'!$B$4:$M$4</f>
            </numRef>
          </cat>
          <val>
            <numRef>
              <f>'Annual Overview'!$B$6:$M$6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9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D8F3DC"/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5" customHeight="1">
      <c r="A1" s="1" t="inlineStr">
        <is>
          <t>HOW TO USE YOUR BUDGET BUNDLE</t>
        </is>
      </c>
    </row>
    <row r="2" ht="25" customHeight="1">
      <c r="A2" s="2" t="inlineStr">
        <is>
          <t>Quick-start guide to get the most out of every tab</t>
        </is>
      </c>
    </row>
    <row r="4" ht="28" customHeight="1">
      <c r="A4" s="3" t="inlineStr">
        <is>
          <t>GETTING STARTED</t>
        </is>
      </c>
    </row>
    <row r="5">
      <c r="A5" s="4" t="inlineStr">
        <is>
          <t xml:space="preserve">  1. Save a copy of this file to your computer or Google Drive before editing.</t>
        </is>
      </c>
    </row>
    <row r="6">
      <c r="A6" s="4" t="inlineStr">
        <is>
          <t xml:space="preserve">  2. Start with the Monthly Budget tab to set up your income and expense categories.</t>
        </is>
      </c>
    </row>
    <row r="7">
      <c r="A7" s="4" t="inlineStr">
        <is>
          <t xml:space="preserve">  3. Customize the categories to match YOUR actual spending (rename any row).</t>
        </is>
      </c>
    </row>
    <row r="8">
      <c r="A8" s="4" t="inlineStr">
        <is>
          <t xml:space="preserve">  4. Fill in your expected/budgeted amounts first, then update actuals throughout the month.</t>
        </is>
      </c>
    </row>
    <row r="10" ht="28" customHeight="1">
      <c r="A10" s="3" t="inlineStr">
        <is>
          <t>MONTHLY BUDGET TAB</t>
        </is>
      </c>
    </row>
    <row r="11">
      <c r="A11" s="4" t="inlineStr">
        <is>
          <t xml:space="preserve">  - Enter your income sources and expected amounts in the 'Expected' column.</t>
        </is>
      </c>
    </row>
    <row r="12">
      <c r="A12" s="4" t="inlineStr">
        <is>
          <t xml:space="preserve">  - As you receive income, enter actual amounts in the 'Actual' column.</t>
        </is>
      </c>
    </row>
    <row r="13">
      <c r="A13" s="4" t="inlineStr">
        <is>
          <t xml:space="preserve">  - Enter budgeted amounts for each expense category.</t>
        </is>
      </c>
    </row>
    <row r="14">
      <c r="A14" s="4" t="inlineStr">
        <is>
          <t xml:space="preserve">  - The 'Difference' column automatically shows if you're over or under budget.</t>
        </is>
      </c>
    </row>
    <row r="15">
      <c r="A15" s="4" t="inlineStr">
        <is>
          <t xml:space="preserve">  - The pie chart updates automatically to show your expense breakdown.</t>
        </is>
      </c>
    </row>
    <row r="17" ht="28" customHeight="1">
      <c r="A17" s="3" t="inlineStr">
        <is>
          <t>EXPENSE TRACKER TAB</t>
        </is>
      </c>
    </row>
    <row r="18">
      <c r="A18" s="4" t="inlineStr">
        <is>
          <t xml:space="preserve">  - Log every purchase as it happens (or at the end of each day).</t>
        </is>
      </c>
    </row>
    <row r="19">
      <c r="A19" s="4" t="inlineStr">
        <is>
          <t xml:space="preserve">  - Use the dropdown menus for Category and Payment Method.</t>
        </is>
      </c>
    </row>
    <row r="20">
      <c r="A20" s="4" t="inlineStr">
        <is>
          <t xml:space="preserve">  - The Running Total column tracks your cumulative spending.</t>
        </is>
      </c>
    </row>
    <row r="21">
      <c r="A21" s="4" t="inlineStr">
        <is>
          <t xml:space="preserve">  - TIP: Review this weekly to catch spending patterns early!</t>
        </is>
      </c>
    </row>
    <row r="23" ht="28" customHeight="1">
      <c r="A23" s="3" t="inlineStr">
        <is>
          <t>SAVINGS GOALS TAB</t>
        </is>
      </c>
    </row>
    <row r="24">
      <c r="A24" s="4" t="inlineStr">
        <is>
          <t xml:space="preserve">  - Enter each savings goal with a target amount and date.</t>
        </is>
      </c>
    </row>
    <row r="25">
      <c r="A25" s="4" t="inlineStr">
        <is>
          <t xml:space="preserve">  - Update your 'Current Saved' as you make deposits.</t>
        </is>
      </c>
    </row>
    <row r="26">
      <c r="A26" s="4" t="inlineStr">
        <is>
          <t xml:space="preserve">  - The 'Monthly Needed' column tells you exactly how much to save per month.</t>
        </is>
      </c>
    </row>
    <row r="27">
      <c r="A27" s="4" t="inlineStr">
        <is>
          <t xml:space="preserve">  - Watch your status change from 'Just Started' to 'COMPLETE!'</t>
        </is>
      </c>
    </row>
    <row r="29" ht="28" customHeight="1">
      <c r="A29" s="3" t="inlineStr">
        <is>
          <t>DEBT PAYOFF TAB</t>
        </is>
      </c>
    </row>
    <row r="30">
      <c r="A30" s="4" t="inlineStr">
        <is>
          <t xml:space="preserve">  - List all your debts with balances, interest rates, and minimum payments.</t>
        </is>
      </c>
    </row>
    <row r="31">
      <c r="A31" s="4" t="inlineStr">
        <is>
          <t xml:space="preserve">  - Add any extra payments you can afford in the 'Extra Payment' column.</t>
        </is>
      </c>
    </row>
    <row r="32">
      <c r="A32" s="4" t="inlineStr">
        <is>
          <t xml:space="preserve">  - Choose your strategy: Avalanche (highest interest first) or Snowball (smallest balance first).</t>
        </is>
      </c>
    </row>
    <row r="33">
      <c r="A33" s="4" t="inlineStr">
        <is>
          <t xml:space="preserve">  - The payoff date automatically calculates when you'll be debt-free!</t>
        </is>
      </c>
    </row>
    <row r="35" ht="28" customHeight="1">
      <c r="A35" s="3" t="inlineStr">
        <is>
          <t>NET WORTH TAB</t>
        </is>
      </c>
    </row>
    <row r="36">
      <c r="A36" s="4" t="inlineStr">
        <is>
          <t xml:space="preserve">  - List all your assets (what you own) and their current values.</t>
        </is>
      </c>
    </row>
    <row r="37">
      <c r="A37" s="4" t="inlineStr">
        <is>
          <t xml:space="preserve">  - List all your liabilities (what you owe).</t>
        </is>
      </c>
    </row>
    <row r="38">
      <c r="A38" s="4" t="inlineStr">
        <is>
          <t xml:space="preserve">  - Your net worth is calculated automatically: Assets - Liabilities.</t>
        </is>
      </c>
    </row>
    <row r="39">
      <c r="A39" s="4" t="inlineStr">
        <is>
          <t xml:space="preserve">  - Update the Monthly Net Worth History to track your progress over the year.</t>
        </is>
      </c>
    </row>
    <row r="41" ht="28" customHeight="1">
      <c r="A41" s="3" t="inlineStr">
        <is>
          <t>ANNUAL OVERVIEW TAB</t>
        </is>
      </c>
    </row>
    <row r="42">
      <c r="A42" s="4" t="inlineStr">
        <is>
          <t xml:space="preserve">  - Enter monthly totals for income and expenses.</t>
        </is>
      </c>
    </row>
    <row r="43">
      <c r="A43" s="4" t="inlineStr">
        <is>
          <t xml:space="preserve">  - Net savings and savings rate calculate automatically.</t>
        </is>
      </c>
    </row>
    <row r="44">
      <c r="A44" s="4" t="inlineStr">
        <is>
          <t xml:space="preserve">  - Use this for a bird's-eye view of your financial year.</t>
        </is>
      </c>
    </row>
    <row r="45">
      <c r="A45" s="4" t="inlineStr">
        <is>
          <t xml:space="preserve">  - Great for tax planning and year-over-year comparisons!</t>
        </is>
      </c>
    </row>
    <row r="47" ht="28" customHeight="1">
      <c r="A47" s="3" t="inlineStr">
        <is>
          <t>PRO TIPS</t>
        </is>
      </c>
    </row>
    <row r="48">
      <c r="A48" s="4" t="inlineStr">
        <is>
          <t xml:space="preserve">  - Update your budget WEEKLY for best results (takes 5-10 minutes).</t>
        </is>
      </c>
    </row>
    <row r="49">
      <c r="A49" s="4" t="inlineStr">
        <is>
          <t xml:space="preserve">  - Set a calendar reminder to review your finances every Sunday evening.</t>
        </is>
      </c>
    </row>
    <row r="50">
      <c r="A50" s="4" t="inlineStr">
        <is>
          <t xml:space="preserve">  - Make a copy each month to keep a history of your progress.</t>
        </is>
      </c>
    </row>
    <row r="51">
      <c r="A51" s="4" t="inlineStr">
        <is>
          <t xml:space="preserve">  - Share with a partner or accountability buddy for better results.</t>
        </is>
      </c>
    </row>
    <row r="52">
      <c r="A52" s="4" t="inlineStr">
        <is>
          <t xml:space="preserve">  - Remember: A budget isn't about restriction - it's about intention!</t>
        </is>
      </c>
    </row>
  </sheetData>
  <mergeCells count="44">
    <mergeCell ref="A41:F41"/>
    <mergeCell ref="A37:F37"/>
    <mergeCell ref="A27:F27"/>
    <mergeCell ref="A12:F12"/>
    <mergeCell ref="A18:F18"/>
    <mergeCell ref="A50:F50"/>
    <mergeCell ref="A26:F26"/>
    <mergeCell ref="A21:F21"/>
    <mergeCell ref="A2:F2"/>
    <mergeCell ref="A33:F33"/>
    <mergeCell ref="A47:F47"/>
    <mergeCell ref="A42:F42"/>
    <mergeCell ref="A14:F14"/>
    <mergeCell ref="A5:F5"/>
    <mergeCell ref="A23:F23"/>
    <mergeCell ref="A32:F32"/>
    <mergeCell ref="A8:F8"/>
    <mergeCell ref="A17:F17"/>
    <mergeCell ref="A35:F35"/>
    <mergeCell ref="A4:F4"/>
    <mergeCell ref="A20:F20"/>
    <mergeCell ref="A29:F29"/>
    <mergeCell ref="A43:F43"/>
    <mergeCell ref="A38:F38"/>
    <mergeCell ref="A52:F52"/>
    <mergeCell ref="A10:F10"/>
    <mergeCell ref="A13:F13"/>
    <mergeCell ref="A19:F19"/>
    <mergeCell ref="A44:F44"/>
    <mergeCell ref="A31:F31"/>
    <mergeCell ref="A48:F48"/>
    <mergeCell ref="A30:F30"/>
    <mergeCell ref="A39:F39"/>
    <mergeCell ref="A15:F15"/>
    <mergeCell ref="A24:F24"/>
    <mergeCell ref="A11:F11"/>
    <mergeCell ref="A49:F49"/>
    <mergeCell ref="A51:F51"/>
    <mergeCell ref="A36:F36"/>
    <mergeCell ref="A1:F1"/>
    <mergeCell ref="A45:F45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332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3" customWidth="1" min="5" max="5"/>
    <col width="20" customWidth="1" min="6" max="6"/>
    <col width="16" customWidth="1" min="7" max="7"/>
    <col width="16" customWidth="1" min="8" max="8"/>
  </cols>
  <sheetData>
    <row r="1" ht="45" customHeight="1">
      <c r="A1" s="1" t="inlineStr">
        <is>
          <t>MONTHLY BUDGET PLANNER</t>
        </is>
      </c>
    </row>
    <row r="2" ht="25" customHeight="1">
      <c r="A2" s="2" t="inlineStr">
        <is>
          <t>Track your income &amp; expenses each month</t>
        </is>
      </c>
    </row>
    <row r="4">
      <c r="A4" s="5" t="inlineStr">
        <is>
          <t>INCOME</t>
        </is>
      </c>
      <c r="F4" s="5" t="inlineStr">
        <is>
          <t>MONTHLY SUMMARY</t>
        </is>
      </c>
    </row>
    <row r="5">
      <c r="A5" s="6" t="inlineStr">
        <is>
          <t>Source</t>
        </is>
      </c>
      <c r="B5" s="6" t="inlineStr">
        <is>
          <t>Expected</t>
        </is>
      </c>
      <c r="C5" s="6" t="inlineStr">
        <is>
          <t>Actual</t>
        </is>
      </c>
      <c r="D5" s="6" t="inlineStr">
        <is>
          <t>Difference</t>
        </is>
      </c>
      <c r="F5" s="7" t="inlineStr">
        <is>
          <t>Total Income</t>
        </is>
      </c>
      <c r="G5" s="8">
        <f>C11</f>
        <v/>
      </c>
    </row>
    <row r="6">
      <c r="A6" s="9" t="inlineStr">
        <is>
          <t>Primary Salary</t>
        </is>
      </c>
      <c r="B6" s="10" t="n"/>
      <c r="C6" s="10" t="n"/>
      <c r="D6" s="10">
        <f>C6-B6</f>
        <v/>
      </c>
      <c r="F6" s="7" t="inlineStr">
        <is>
          <t>Total Expenses</t>
        </is>
      </c>
      <c r="G6" s="8">
        <f>C34</f>
        <v/>
      </c>
    </row>
    <row r="7">
      <c r="A7" s="11" t="inlineStr">
        <is>
          <t>Side Income</t>
        </is>
      </c>
      <c r="B7" s="12" t="n"/>
      <c r="C7" s="12" t="n"/>
      <c r="D7" s="12">
        <f>C7-B7</f>
        <v/>
      </c>
      <c r="F7" s="7" t="inlineStr">
        <is>
          <t>NET BALANCE</t>
        </is>
      </c>
      <c r="G7" s="8">
        <f>C11-C34</f>
        <v/>
      </c>
    </row>
    <row r="8">
      <c r="A8" s="9" t="inlineStr">
        <is>
          <t>Freelance/Gig Work</t>
        </is>
      </c>
      <c r="B8" s="10" t="n"/>
      <c r="C8" s="10" t="n"/>
      <c r="D8" s="10">
        <f>C8-B8</f>
        <v/>
      </c>
      <c r="F8" s="7" t="inlineStr">
        <is>
          <t>Savings Rate</t>
        </is>
      </c>
      <c r="G8" s="13">
        <f>IF(C11=0,0,(C11-C34)/C11)</f>
        <v/>
      </c>
    </row>
    <row r="9">
      <c r="A9" s="11" t="inlineStr">
        <is>
          <t>Investment Income</t>
        </is>
      </c>
      <c r="B9" s="12" t="n"/>
      <c r="C9" s="12" t="n"/>
      <c r="D9" s="12">
        <f>C9-B9</f>
        <v/>
      </c>
    </row>
    <row r="10">
      <c r="A10" s="9" t="inlineStr">
        <is>
          <t>Other Income</t>
        </is>
      </c>
      <c r="B10" s="10" t="n"/>
      <c r="C10" s="10" t="n"/>
      <c r="D10" s="10">
        <f>C10-B10</f>
        <v/>
      </c>
    </row>
    <row r="11">
      <c r="A11" s="14" t="inlineStr">
        <is>
          <t>TOTAL INCOME</t>
        </is>
      </c>
      <c r="B11" s="15">
        <f>SUM(B6:B10)</f>
        <v/>
      </c>
      <c r="C11" s="15">
        <f>SUM(C6:C10)</f>
        <v/>
      </c>
      <c r="D11" s="15">
        <f>C11-B11</f>
        <v/>
      </c>
    </row>
    <row r="13">
      <c r="A13" s="5" t="inlineStr">
        <is>
          <t>EXPENSES</t>
        </is>
      </c>
    </row>
    <row r="14">
      <c r="A14" s="6" t="inlineStr">
        <is>
          <t>Category</t>
        </is>
      </c>
      <c r="B14" s="6" t="inlineStr">
        <is>
          <t>Budgeted</t>
        </is>
      </c>
      <c r="C14" s="6" t="inlineStr">
        <is>
          <t>Actual</t>
        </is>
      </c>
      <c r="D14" s="6" t="inlineStr">
        <is>
          <t>Difference</t>
        </is>
      </c>
    </row>
    <row r="15">
      <c r="A15" s="9" t="inlineStr">
        <is>
          <t>Housing (Rent/Mortgage)</t>
        </is>
      </c>
      <c r="B15" s="10" t="n"/>
      <c r="C15" s="10" t="n"/>
      <c r="D15" s="10">
        <f>B15-C15</f>
        <v/>
      </c>
    </row>
    <row r="16">
      <c r="A16" s="11" t="inlineStr">
        <is>
          <t>Utilities</t>
        </is>
      </c>
      <c r="B16" s="12" t="n"/>
      <c r="C16" s="12" t="n"/>
      <c r="D16" s="12">
        <f>B16-C16</f>
        <v/>
      </c>
    </row>
    <row r="17">
      <c r="A17" s="9" t="inlineStr">
        <is>
          <t>Groceries</t>
        </is>
      </c>
      <c r="B17" s="10" t="n"/>
      <c r="C17" s="10" t="n"/>
      <c r="D17" s="10">
        <f>B17-C17</f>
        <v/>
      </c>
    </row>
    <row r="18">
      <c r="A18" s="11" t="inlineStr">
        <is>
          <t>Transportation</t>
        </is>
      </c>
      <c r="B18" s="12" t="n"/>
      <c r="C18" s="12" t="n"/>
      <c r="D18" s="12">
        <f>B18-C18</f>
        <v/>
      </c>
    </row>
    <row r="19">
      <c r="A19" s="9" t="inlineStr">
        <is>
          <t>Insurance</t>
        </is>
      </c>
      <c r="B19" s="10" t="n"/>
      <c r="C19" s="10" t="n"/>
      <c r="D19" s="10">
        <f>B19-C19</f>
        <v/>
      </c>
    </row>
    <row r="20">
      <c r="A20" s="11" t="inlineStr">
        <is>
          <t>Healthcare</t>
        </is>
      </c>
      <c r="B20" s="12" t="n"/>
      <c r="C20" s="12" t="n"/>
      <c r="D20" s="12">
        <f>B20-C20</f>
        <v/>
      </c>
    </row>
    <row r="21">
      <c r="A21" s="9" t="inlineStr">
        <is>
          <t>Phone/Internet</t>
        </is>
      </c>
      <c r="B21" s="10" t="n"/>
      <c r="C21" s="10" t="n"/>
      <c r="D21" s="10">
        <f>B21-C21</f>
        <v/>
      </c>
    </row>
    <row r="22">
      <c r="A22" s="11" t="inlineStr">
        <is>
          <t>Subscriptions</t>
        </is>
      </c>
      <c r="B22" s="12" t="n"/>
      <c r="C22" s="12" t="n"/>
      <c r="D22" s="12">
        <f>B22-C22</f>
        <v/>
      </c>
    </row>
    <row r="23">
      <c r="A23" s="9" t="inlineStr">
        <is>
          <t>Dining Out</t>
        </is>
      </c>
      <c r="B23" s="10" t="n"/>
      <c r="C23" s="10" t="n"/>
      <c r="D23" s="10">
        <f>B23-C23</f>
        <v/>
      </c>
    </row>
    <row r="24">
      <c r="A24" s="11" t="inlineStr">
        <is>
          <t>Entertainment</t>
        </is>
      </c>
      <c r="B24" s="12" t="n"/>
      <c r="C24" s="12" t="n"/>
      <c r="D24" s="12">
        <f>B24-C24</f>
        <v/>
      </c>
    </row>
    <row r="25">
      <c r="A25" s="9" t="inlineStr">
        <is>
          <t>Clothing</t>
        </is>
      </c>
      <c r="B25" s="10" t="n"/>
      <c r="C25" s="10" t="n"/>
      <c r="D25" s="10">
        <f>B25-C25</f>
        <v/>
      </c>
    </row>
    <row r="26">
      <c r="A26" s="11" t="inlineStr">
        <is>
          <t>Personal Care</t>
        </is>
      </c>
      <c r="B26" s="12" t="n"/>
      <c r="C26" s="12" t="n"/>
      <c r="D26" s="12">
        <f>B26-C26</f>
        <v/>
      </c>
    </row>
    <row r="27">
      <c r="A27" s="9" t="inlineStr">
        <is>
          <t>Education</t>
        </is>
      </c>
      <c r="B27" s="10" t="n"/>
      <c r="C27" s="10" t="n"/>
      <c r="D27" s="10">
        <f>B27-C27</f>
        <v/>
      </c>
    </row>
    <row r="28">
      <c r="A28" s="11" t="inlineStr">
        <is>
          <t>Childcare</t>
        </is>
      </c>
      <c r="B28" s="12" t="n"/>
      <c r="C28" s="12" t="n"/>
      <c r="D28" s="12">
        <f>B28-C28</f>
        <v/>
      </c>
    </row>
    <row r="29">
      <c r="A29" s="9" t="inlineStr">
        <is>
          <t>Pet Expenses</t>
        </is>
      </c>
      <c r="B29" s="10" t="n"/>
      <c r="C29" s="10" t="n"/>
      <c r="D29" s="10">
        <f>B29-C29</f>
        <v/>
      </c>
    </row>
    <row r="30">
      <c r="A30" s="11" t="inlineStr">
        <is>
          <t>Gifts/Donations</t>
        </is>
      </c>
      <c r="B30" s="12" t="n"/>
      <c r="C30" s="12" t="n"/>
      <c r="D30" s="12">
        <f>B30-C30</f>
        <v/>
      </c>
    </row>
    <row r="31">
      <c r="A31" s="9" t="inlineStr">
        <is>
          <t>Savings/Investments</t>
        </is>
      </c>
      <c r="B31" s="10" t="n"/>
      <c r="C31" s="10" t="n"/>
      <c r="D31" s="10">
        <f>B31-C31</f>
        <v/>
      </c>
    </row>
    <row r="32">
      <c r="A32" s="11" t="inlineStr">
        <is>
          <t>Debt Payments</t>
        </is>
      </c>
      <c r="B32" s="12" t="n"/>
      <c r="C32" s="12" t="n"/>
      <c r="D32" s="12">
        <f>B32-C32</f>
        <v/>
      </c>
    </row>
    <row r="33">
      <c r="A33" s="9" t="inlineStr">
        <is>
          <t>Miscellaneous</t>
        </is>
      </c>
      <c r="B33" s="10" t="n"/>
      <c r="C33" s="10" t="n"/>
      <c r="D33" s="10">
        <f>B33-C33</f>
        <v/>
      </c>
    </row>
    <row r="34">
      <c r="A34" s="14" t="inlineStr">
        <is>
          <t>TOTAL EXPENSES</t>
        </is>
      </c>
      <c r="B34" s="15">
        <f>SUM(B15:B33)</f>
        <v/>
      </c>
      <c r="C34" s="15">
        <f>SUM(C15:C33)</f>
        <v/>
      </c>
      <c r="D34" s="15">
        <f>B34-C34</f>
        <v/>
      </c>
    </row>
  </sheetData>
  <mergeCells count="5">
    <mergeCell ref="A4:D4"/>
    <mergeCell ref="A2:H2"/>
    <mergeCell ref="F4:H4"/>
    <mergeCell ref="A1:H1"/>
    <mergeCell ref="A13:D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D6A4F"/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5" customWidth="1" min="3" max="3"/>
    <col width="18" customWidth="1" min="4" max="4"/>
    <col width="14" customWidth="1" min="5" max="5"/>
    <col width="25" customWidth="1" min="6" max="6"/>
    <col width="16" customWidth="1" min="7" max="7"/>
  </cols>
  <sheetData>
    <row r="1" ht="45" customHeight="1">
      <c r="A1" s="1" t="inlineStr">
        <is>
          <t>DAILY EXPENSE TRACKER</t>
        </is>
      </c>
    </row>
    <row r="2" ht="25" customHeight="1">
      <c r="A2" s="2" t="inlineStr">
        <is>
          <t>Log every purchase to stay on top of your spending</t>
        </is>
      </c>
    </row>
    <row r="4">
      <c r="A4" s="14" t="inlineStr">
        <is>
          <t>Date</t>
        </is>
      </c>
      <c r="B4" s="14" t="inlineStr">
        <is>
          <t>Description</t>
        </is>
      </c>
      <c r="C4" s="14" t="inlineStr">
        <is>
          <t>Category</t>
        </is>
      </c>
      <c r="D4" s="14" t="inlineStr">
        <is>
          <t>Payment Method</t>
        </is>
      </c>
      <c r="E4" s="14" t="inlineStr">
        <is>
          <t>Amount</t>
        </is>
      </c>
      <c r="F4" s="14" t="inlineStr">
        <is>
          <t>Notes</t>
        </is>
      </c>
      <c r="G4" s="14" t="inlineStr">
        <is>
          <t>Running Total</t>
        </is>
      </c>
    </row>
    <row r="5">
      <c r="A5" s="16" t="n"/>
      <c r="B5" s="9" t="n"/>
      <c r="C5" s="9" t="n"/>
      <c r="D5" s="9" t="n"/>
      <c r="E5" s="10" t="n"/>
      <c r="F5" s="9" t="n"/>
      <c r="G5" s="10">
        <f>IF(E5="","",SUM(E$5:E5))</f>
        <v/>
      </c>
    </row>
    <row r="6">
      <c r="A6" s="17" t="n"/>
      <c r="B6" s="11" t="n"/>
      <c r="C6" s="11" t="n"/>
      <c r="D6" s="11" t="n"/>
      <c r="E6" s="12" t="n"/>
      <c r="F6" s="11" t="n"/>
      <c r="G6" s="12">
        <f>IF(E6="","",SUM(E$5:E6))</f>
        <v/>
      </c>
    </row>
    <row r="7">
      <c r="A7" s="16" t="n"/>
      <c r="B7" s="9" t="n"/>
      <c r="C7" s="9" t="n"/>
      <c r="D7" s="9" t="n"/>
      <c r="E7" s="10" t="n"/>
      <c r="F7" s="9" t="n"/>
      <c r="G7" s="10">
        <f>IF(E7="","",SUM(E$5:E7))</f>
        <v/>
      </c>
    </row>
    <row r="8">
      <c r="A8" s="17" t="n"/>
      <c r="B8" s="11" t="n"/>
      <c r="C8" s="11" t="n"/>
      <c r="D8" s="11" t="n"/>
      <c r="E8" s="12" t="n"/>
      <c r="F8" s="11" t="n"/>
      <c r="G8" s="12">
        <f>IF(E8="","",SUM(E$5:E8))</f>
        <v/>
      </c>
    </row>
    <row r="9">
      <c r="A9" s="16" t="n"/>
      <c r="B9" s="9" t="n"/>
      <c r="C9" s="9" t="n"/>
      <c r="D9" s="9" t="n"/>
      <c r="E9" s="10" t="n"/>
      <c r="F9" s="9" t="n"/>
      <c r="G9" s="10">
        <f>IF(E9="","",SUM(E$5:E9))</f>
        <v/>
      </c>
    </row>
    <row r="10">
      <c r="A10" s="17" t="n"/>
      <c r="B10" s="11" t="n"/>
      <c r="C10" s="11" t="n"/>
      <c r="D10" s="11" t="n"/>
      <c r="E10" s="12" t="n"/>
      <c r="F10" s="11" t="n"/>
      <c r="G10" s="12">
        <f>IF(E10="","",SUM(E$5:E10))</f>
        <v/>
      </c>
    </row>
    <row r="11">
      <c r="A11" s="16" t="n"/>
      <c r="B11" s="9" t="n"/>
      <c r="C11" s="9" t="n"/>
      <c r="D11" s="9" t="n"/>
      <c r="E11" s="10" t="n"/>
      <c r="F11" s="9" t="n"/>
      <c r="G11" s="10">
        <f>IF(E11="","",SUM(E$5:E11))</f>
        <v/>
      </c>
    </row>
    <row r="12">
      <c r="A12" s="17" t="n"/>
      <c r="B12" s="11" t="n"/>
      <c r="C12" s="11" t="n"/>
      <c r="D12" s="11" t="n"/>
      <c r="E12" s="12" t="n"/>
      <c r="F12" s="11" t="n"/>
      <c r="G12" s="12">
        <f>IF(E12="","",SUM(E$5:E12))</f>
        <v/>
      </c>
    </row>
    <row r="13">
      <c r="A13" s="16" t="n"/>
      <c r="B13" s="9" t="n"/>
      <c r="C13" s="9" t="n"/>
      <c r="D13" s="9" t="n"/>
      <c r="E13" s="10" t="n"/>
      <c r="F13" s="9" t="n"/>
      <c r="G13" s="10">
        <f>IF(E13="","",SUM(E$5:E13))</f>
        <v/>
      </c>
    </row>
    <row r="14">
      <c r="A14" s="17" t="n"/>
      <c r="B14" s="11" t="n"/>
      <c r="C14" s="11" t="n"/>
      <c r="D14" s="11" t="n"/>
      <c r="E14" s="12" t="n"/>
      <c r="F14" s="11" t="n"/>
      <c r="G14" s="12">
        <f>IF(E14="","",SUM(E$5:E14))</f>
        <v/>
      </c>
    </row>
    <row r="15">
      <c r="A15" s="16" t="n"/>
      <c r="B15" s="9" t="n"/>
      <c r="C15" s="9" t="n"/>
      <c r="D15" s="9" t="n"/>
      <c r="E15" s="10" t="n"/>
      <c r="F15" s="9" t="n"/>
      <c r="G15" s="10">
        <f>IF(E15="","",SUM(E$5:E15))</f>
        <v/>
      </c>
    </row>
    <row r="16">
      <c r="A16" s="17" t="n"/>
      <c r="B16" s="11" t="n"/>
      <c r="C16" s="11" t="n"/>
      <c r="D16" s="11" t="n"/>
      <c r="E16" s="12" t="n"/>
      <c r="F16" s="11" t="n"/>
      <c r="G16" s="12">
        <f>IF(E16="","",SUM(E$5:E16))</f>
        <v/>
      </c>
    </row>
    <row r="17">
      <c r="A17" s="16" t="n"/>
      <c r="B17" s="9" t="n"/>
      <c r="C17" s="9" t="n"/>
      <c r="D17" s="9" t="n"/>
      <c r="E17" s="10" t="n"/>
      <c r="F17" s="9" t="n"/>
      <c r="G17" s="10">
        <f>IF(E17="","",SUM(E$5:E17))</f>
        <v/>
      </c>
    </row>
    <row r="18">
      <c r="A18" s="17" t="n"/>
      <c r="B18" s="11" t="n"/>
      <c r="C18" s="11" t="n"/>
      <c r="D18" s="11" t="n"/>
      <c r="E18" s="12" t="n"/>
      <c r="F18" s="11" t="n"/>
      <c r="G18" s="12">
        <f>IF(E18="","",SUM(E$5:E18))</f>
        <v/>
      </c>
    </row>
    <row r="19">
      <c r="A19" s="16" t="n"/>
      <c r="B19" s="9" t="n"/>
      <c r="C19" s="9" t="n"/>
      <c r="D19" s="9" t="n"/>
      <c r="E19" s="10" t="n"/>
      <c r="F19" s="9" t="n"/>
      <c r="G19" s="10">
        <f>IF(E19="","",SUM(E$5:E19))</f>
        <v/>
      </c>
    </row>
    <row r="20">
      <c r="A20" s="17" t="n"/>
      <c r="B20" s="11" t="n"/>
      <c r="C20" s="11" t="n"/>
      <c r="D20" s="11" t="n"/>
      <c r="E20" s="12" t="n"/>
      <c r="F20" s="11" t="n"/>
      <c r="G20" s="12">
        <f>IF(E20="","",SUM(E$5:E20))</f>
        <v/>
      </c>
    </row>
    <row r="21">
      <c r="A21" s="16" t="n"/>
      <c r="B21" s="9" t="n"/>
      <c r="C21" s="9" t="n"/>
      <c r="D21" s="9" t="n"/>
      <c r="E21" s="10" t="n"/>
      <c r="F21" s="9" t="n"/>
      <c r="G21" s="10">
        <f>IF(E21="","",SUM(E$5:E21))</f>
        <v/>
      </c>
    </row>
    <row r="22">
      <c r="A22" s="17" t="n"/>
      <c r="B22" s="11" t="n"/>
      <c r="C22" s="11" t="n"/>
      <c r="D22" s="11" t="n"/>
      <c r="E22" s="12" t="n"/>
      <c r="F22" s="11" t="n"/>
      <c r="G22" s="12">
        <f>IF(E22="","",SUM(E$5:E22))</f>
        <v/>
      </c>
    </row>
    <row r="23">
      <c r="A23" s="16" t="n"/>
      <c r="B23" s="9" t="n"/>
      <c r="C23" s="9" t="n"/>
      <c r="D23" s="9" t="n"/>
      <c r="E23" s="10" t="n"/>
      <c r="F23" s="9" t="n"/>
      <c r="G23" s="10">
        <f>IF(E23="","",SUM(E$5:E23))</f>
        <v/>
      </c>
    </row>
    <row r="24">
      <c r="A24" s="17" t="n"/>
      <c r="B24" s="11" t="n"/>
      <c r="C24" s="11" t="n"/>
      <c r="D24" s="11" t="n"/>
      <c r="E24" s="12" t="n"/>
      <c r="F24" s="11" t="n"/>
      <c r="G24" s="12">
        <f>IF(E24="","",SUM(E$5:E24))</f>
        <v/>
      </c>
    </row>
    <row r="25">
      <c r="A25" s="16" t="n"/>
      <c r="B25" s="9" t="n"/>
      <c r="C25" s="9" t="n"/>
      <c r="D25" s="9" t="n"/>
      <c r="E25" s="10" t="n"/>
      <c r="F25" s="9" t="n"/>
      <c r="G25" s="10">
        <f>IF(E25="","",SUM(E$5:E25))</f>
        <v/>
      </c>
    </row>
    <row r="26">
      <c r="A26" s="17" t="n"/>
      <c r="B26" s="11" t="n"/>
      <c r="C26" s="11" t="n"/>
      <c r="D26" s="11" t="n"/>
      <c r="E26" s="12" t="n"/>
      <c r="F26" s="11" t="n"/>
      <c r="G26" s="12">
        <f>IF(E26="","",SUM(E$5:E26))</f>
        <v/>
      </c>
    </row>
    <row r="27">
      <c r="A27" s="16" t="n"/>
      <c r="B27" s="9" t="n"/>
      <c r="C27" s="9" t="n"/>
      <c r="D27" s="9" t="n"/>
      <c r="E27" s="10" t="n"/>
      <c r="F27" s="9" t="n"/>
      <c r="G27" s="10">
        <f>IF(E27="","",SUM(E$5:E27))</f>
        <v/>
      </c>
    </row>
    <row r="28">
      <c r="A28" s="17" t="n"/>
      <c r="B28" s="11" t="n"/>
      <c r="C28" s="11" t="n"/>
      <c r="D28" s="11" t="n"/>
      <c r="E28" s="12" t="n"/>
      <c r="F28" s="11" t="n"/>
      <c r="G28" s="12">
        <f>IF(E28="","",SUM(E$5:E28))</f>
        <v/>
      </c>
    </row>
    <row r="29">
      <c r="A29" s="16" t="n"/>
      <c r="B29" s="9" t="n"/>
      <c r="C29" s="9" t="n"/>
      <c r="D29" s="9" t="n"/>
      <c r="E29" s="10" t="n"/>
      <c r="F29" s="9" t="n"/>
      <c r="G29" s="10">
        <f>IF(E29="","",SUM(E$5:E29))</f>
        <v/>
      </c>
    </row>
    <row r="30">
      <c r="A30" s="17" t="n"/>
      <c r="B30" s="11" t="n"/>
      <c r="C30" s="11" t="n"/>
      <c r="D30" s="11" t="n"/>
      <c r="E30" s="12" t="n"/>
      <c r="F30" s="11" t="n"/>
      <c r="G30" s="12">
        <f>IF(E30="","",SUM(E$5:E30))</f>
        <v/>
      </c>
    </row>
    <row r="31">
      <c r="A31" s="16" t="n"/>
      <c r="B31" s="9" t="n"/>
      <c r="C31" s="9" t="n"/>
      <c r="D31" s="9" t="n"/>
      <c r="E31" s="10" t="n"/>
      <c r="F31" s="9" t="n"/>
      <c r="G31" s="10">
        <f>IF(E31="","",SUM(E$5:E31))</f>
        <v/>
      </c>
    </row>
    <row r="32">
      <c r="A32" s="17" t="n"/>
      <c r="B32" s="11" t="n"/>
      <c r="C32" s="11" t="n"/>
      <c r="D32" s="11" t="n"/>
      <c r="E32" s="12" t="n"/>
      <c r="F32" s="11" t="n"/>
      <c r="G32" s="12">
        <f>IF(E32="","",SUM(E$5:E32))</f>
        <v/>
      </c>
    </row>
    <row r="33">
      <c r="A33" s="16" t="n"/>
      <c r="B33" s="9" t="n"/>
      <c r="C33" s="9" t="n"/>
      <c r="D33" s="9" t="n"/>
      <c r="E33" s="10" t="n"/>
      <c r="F33" s="9" t="n"/>
      <c r="G33" s="10">
        <f>IF(E33="","",SUM(E$5:E33))</f>
        <v/>
      </c>
    </row>
    <row r="34">
      <c r="A34" s="17" t="n"/>
      <c r="B34" s="11" t="n"/>
      <c r="C34" s="11" t="n"/>
      <c r="D34" s="11" t="n"/>
      <c r="E34" s="12" t="n"/>
      <c r="F34" s="11" t="n"/>
      <c r="G34" s="12">
        <f>IF(E34="","",SUM(E$5:E34))</f>
        <v/>
      </c>
    </row>
    <row r="35">
      <c r="A35" s="16" t="n"/>
      <c r="B35" s="9" t="n"/>
      <c r="C35" s="9" t="n"/>
      <c r="D35" s="9" t="n"/>
      <c r="E35" s="10" t="n"/>
      <c r="F35" s="9" t="n"/>
      <c r="G35" s="10">
        <f>IF(E35="","",SUM(E$5:E35))</f>
        <v/>
      </c>
    </row>
    <row r="36">
      <c r="A36" s="17" t="n"/>
      <c r="B36" s="11" t="n"/>
      <c r="C36" s="11" t="n"/>
      <c r="D36" s="11" t="n"/>
      <c r="E36" s="12" t="n"/>
      <c r="F36" s="11" t="n"/>
      <c r="G36" s="12">
        <f>IF(E36="","",SUM(E$5:E36))</f>
        <v/>
      </c>
    </row>
    <row r="37">
      <c r="A37" s="16" t="n"/>
      <c r="B37" s="9" t="n"/>
      <c r="C37" s="9" t="n"/>
      <c r="D37" s="9" t="n"/>
      <c r="E37" s="10" t="n"/>
      <c r="F37" s="9" t="n"/>
      <c r="G37" s="10">
        <f>IF(E37="","",SUM(E$5:E37))</f>
        <v/>
      </c>
    </row>
    <row r="38">
      <c r="A38" s="17" t="n"/>
      <c r="B38" s="11" t="n"/>
      <c r="C38" s="11" t="n"/>
      <c r="D38" s="11" t="n"/>
      <c r="E38" s="12" t="n"/>
      <c r="F38" s="11" t="n"/>
      <c r="G38" s="12">
        <f>IF(E38="","",SUM(E$5:E38))</f>
        <v/>
      </c>
    </row>
    <row r="39">
      <c r="A39" s="16" t="n"/>
      <c r="B39" s="9" t="n"/>
      <c r="C39" s="9" t="n"/>
      <c r="D39" s="9" t="n"/>
      <c r="E39" s="10" t="n"/>
      <c r="F39" s="9" t="n"/>
      <c r="G39" s="10">
        <f>IF(E39="","",SUM(E$5:E39))</f>
        <v/>
      </c>
    </row>
    <row r="40">
      <c r="A40" s="17" t="n"/>
      <c r="B40" s="11" t="n"/>
      <c r="C40" s="11" t="n"/>
      <c r="D40" s="11" t="n"/>
      <c r="E40" s="12" t="n"/>
      <c r="F40" s="11" t="n"/>
      <c r="G40" s="12">
        <f>IF(E40="","",SUM(E$5:E40))</f>
        <v/>
      </c>
    </row>
    <row r="41">
      <c r="A41" s="16" t="n"/>
      <c r="B41" s="9" t="n"/>
      <c r="C41" s="9" t="n"/>
      <c r="D41" s="9" t="n"/>
      <c r="E41" s="10" t="n"/>
      <c r="F41" s="9" t="n"/>
      <c r="G41" s="10">
        <f>IF(E41="","",SUM(E$5:E41))</f>
        <v/>
      </c>
    </row>
    <row r="42">
      <c r="A42" s="17" t="n"/>
      <c r="B42" s="11" t="n"/>
      <c r="C42" s="11" t="n"/>
      <c r="D42" s="11" t="n"/>
      <c r="E42" s="12" t="n"/>
      <c r="F42" s="11" t="n"/>
      <c r="G42" s="12">
        <f>IF(E42="","",SUM(E$5:E42))</f>
        <v/>
      </c>
    </row>
    <row r="43">
      <c r="A43" s="16" t="n"/>
      <c r="B43" s="9" t="n"/>
      <c r="C43" s="9" t="n"/>
      <c r="D43" s="9" t="n"/>
      <c r="E43" s="10" t="n"/>
      <c r="F43" s="9" t="n"/>
      <c r="G43" s="10">
        <f>IF(E43="","",SUM(E$5:E43))</f>
        <v/>
      </c>
    </row>
    <row r="44">
      <c r="A44" s="17" t="n"/>
      <c r="B44" s="11" t="n"/>
      <c r="C44" s="11" t="n"/>
      <c r="D44" s="11" t="n"/>
      <c r="E44" s="12" t="n"/>
      <c r="F44" s="11" t="n"/>
      <c r="G44" s="12">
        <f>IF(E44="","",SUM(E$5:E44))</f>
        <v/>
      </c>
    </row>
    <row r="45">
      <c r="A45" s="16" t="n"/>
      <c r="B45" s="9" t="n"/>
      <c r="C45" s="9" t="n"/>
      <c r="D45" s="9" t="n"/>
      <c r="E45" s="10" t="n"/>
      <c r="F45" s="9" t="n"/>
      <c r="G45" s="10">
        <f>IF(E45="","",SUM(E$5:E45))</f>
        <v/>
      </c>
    </row>
    <row r="46">
      <c r="A46" s="17" t="n"/>
      <c r="B46" s="11" t="n"/>
      <c r="C46" s="11" t="n"/>
      <c r="D46" s="11" t="n"/>
      <c r="E46" s="12" t="n"/>
      <c r="F46" s="11" t="n"/>
      <c r="G46" s="12">
        <f>IF(E46="","",SUM(E$5:E46))</f>
        <v/>
      </c>
    </row>
    <row r="47">
      <c r="A47" s="16" t="n"/>
      <c r="B47" s="9" t="n"/>
      <c r="C47" s="9" t="n"/>
      <c r="D47" s="9" t="n"/>
      <c r="E47" s="10" t="n"/>
      <c r="F47" s="9" t="n"/>
      <c r="G47" s="10">
        <f>IF(E47="","",SUM(E$5:E47))</f>
        <v/>
      </c>
    </row>
    <row r="48">
      <c r="A48" s="17" t="n"/>
      <c r="B48" s="11" t="n"/>
      <c r="C48" s="11" t="n"/>
      <c r="D48" s="11" t="n"/>
      <c r="E48" s="12" t="n"/>
      <c r="F48" s="11" t="n"/>
      <c r="G48" s="12">
        <f>IF(E48="","",SUM(E$5:E48))</f>
        <v/>
      </c>
    </row>
    <row r="49">
      <c r="A49" s="16" t="n"/>
      <c r="B49" s="9" t="n"/>
      <c r="C49" s="9" t="n"/>
      <c r="D49" s="9" t="n"/>
      <c r="E49" s="10" t="n"/>
      <c r="F49" s="9" t="n"/>
      <c r="G49" s="10">
        <f>IF(E49="","",SUM(E$5:E49))</f>
        <v/>
      </c>
    </row>
    <row r="50">
      <c r="A50" s="17" t="n"/>
      <c r="B50" s="11" t="n"/>
      <c r="C50" s="11" t="n"/>
      <c r="D50" s="11" t="n"/>
      <c r="E50" s="12" t="n"/>
      <c r="F50" s="11" t="n"/>
      <c r="G50" s="12">
        <f>IF(E50="","",SUM(E$5:E50))</f>
        <v/>
      </c>
    </row>
    <row r="51">
      <c r="A51" s="16" t="n"/>
      <c r="B51" s="9" t="n"/>
      <c r="C51" s="9" t="n"/>
      <c r="D51" s="9" t="n"/>
      <c r="E51" s="10" t="n"/>
      <c r="F51" s="9" t="n"/>
      <c r="G51" s="10">
        <f>IF(E51="","",SUM(E$5:E51))</f>
        <v/>
      </c>
    </row>
    <row r="52">
      <c r="A52" s="17" t="n"/>
      <c r="B52" s="11" t="n"/>
      <c r="C52" s="11" t="n"/>
      <c r="D52" s="11" t="n"/>
      <c r="E52" s="12" t="n"/>
      <c r="F52" s="11" t="n"/>
      <c r="G52" s="12">
        <f>IF(E52="","",SUM(E$5:E52))</f>
        <v/>
      </c>
    </row>
    <row r="53">
      <c r="A53" s="16" t="n"/>
      <c r="B53" s="9" t="n"/>
      <c r="C53" s="9" t="n"/>
      <c r="D53" s="9" t="n"/>
      <c r="E53" s="10" t="n"/>
      <c r="F53" s="9" t="n"/>
      <c r="G53" s="10">
        <f>IF(E53="","",SUM(E$5:E53))</f>
        <v/>
      </c>
    </row>
    <row r="54">
      <c r="A54" s="17" t="n"/>
      <c r="B54" s="11" t="n"/>
      <c r="C54" s="11" t="n"/>
      <c r="D54" s="11" t="n"/>
      <c r="E54" s="12" t="n"/>
      <c r="F54" s="11" t="n"/>
      <c r="G54" s="12">
        <f>IF(E54="","",SUM(E$5:E54))</f>
        <v/>
      </c>
    </row>
    <row r="55">
      <c r="A55" s="16" t="n"/>
      <c r="B55" s="9" t="n"/>
      <c r="C55" s="9" t="n"/>
      <c r="D55" s="9" t="n"/>
      <c r="E55" s="10" t="n"/>
      <c r="F55" s="9" t="n"/>
      <c r="G55" s="10">
        <f>IF(E55="","",SUM(E$5:E55))</f>
        <v/>
      </c>
    </row>
    <row r="56">
      <c r="A56" s="17" t="n"/>
      <c r="B56" s="11" t="n"/>
      <c r="C56" s="11" t="n"/>
      <c r="D56" s="11" t="n"/>
      <c r="E56" s="12" t="n"/>
      <c r="F56" s="11" t="n"/>
      <c r="G56" s="12">
        <f>IF(E56="","",SUM(E$5:E56))</f>
        <v/>
      </c>
    </row>
    <row r="57">
      <c r="A57" s="16" t="n"/>
      <c r="B57" s="9" t="n"/>
      <c r="C57" s="9" t="n"/>
      <c r="D57" s="9" t="n"/>
      <c r="E57" s="10" t="n"/>
      <c r="F57" s="9" t="n"/>
      <c r="G57" s="10">
        <f>IF(E57="","",SUM(E$5:E57))</f>
        <v/>
      </c>
    </row>
    <row r="58">
      <c r="A58" s="17" t="n"/>
      <c r="B58" s="11" t="n"/>
      <c r="C58" s="11" t="n"/>
      <c r="D58" s="11" t="n"/>
      <c r="E58" s="12" t="n"/>
      <c r="F58" s="11" t="n"/>
      <c r="G58" s="12">
        <f>IF(E58="","",SUM(E$5:E58))</f>
        <v/>
      </c>
    </row>
    <row r="59">
      <c r="A59" s="16" t="n"/>
      <c r="B59" s="9" t="n"/>
      <c r="C59" s="9" t="n"/>
      <c r="D59" s="9" t="n"/>
      <c r="E59" s="10" t="n"/>
      <c r="F59" s="9" t="n"/>
      <c r="G59" s="10">
        <f>IF(E59="","",SUM(E$5:E59))</f>
        <v/>
      </c>
    </row>
    <row r="60">
      <c r="A60" s="17" t="n"/>
      <c r="B60" s="11" t="n"/>
      <c r="C60" s="11" t="n"/>
      <c r="D60" s="11" t="n"/>
      <c r="E60" s="12" t="n"/>
      <c r="F60" s="11" t="n"/>
      <c r="G60" s="12">
        <f>IF(E60="","",SUM(E$5:E60))</f>
        <v/>
      </c>
    </row>
    <row r="61">
      <c r="A61" s="16" t="n"/>
      <c r="B61" s="9" t="n"/>
      <c r="C61" s="9" t="n"/>
      <c r="D61" s="9" t="n"/>
      <c r="E61" s="10" t="n"/>
      <c r="F61" s="9" t="n"/>
      <c r="G61" s="10">
        <f>IF(E61="","",SUM(E$5:E61))</f>
        <v/>
      </c>
    </row>
    <row r="62">
      <c r="A62" s="17" t="n"/>
      <c r="B62" s="11" t="n"/>
      <c r="C62" s="11" t="n"/>
      <c r="D62" s="11" t="n"/>
      <c r="E62" s="12" t="n"/>
      <c r="F62" s="11" t="n"/>
      <c r="G62" s="12">
        <f>IF(E62="","",SUM(E$5:E62))</f>
        <v/>
      </c>
    </row>
    <row r="63">
      <c r="A63" s="16" t="n"/>
      <c r="B63" s="9" t="n"/>
      <c r="C63" s="9" t="n"/>
      <c r="D63" s="9" t="n"/>
      <c r="E63" s="10" t="n"/>
      <c r="F63" s="9" t="n"/>
      <c r="G63" s="10">
        <f>IF(E63="","",SUM(E$5:E63))</f>
        <v/>
      </c>
    </row>
    <row r="64">
      <c r="A64" s="17" t="n"/>
      <c r="B64" s="11" t="n"/>
      <c r="C64" s="11" t="n"/>
      <c r="D64" s="11" t="n"/>
      <c r="E64" s="12" t="n"/>
      <c r="F64" s="11" t="n"/>
      <c r="G64" s="12">
        <f>IF(E64="","",SUM(E$5:E64))</f>
        <v/>
      </c>
    </row>
    <row r="65">
      <c r="A65" s="16" t="n"/>
      <c r="B65" s="9" t="n"/>
      <c r="C65" s="9" t="n"/>
      <c r="D65" s="9" t="n"/>
      <c r="E65" s="10" t="n"/>
      <c r="F65" s="9" t="n"/>
      <c r="G65" s="10">
        <f>IF(E65="","",SUM(E$5:E65))</f>
        <v/>
      </c>
    </row>
    <row r="66">
      <c r="A66" s="17" t="n"/>
      <c r="B66" s="11" t="n"/>
      <c r="C66" s="11" t="n"/>
      <c r="D66" s="11" t="n"/>
      <c r="E66" s="12" t="n"/>
      <c r="F66" s="11" t="n"/>
      <c r="G66" s="12">
        <f>IF(E66="","",SUM(E$5:E66))</f>
        <v/>
      </c>
    </row>
    <row r="67">
      <c r="A67" s="16" t="n"/>
      <c r="B67" s="9" t="n"/>
      <c r="C67" s="9" t="n"/>
      <c r="D67" s="9" t="n"/>
      <c r="E67" s="10" t="n"/>
      <c r="F67" s="9" t="n"/>
      <c r="G67" s="10">
        <f>IF(E67="","",SUM(E$5:E67))</f>
        <v/>
      </c>
    </row>
    <row r="68">
      <c r="A68" s="17" t="n"/>
      <c r="B68" s="11" t="n"/>
      <c r="C68" s="11" t="n"/>
      <c r="D68" s="11" t="n"/>
      <c r="E68" s="12" t="n"/>
      <c r="F68" s="11" t="n"/>
      <c r="G68" s="12">
        <f>IF(E68="","",SUM(E$5:E68))</f>
        <v/>
      </c>
    </row>
    <row r="69">
      <c r="A69" s="16" t="n"/>
      <c r="B69" s="9" t="n"/>
      <c r="C69" s="9" t="n"/>
      <c r="D69" s="9" t="n"/>
      <c r="E69" s="10" t="n"/>
      <c r="F69" s="9" t="n"/>
      <c r="G69" s="10">
        <f>IF(E69="","",SUM(E$5:E69))</f>
        <v/>
      </c>
    </row>
    <row r="70">
      <c r="A70" s="17" t="n"/>
      <c r="B70" s="11" t="n"/>
      <c r="C70" s="11" t="n"/>
      <c r="D70" s="11" t="n"/>
      <c r="E70" s="12" t="n"/>
      <c r="F70" s="11" t="n"/>
      <c r="G70" s="12">
        <f>IF(E70="","",SUM(E$5:E70))</f>
        <v/>
      </c>
    </row>
    <row r="71">
      <c r="A71" s="16" t="n"/>
      <c r="B71" s="9" t="n"/>
      <c r="C71" s="9" t="n"/>
      <c r="D71" s="9" t="n"/>
      <c r="E71" s="10" t="n"/>
      <c r="F71" s="9" t="n"/>
      <c r="G71" s="10">
        <f>IF(E71="","",SUM(E$5:E71))</f>
        <v/>
      </c>
    </row>
    <row r="72">
      <c r="A72" s="17" t="n"/>
      <c r="B72" s="11" t="n"/>
      <c r="C72" s="11" t="n"/>
      <c r="D72" s="11" t="n"/>
      <c r="E72" s="12" t="n"/>
      <c r="F72" s="11" t="n"/>
      <c r="G72" s="12">
        <f>IF(E72="","",SUM(E$5:E72))</f>
        <v/>
      </c>
    </row>
    <row r="73">
      <c r="A73" s="16" t="n"/>
      <c r="B73" s="9" t="n"/>
      <c r="C73" s="9" t="n"/>
      <c r="D73" s="9" t="n"/>
      <c r="E73" s="10" t="n"/>
      <c r="F73" s="9" t="n"/>
      <c r="G73" s="10">
        <f>IF(E73="","",SUM(E$5:E73))</f>
        <v/>
      </c>
    </row>
    <row r="74">
      <c r="A74" s="17" t="n"/>
      <c r="B74" s="11" t="n"/>
      <c r="C74" s="11" t="n"/>
      <c r="D74" s="11" t="n"/>
      <c r="E74" s="12" t="n"/>
      <c r="F74" s="11" t="n"/>
      <c r="G74" s="12">
        <f>IF(E74="","",SUM(E$5:E74))</f>
        <v/>
      </c>
    </row>
    <row r="75">
      <c r="A75" s="16" t="n"/>
      <c r="B75" s="9" t="n"/>
      <c r="C75" s="9" t="n"/>
      <c r="D75" s="9" t="n"/>
      <c r="E75" s="10" t="n"/>
      <c r="F75" s="9" t="n"/>
      <c r="G75" s="10">
        <f>IF(E75="","",SUM(E$5:E75))</f>
        <v/>
      </c>
    </row>
    <row r="76">
      <c r="A76" s="17" t="n"/>
      <c r="B76" s="11" t="n"/>
      <c r="C76" s="11" t="n"/>
      <c r="D76" s="11" t="n"/>
      <c r="E76" s="12" t="n"/>
      <c r="F76" s="11" t="n"/>
      <c r="G76" s="12">
        <f>IF(E76="","",SUM(E$5:E76))</f>
        <v/>
      </c>
    </row>
    <row r="77">
      <c r="A77" s="16" t="n"/>
      <c r="B77" s="9" t="n"/>
      <c r="C77" s="9" t="n"/>
      <c r="D77" s="9" t="n"/>
      <c r="E77" s="10" t="n"/>
      <c r="F77" s="9" t="n"/>
      <c r="G77" s="10">
        <f>IF(E77="","",SUM(E$5:E77))</f>
        <v/>
      </c>
    </row>
    <row r="78">
      <c r="A78" s="17" t="n"/>
      <c r="B78" s="11" t="n"/>
      <c r="C78" s="11" t="n"/>
      <c r="D78" s="11" t="n"/>
      <c r="E78" s="12" t="n"/>
      <c r="F78" s="11" t="n"/>
      <c r="G78" s="12">
        <f>IF(E78="","",SUM(E$5:E78))</f>
        <v/>
      </c>
    </row>
    <row r="79">
      <c r="A79" s="16" t="n"/>
      <c r="B79" s="9" t="n"/>
      <c r="C79" s="9" t="n"/>
      <c r="D79" s="9" t="n"/>
      <c r="E79" s="10" t="n"/>
      <c r="F79" s="9" t="n"/>
      <c r="G79" s="10">
        <f>IF(E79="","",SUM(E$5:E79))</f>
        <v/>
      </c>
    </row>
    <row r="80">
      <c r="A80" s="17" t="n"/>
      <c r="B80" s="11" t="n"/>
      <c r="C80" s="11" t="n"/>
      <c r="D80" s="11" t="n"/>
      <c r="E80" s="12" t="n"/>
      <c r="F80" s="11" t="n"/>
      <c r="G80" s="12">
        <f>IF(E80="","",SUM(E$5:E80))</f>
        <v/>
      </c>
    </row>
    <row r="81">
      <c r="A81" s="16" t="n"/>
      <c r="B81" s="9" t="n"/>
      <c r="C81" s="9" t="n"/>
      <c r="D81" s="9" t="n"/>
      <c r="E81" s="10" t="n"/>
      <c r="F81" s="9" t="n"/>
      <c r="G81" s="10">
        <f>IF(E81="","",SUM(E$5:E81))</f>
        <v/>
      </c>
    </row>
    <row r="82">
      <c r="A82" s="17" t="n"/>
      <c r="B82" s="11" t="n"/>
      <c r="C82" s="11" t="n"/>
      <c r="D82" s="11" t="n"/>
      <c r="E82" s="12" t="n"/>
      <c r="F82" s="11" t="n"/>
      <c r="G82" s="12">
        <f>IF(E82="","",SUM(E$5:E82))</f>
        <v/>
      </c>
    </row>
    <row r="83">
      <c r="A83" s="16" t="n"/>
      <c r="B83" s="9" t="n"/>
      <c r="C83" s="9" t="n"/>
      <c r="D83" s="9" t="n"/>
      <c r="E83" s="10" t="n"/>
      <c r="F83" s="9" t="n"/>
      <c r="G83" s="10">
        <f>IF(E83="","",SUM(E$5:E83))</f>
        <v/>
      </c>
    </row>
    <row r="84">
      <c r="A84" s="17" t="n"/>
      <c r="B84" s="11" t="n"/>
      <c r="C84" s="11" t="n"/>
      <c r="D84" s="11" t="n"/>
      <c r="E84" s="12" t="n"/>
      <c r="F84" s="11" t="n"/>
      <c r="G84" s="12">
        <f>IF(E84="","",SUM(E$5:E84))</f>
        <v/>
      </c>
    </row>
    <row r="85">
      <c r="A85" s="16" t="n"/>
      <c r="B85" s="9" t="n"/>
      <c r="C85" s="9" t="n"/>
      <c r="D85" s="9" t="n"/>
      <c r="E85" s="10" t="n"/>
      <c r="F85" s="9" t="n"/>
      <c r="G85" s="10">
        <f>IF(E85="","",SUM(E$5:E85))</f>
        <v/>
      </c>
    </row>
    <row r="86">
      <c r="A86" s="17" t="n"/>
      <c r="B86" s="11" t="n"/>
      <c r="C86" s="11" t="n"/>
      <c r="D86" s="11" t="n"/>
      <c r="E86" s="12" t="n"/>
      <c r="F86" s="11" t="n"/>
      <c r="G86" s="12">
        <f>IF(E86="","",SUM(E$5:E86))</f>
        <v/>
      </c>
    </row>
    <row r="87">
      <c r="A87" s="16" t="n"/>
      <c r="B87" s="9" t="n"/>
      <c r="C87" s="9" t="n"/>
      <c r="D87" s="9" t="n"/>
      <c r="E87" s="10" t="n"/>
      <c r="F87" s="9" t="n"/>
      <c r="G87" s="10">
        <f>IF(E87="","",SUM(E$5:E87))</f>
        <v/>
      </c>
    </row>
    <row r="88">
      <c r="A88" s="17" t="n"/>
      <c r="B88" s="11" t="n"/>
      <c r="C88" s="11" t="n"/>
      <c r="D88" s="11" t="n"/>
      <c r="E88" s="12" t="n"/>
      <c r="F88" s="11" t="n"/>
      <c r="G88" s="12">
        <f>IF(E88="","",SUM(E$5:E88))</f>
        <v/>
      </c>
    </row>
    <row r="89">
      <c r="A89" s="16" t="n"/>
      <c r="B89" s="9" t="n"/>
      <c r="C89" s="9" t="n"/>
      <c r="D89" s="9" t="n"/>
      <c r="E89" s="10" t="n"/>
      <c r="F89" s="9" t="n"/>
      <c r="G89" s="10">
        <f>IF(E89="","",SUM(E$5:E89))</f>
        <v/>
      </c>
    </row>
    <row r="90">
      <c r="A90" s="17" t="n"/>
      <c r="B90" s="11" t="n"/>
      <c r="C90" s="11" t="n"/>
      <c r="D90" s="11" t="n"/>
      <c r="E90" s="12" t="n"/>
      <c r="F90" s="11" t="n"/>
      <c r="G90" s="12">
        <f>IF(E90="","",SUM(E$5:E90))</f>
        <v/>
      </c>
    </row>
    <row r="91">
      <c r="A91" s="16" t="n"/>
      <c r="B91" s="9" t="n"/>
      <c r="C91" s="9" t="n"/>
      <c r="D91" s="9" t="n"/>
      <c r="E91" s="10" t="n"/>
      <c r="F91" s="9" t="n"/>
      <c r="G91" s="10">
        <f>IF(E91="","",SUM(E$5:E91))</f>
        <v/>
      </c>
    </row>
    <row r="92">
      <c r="A92" s="17" t="n"/>
      <c r="B92" s="11" t="n"/>
      <c r="C92" s="11" t="n"/>
      <c r="D92" s="11" t="n"/>
      <c r="E92" s="12" t="n"/>
      <c r="F92" s="11" t="n"/>
      <c r="G92" s="12">
        <f>IF(E92="","",SUM(E$5:E92))</f>
        <v/>
      </c>
    </row>
    <row r="93">
      <c r="A93" s="16" t="n"/>
      <c r="B93" s="9" t="n"/>
      <c r="C93" s="9" t="n"/>
      <c r="D93" s="9" t="n"/>
      <c r="E93" s="10" t="n"/>
      <c r="F93" s="9" t="n"/>
      <c r="G93" s="10">
        <f>IF(E93="","",SUM(E$5:E93))</f>
        <v/>
      </c>
    </row>
    <row r="94">
      <c r="A94" s="17" t="n"/>
      <c r="B94" s="11" t="n"/>
      <c r="C94" s="11" t="n"/>
      <c r="D94" s="11" t="n"/>
      <c r="E94" s="12" t="n"/>
      <c r="F94" s="11" t="n"/>
      <c r="G94" s="12">
        <f>IF(E94="","",SUM(E$5:E94))</f>
        <v/>
      </c>
    </row>
    <row r="95">
      <c r="A95" s="16" t="n"/>
      <c r="B95" s="9" t="n"/>
      <c r="C95" s="9" t="n"/>
      <c r="D95" s="9" t="n"/>
      <c r="E95" s="10" t="n"/>
      <c r="F95" s="9" t="n"/>
      <c r="G95" s="10">
        <f>IF(E95="","",SUM(E$5:E95))</f>
        <v/>
      </c>
    </row>
    <row r="96">
      <c r="A96" s="17" t="n"/>
      <c r="B96" s="11" t="n"/>
      <c r="C96" s="11" t="n"/>
      <c r="D96" s="11" t="n"/>
      <c r="E96" s="12" t="n"/>
      <c r="F96" s="11" t="n"/>
      <c r="G96" s="12">
        <f>IF(E96="","",SUM(E$5:E96))</f>
        <v/>
      </c>
    </row>
    <row r="97">
      <c r="A97" s="16" t="n"/>
      <c r="B97" s="9" t="n"/>
      <c r="C97" s="9" t="n"/>
      <c r="D97" s="9" t="n"/>
      <c r="E97" s="10" t="n"/>
      <c r="F97" s="9" t="n"/>
      <c r="G97" s="10">
        <f>IF(E97="","",SUM(E$5:E97))</f>
        <v/>
      </c>
    </row>
    <row r="98">
      <c r="A98" s="17" t="n"/>
      <c r="B98" s="11" t="n"/>
      <c r="C98" s="11" t="n"/>
      <c r="D98" s="11" t="n"/>
      <c r="E98" s="12" t="n"/>
      <c r="F98" s="11" t="n"/>
      <c r="G98" s="12">
        <f>IF(E98="","",SUM(E$5:E98))</f>
        <v/>
      </c>
    </row>
    <row r="99">
      <c r="A99" s="16" t="n"/>
      <c r="B99" s="9" t="n"/>
      <c r="C99" s="9" t="n"/>
      <c r="D99" s="9" t="n"/>
      <c r="E99" s="10" t="n"/>
      <c r="F99" s="9" t="n"/>
      <c r="G99" s="10">
        <f>IF(E99="","",SUM(E$5:E99))</f>
        <v/>
      </c>
    </row>
    <row r="100">
      <c r="A100" s="17" t="n"/>
      <c r="B100" s="11" t="n"/>
      <c r="C100" s="11" t="n"/>
      <c r="D100" s="11" t="n"/>
      <c r="E100" s="12" t="n"/>
      <c r="F100" s="11" t="n"/>
      <c r="G100" s="12">
        <f>IF(E100="","",SUM(E$5:E100))</f>
        <v/>
      </c>
    </row>
    <row r="101">
      <c r="A101" s="16" t="n"/>
      <c r="B101" s="9" t="n"/>
      <c r="C101" s="9" t="n"/>
      <c r="D101" s="9" t="n"/>
      <c r="E101" s="10" t="n"/>
      <c r="F101" s="9" t="n"/>
      <c r="G101" s="10">
        <f>IF(E101="","",SUM(E$5:E101))</f>
        <v/>
      </c>
    </row>
    <row r="102">
      <c r="A102" s="17" t="n"/>
      <c r="B102" s="11" t="n"/>
      <c r="C102" s="11" t="n"/>
      <c r="D102" s="11" t="n"/>
      <c r="E102" s="12" t="n"/>
      <c r="F102" s="11" t="n"/>
      <c r="G102" s="12">
        <f>IF(E102="","",SUM(E$5:E102))</f>
        <v/>
      </c>
    </row>
    <row r="103">
      <c r="A103" s="16" t="n"/>
      <c r="B103" s="9" t="n"/>
      <c r="C103" s="9" t="n"/>
      <c r="D103" s="9" t="n"/>
      <c r="E103" s="10" t="n"/>
      <c r="F103" s="9" t="n"/>
      <c r="G103" s="10">
        <f>IF(E103="","",SUM(E$5:E103))</f>
        <v/>
      </c>
    </row>
    <row r="104">
      <c r="A104" s="17" t="n"/>
      <c r="B104" s="11" t="n"/>
      <c r="C104" s="11" t="n"/>
      <c r="D104" s="11" t="n"/>
      <c r="E104" s="12" t="n"/>
      <c r="F104" s="11" t="n"/>
      <c r="G104" s="12">
        <f>IF(E104="","",SUM(E$5:E104))</f>
        <v/>
      </c>
    </row>
  </sheetData>
  <mergeCells count="2">
    <mergeCell ref="A2:G2"/>
    <mergeCell ref="A1:G1"/>
  </mergeCells>
  <dataValidations count="2">
    <dataValidation sqref="C5:C104" showDropDown="0" showInputMessage="0" showErrorMessage="0" allowBlank="1" errorTitle="Invalid Category" error="Please select a valid category" type="list">
      <formula1>"Housing (Rent/Mortgage),Utilities,Groceries,Transportation,Insurance,Healthcare,Phone/Internet,Subscriptions,Dining Out,Entertainment,Clothing,Personal Care,Education,Childcare,Pet Expenses,Gifts/Donations,Savings/Investments,Debt Payments,Miscellaneous"</formula1>
    </dataValidation>
    <dataValidation sqref="D5:D104" showDropDown="0" showInputMessage="0" showErrorMessage="0" allowBlank="1" type="list">
      <formula1>"Cash,Debit Card,Credit Card,Bank Transfer,Venmo,PayPal,Zelle,Other"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2B788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45" customHeight="1">
      <c r="A1" s="1" t="inlineStr">
        <is>
          <t>SAVINGS GOALS TRACKER</t>
        </is>
      </c>
    </row>
    <row r="2" ht="25" customHeight="1">
      <c r="A2" s="2" t="inlineStr">
        <is>
          <t>Set goals, track progress, and celebrate milestones</t>
        </is>
      </c>
    </row>
    <row r="4">
      <c r="A4" s="14" t="inlineStr">
        <is>
          <t>Goal Name</t>
        </is>
      </c>
      <c r="B4" s="14" t="inlineStr">
        <is>
          <t>Target Amount</t>
        </is>
      </c>
      <c r="C4" s="14" t="inlineStr">
        <is>
          <t>Current Saved</t>
        </is>
      </c>
      <c r="D4" s="14" t="inlineStr">
        <is>
          <t>Remaining</t>
        </is>
      </c>
      <c r="E4" s="14" t="inlineStr">
        <is>
          <t>% Complete</t>
        </is>
      </c>
      <c r="F4" s="14" t="inlineStr">
        <is>
          <t>Target Date</t>
        </is>
      </c>
      <c r="G4" s="14" t="inlineStr">
        <is>
          <t>Monthly Needed</t>
        </is>
      </c>
      <c r="H4" s="14" t="inlineStr">
        <is>
          <t>Status</t>
        </is>
      </c>
    </row>
    <row r="5">
      <c r="A5" s="9" t="inlineStr">
        <is>
          <t>Emergency Fund (3-6 months)</t>
        </is>
      </c>
      <c r="B5" s="10" t="n"/>
      <c r="C5" s="10" t="n"/>
      <c r="D5" s="10">
        <f>IF(B5="","",B5-C5)</f>
        <v/>
      </c>
      <c r="E5" s="18">
        <f>IF(B5=0,0,C5/B5)</f>
        <v/>
      </c>
      <c r="F5" s="16" t="n"/>
      <c r="G5" s="10">
        <f>IF(OR(B5="",F5=""),"",IF((F5-TODAY())/30&lt;=0,"Past Due",(B5-C5)/MAX(1,(F5-TODAY())/30)))</f>
        <v/>
      </c>
      <c r="H5" s="9">
        <f>IF(B5="","",IF(C5&gt;=B5,"COMPLETE!",IF(E5&gt;=0.75,"Almost There!",IF(E5&gt;=0.5,"Halfway!",IF(E5&gt;=0.25,"Getting There","Just Started")))))</f>
        <v/>
      </c>
    </row>
    <row r="6">
      <c r="A6" s="11" t="inlineStr">
        <is>
          <t>Vacation Fund</t>
        </is>
      </c>
      <c r="B6" s="12" t="n"/>
      <c r="C6" s="12" t="n"/>
      <c r="D6" s="12">
        <f>IF(B6="","",B6-C6)</f>
        <v/>
      </c>
      <c r="E6" s="19">
        <f>IF(B6=0,0,C6/B6)</f>
        <v/>
      </c>
      <c r="F6" s="17" t="n"/>
      <c r="G6" s="12">
        <f>IF(OR(B6="",F6=""),"",IF((F6-TODAY())/30&lt;=0,"Past Due",(B6-C6)/MAX(1,(F6-TODAY())/30)))</f>
        <v/>
      </c>
      <c r="H6" s="11">
        <f>IF(B6="","",IF(C6&gt;=B6,"COMPLETE!",IF(E6&gt;=0.75,"Almost There!",IF(E6&gt;=0.5,"Halfway!",IF(E6&gt;=0.25,"Getting There","Just Started")))))</f>
        <v/>
      </c>
    </row>
    <row r="7">
      <c r="A7" s="9" t="inlineStr">
        <is>
          <t>New Car Down Payment</t>
        </is>
      </c>
      <c r="B7" s="10" t="n"/>
      <c r="C7" s="10" t="n"/>
      <c r="D7" s="10">
        <f>IF(B7="","",B7-C7)</f>
        <v/>
      </c>
      <c r="E7" s="18">
        <f>IF(B7=0,0,C7/B7)</f>
        <v/>
      </c>
      <c r="F7" s="16" t="n"/>
      <c r="G7" s="10">
        <f>IF(OR(B7="",F7=""),"",IF((F7-TODAY())/30&lt;=0,"Past Due",(B7-C7)/MAX(1,(F7-TODAY())/30)))</f>
        <v/>
      </c>
      <c r="H7" s="9">
        <f>IF(B7="","",IF(C7&gt;=B7,"COMPLETE!",IF(E7&gt;=0.75,"Almost There!",IF(E7&gt;=0.5,"Halfway!",IF(E7&gt;=0.25,"Getting There","Just Started")))))</f>
        <v/>
      </c>
    </row>
    <row r="8">
      <c r="A8" s="11" t="inlineStr">
        <is>
          <t>Home Down Payment</t>
        </is>
      </c>
      <c r="B8" s="12" t="n"/>
      <c r="C8" s="12" t="n"/>
      <c r="D8" s="12">
        <f>IF(B8="","",B8-C8)</f>
        <v/>
      </c>
      <c r="E8" s="19">
        <f>IF(B8=0,0,C8/B8)</f>
        <v/>
      </c>
      <c r="F8" s="17" t="n"/>
      <c r="G8" s="12">
        <f>IF(OR(B8="",F8=""),"",IF((F8-TODAY())/30&lt;=0,"Past Due",(B8-C8)/MAX(1,(F8-TODAY())/30)))</f>
        <v/>
      </c>
      <c r="H8" s="11">
        <f>IF(B8="","",IF(C8&gt;=B8,"COMPLETE!",IF(E8&gt;=0.75,"Almost There!",IF(E8&gt;=0.5,"Halfway!",IF(E8&gt;=0.25,"Getting There","Just Started")))))</f>
        <v/>
      </c>
    </row>
    <row r="9">
      <c r="A9" s="9" t="inlineStr">
        <is>
          <t>Holiday Gift Fund</t>
        </is>
      </c>
      <c r="B9" s="10" t="n"/>
      <c r="C9" s="10" t="n"/>
      <c r="D9" s="10">
        <f>IF(B9="","",B9-C9)</f>
        <v/>
      </c>
      <c r="E9" s="18">
        <f>IF(B9=0,0,C9/B9)</f>
        <v/>
      </c>
      <c r="F9" s="16" t="n"/>
      <c r="G9" s="10">
        <f>IF(OR(B9="",F9=""),"",IF((F9-TODAY())/30&lt;=0,"Past Due",(B9-C9)/MAX(1,(F9-TODAY())/30)))</f>
        <v/>
      </c>
      <c r="H9" s="9">
        <f>IF(B9="","",IF(C9&gt;=B9,"COMPLETE!",IF(E9&gt;=0.75,"Almost There!",IF(E9&gt;=0.5,"Halfway!",IF(E9&gt;=0.25,"Getting There","Just Started")))))</f>
        <v/>
      </c>
    </row>
    <row r="10">
      <c r="A10" s="11" t="inlineStr">
        <is>
          <t>Education/Course Fund</t>
        </is>
      </c>
      <c r="B10" s="12" t="n"/>
      <c r="C10" s="12" t="n"/>
      <c r="D10" s="12">
        <f>IF(B10="","",B10-C10)</f>
        <v/>
      </c>
      <c r="E10" s="19">
        <f>IF(B10=0,0,C10/B10)</f>
        <v/>
      </c>
      <c r="F10" s="17" t="n"/>
      <c r="G10" s="12">
        <f>IF(OR(B10="",F10=""),"",IF((F10-TODAY())/30&lt;=0,"Past Due",(B10-C10)/MAX(1,(F10-TODAY())/30)))</f>
        <v/>
      </c>
      <c r="H10" s="11">
        <f>IF(B10="","",IF(C10&gt;=B10,"COMPLETE!",IF(E10&gt;=0.75,"Almost There!",IF(E10&gt;=0.5,"Halfway!",IF(E10&gt;=0.25,"Getting There","Just Started")))))</f>
        <v/>
      </c>
    </row>
    <row r="11">
      <c r="A11" s="9" t="inlineStr">
        <is>
          <t>Tech Upgrade Fund</t>
        </is>
      </c>
      <c r="B11" s="10" t="n"/>
      <c r="C11" s="10" t="n"/>
      <c r="D11" s="10">
        <f>IF(B11="","",B11-C11)</f>
        <v/>
      </c>
      <c r="E11" s="18">
        <f>IF(B11=0,0,C11/B11)</f>
        <v/>
      </c>
      <c r="F11" s="16" t="n"/>
      <c r="G11" s="10">
        <f>IF(OR(B11="",F11=""),"",IF((F11-TODAY())/30&lt;=0,"Past Due",(B11-C11)/MAX(1,(F11-TODAY())/30)))</f>
        <v/>
      </c>
      <c r="H11" s="9">
        <f>IF(B11="","",IF(C11&gt;=B11,"COMPLETE!",IF(E11&gt;=0.75,"Almost There!",IF(E11&gt;=0.5,"Halfway!",IF(E11&gt;=0.25,"Getting There","Just Started")))))</f>
        <v/>
      </c>
    </row>
    <row r="12">
      <c r="A12" s="11" t="inlineStr">
        <is>
          <t>Wedding Fund</t>
        </is>
      </c>
      <c r="B12" s="12" t="n"/>
      <c r="C12" s="12" t="n"/>
      <c r="D12" s="12">
        <f>IF(B12="","",B12-C12)</f>
        <v/>
      </c>
      <c r="E12" s="19">
        <f>IF(B12=0,0,C12/B12)</f>
        <v/>
      </c>
      <c r="F12" s="17" t="n"/>
      <c r="G12" s="12">
        <f>IF(OR(B12="",F12=""),"",IF((F12-TODAY())/30&lt;=0,"Past Due",(B12-C12)/MAX(1,(F12-TODAY())/30)))</f>
        <v/>
      </c>
      <c r="H12" s="11">
        <f>IF(B12="","",IF(C12&gt;=B12,"COMPLETE!",IF(E12&gt;=0.75,"Almost There!",IF(E12&gt;=0.5,"Halfway!",IF(E12&gt;=0.25,"Getting There","Just Started")))))</f>
        <v/>
      </c>
    </row>
    <row r="13">
      <c r="A13" s="9" t="inlineStr">
        <is>
          <t>Retirement Boost</t>
        </is>
      </c>
      <c r="B13" s="10" t="n"/>
      <c r="C13" s="10" t="n"/>
      <c r="D13" s="10">
        <f>IF(B13="","",B13-C13)</f>
        <v/>
      </c>
      <c r="E13" s="18">
        <f>IF(B13=0,0,C13/B13)</f>
        <v/>
      </c>
      <c r="F13" s="16" t="n"/>
      <c r="G13" s="10">
        <f>IF(OR(B13="",F13=""),"",IF((F13-TODAY())/30&lt;=0,"Past Due",(B13-C13)/MAX(1,(F13-TODAY())/30)))</f>
        <v/>
      </c>
      <c r="H13" s="9">
        <f>IF(B13="","",IF(C13&gt;=B13,"COMPLETE!",IF(E13&gt;=0.75,"Almost There!",IF(E13&gt;=0.5,"Halfway!",IF(E13&gt;=0.25,"Getting There","Just Started")))))</f>
        <v/>
      </c>
    </row>
    <row r="14">
      <c r="A14" s="11" t="inlineStr">
        <is>
          <t>Custom Goal</t>
        </is>
      </c>
      <c r="B14" s="12" t="n"/>
      <c r="C14" s="12" t="n"/>
      <c r="D14" s="12">
        <f>IF(B14="","",B14-C14)</f>
        <v/>
      </c>
      <c r="E14" s="19">
        <f>IF(B14=0,0,C14/B14)</f>
        <v/>
      </c>
      <c r="F14" s="17" t="n"/>
      <c r="G14" s="12">
        <f>IF(OR(B14="",F14=""),"",IF((F14-TODAY())/30&lt;=0,"Past Due",(B14-C14)/MAX(1,(F14-TODAY())/30)))</f>
        <v/>
      </c>
      <c r="H14" s="11">
        <f>IF(B14="","",IF(C14&gt;=B14,"COMPLETE!",IF(E14&gt;=0.75,"Almost There!",IF(E14&gt;=0.5,"Halfway!",IF(E14&gt;=0.25,"Getting There","Just Started")))))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4A261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 ht="45" customHeight="1">
      <c r="A1" s="1" t="inlineStr">
        <is>
          <t>DEBT PAYOFF PLANNER</t>
        </is>
      </c>
    </row>
    <row r="2" ht="25" customHeight="1">
      <c r="A2" s="2" t="inlineStr">
        <is>
          <t>Crush your debt with a clear payoff strategy</t>
        </is>
      </c>
    </row>
    <row r="4">
      <c r="A4" s="14" t="inlineStr">
        <is>
          <t>Debt Name</t>
        </is>
      </c>
      <c r="B4" s="14" t="inlineStr">
        <is>
          <t>Total Owed</t>
        </is>
      </c>
      <c r="C4" s="14" t="inlineStr">
        <is>
          <t>Interest Rate</t>
        </is>
      </c>
      <c r="D4" s="14" t="inlineStr">
        <is>
          <t>Min Payment</t>
        </is>
      </c>
      <c r="E4" s="14" t="inlineStr">
        <is>
          <t>Extra Payment</t>
        </is>
      </c>
      <c r="F4" s="14" t="inlineStr">
        <is>
          <t>Total Payment</t>
        </is>
      </c>
      <c r="G4" s="14" t="inlineStr">
        <is>
          <t>Months to Payoff</t>
        </is>
      </c>
      <c r="H4" s="14" t="inlineStr">
        <is>
          <t>Total Interest</t>
        </is>
      </c>
      <c r="I4" s="14" t="inlineStr">
        <is>
          <t>Payoff Date</t>
        </is>
      </c>
    </row>
    <row r="5">
      <c r="A5" s="9" t="inlineStr">
        <is>
          <t>Credit Card 1</t>
        </is>
      </c>
      <c r="B5" s="10" t="n"/>
      <c r="C5" s="20" t="n"/>
      <c r="D5" s="10" t="n"/>
      <c r="E5" s="10" t="n"/>
      <c r="F5" s="10">
        <f>IF(D5="","",D5+IF(E5="",0,E5))</f>
        <v/>
      </c>
      <c r="G5" s="9">
        <f>IF(OR(B5="",F5="",F5=0),"",ROUNDUP(B5/F5,0))</f>
        <v/>
      </c>
      <c r="H5" s="10">
        <f>IF(OR(B5="",G5=""),"",G5*F5-B5)</f>
        <v/>
      </c>
      <c r="I5" s="21">
        <f>IF(G5="","",DATE(YEAR(TODAY()),MONTH(TODAY())+G5,DAY(TODAY())))</f>
        <v/>
      </c>
    </row>
    <row r="6">
      <c r="A6" s="11" t="inlineStr">
        <is>
          <t>Credit Card 2</t>
        </is>
      </c>
      <c r="B6" s="12" t="n"/>
      <c r="C6" s="22" t="n"/>
      <c r="D6" s="12" t="n"/>
      <c r="E6" s="12" t="n"/>
      <c r="F6" s="12">
        <f>IF(D6="","",D6+IF(E6="",0,E6))</f>
        <v/>
      </c>
      <c r="G6" s="11">
        <f>IF(OR(B6="",F6="",F6=0),"",ROUNDUP(B6/F6,0))</f>
        <v/>
      </c>
      <c r="H6" s="12">
        <f>IF(OR(B6="",G6=""),"",G6*F6-B6)</f>
        <v/>
      </c>
      <c r="I6" s="23">
        <f>IF(G6="","",DATE(YEAR(TODAY()),MONTH(TODAY())+G6,DAY(TODAY())))</f>
        <v/>
      </c>
    </row>
    <row r="7">
      <c r="A7" s="9" t="inlineStr">
        <is>
          <t>Student Loan</t>
        </is>
      </c>
      <c r="B7" s="10" t="n"/>
      <c r="C7" s="20" t="n"/>
      <c r="D7" s="10" t="n"/>
      <c r="E7" s="10" t="n"/>
      <c r="F7" s="10">
        <f>IF(D7="","",D7+IF(E7="",0,E7))</f>
        <v/>
      </c>
      <c r="G7" s="9">
        <f>IF(OR(B7="",F7="",F7=0),"",ROUNDUP(B7/F7,0))</f>
        <v/>
      </c>
      <c r="H7" s="10">
        <f>IF(OR(B7="",G7=""),"",G7*F7-B7)</f>
        <v/>
      </c>
      <c r="I7" s="21">
        <f>IF(G7="","",DATE(YEAR(TODAY()),MONTH(TODAY())+G7,DAY(TODAY())))</f>
        <v/>
      </c>
    </row>
    <row r="8">
      <c r="A8" s="11" t="inlineStr">
        <is>
          <t>Car Loan</t>
        </is>
      </c>
      <c r="B8" s="12" t="n"/>
      <c r="C8" s="22" t="n"/>
      <c r="D8" s="12" t="n"/>
      <c r="E8" s="12" t="n"/>
      <c r="F8" s="12">
        <f>IF(D8="","",D8+IF(E8="",0,E8))</f>
        <v/>
      </c>
      <c r="G8" s="11">
        <f>IF(OR(B8="",F8="",F8=0),"",ROUNDUP(B8/F8,0))</f>
        <v/>
      </c>
      <c r="H8" s="12">
        <f>IF(OR(B8="",G8=""),"",G8*F8-B8)</f>
        <v/>
      </c>
      <c r="I8" s="23">
        <f>IF(G8="","",DATE(YEAR(TODAY()),MONTH(TODAY())+G8,DAY(TODAY())))</f>
        <v/>
      </c>
    </row>
    <row r="9">
      <c r="A9" s="9" t="inlineStr">
        <is>
          <t>Personal Loan</t>
        </is>
      </c>
      <c r="B9" s="10" t="n"/>
      <c r="C9" s="20" t="n"/>
      <c r="D9" s="10" t="n"/>
      <c r="E9" s="10" t="n"/>
      <c r="F9" s="10">
        <f>IF(D9="","",D9+IF(E9="",0,E9))</f>
        <v/>
      </c>
      <c r="G9" s="9">
        <f>IF(OR(B9="",F9="",F9=0),"",ROUNDUP(B9/F9,0))</f>
        <v/>
      </c>
      <c r="H9" s="10">
        <f>IF(OR(B9="",G9=""),"",G9*F9-B9)</f>
        <v/>
      </c>
      <c r="I9" s="21">
        <f>IF(G9="","",DATE(YEAR(TODAY()),MONTH(TODAY())+G9,DAY(TODAY())))</f>
        <v/>
      </c>
    </row>
    <row r="10">
      <c r="A10" s="11" t="inlineStr">
        <is>
          <t>Medical Debt</t>
        </is>
      </c>
      <c r="B10" s="12" t="n"/>
      <c r="C10" s="22" t="n"/>
      <c r="D10" s="12" t="n"/>
      <c r="E10" s="12" t="n"/>
      <c r="F10" s="12">
        <f>IF(D10="","",D10+IF(E10="",0,E10))</f>
        <v/>
      </c>
      <c r="G10" s="11">
        <f>IF(OR(B10="",F10="",F10=0),"",ROUNDUP(B10/F10,0))</f>
        <v/>
      </c>
      <c r="H10" s="12">
        <f>IF(OR(B10="",G10=""),"",G10*F10-B10)</f>
        <v/>
      </c>
      <c r="I10" s="23">
        <f>IF(G10="","",DATE(YEAR(TODAY()),MONTH(TODAY())+G10,DAY(TODAY())))</f>
        <v/>
      </c>
    </row>
    <row r="11">
      <c r="A11" s="9" t="inlineStr">
        <is>
          <t>Other Debt 1</t>
        </is>
      </c>
      <c r="B11" s="10" t="n"/>
      <c r="C11" s="20" t="n"/>
      <c r="D11" s="10" t="n"/>
      <c r="E11" s="10" t="n"/>
      <c r="F11" s="10">
        <f>IF(D11="","",D11+IF(E11="",0,E11))</f>
        <v/>
      </c>
      <c r="G11" s="9">
        <f>IF(OR(B11="",F11="",F11=0),"",ROUNDUP(B11/F11,0))</f>
        <v/>
      </c>
      <c r="H11" s="10">
        <f>IF(OR(B11="",G11=""),"",G11*F11-B11)</f>
        <v/>
      </c>
      <c r="I11" s="21">
        <f>IF(G11="","",DATE(YEAR(TODAY()),MONTH(TODAY())+G11,DAY(TODAY())))</f>
        <v/>
      </c>
    </row>
    <row r="12">
      <c r="A12" s="11" t="inlineStr">
        <is>
          <t>Other Debt 2</t>
        </is>
      </c>
      <c r="B12" s="12" t="n"/>
      <c r="C12" s="22" t="n"/>
      <c r="D12" s="12" t="n"/>
      <c r="E12" s="12" t="n"/>
      <c r="F12" s="12">
        <f>IF(D12="","",D12+IF(E12="",0,E12))</f>
        <v/>
      </c>
      <c r="G12" s="11">
        <f>IF(OR(B12="",F12="",F12=0),"",ROUNDUP(B12/F12,0))</f>
        <v/>
      </c>
      <c r="H12" s="12">
        <f>IF(OR(B12="",G12=""),"",G12*F12-B12)</f>
        <v/>
      </c>
      <c r="I12" s="23">
        <f>IF(G12="","",DATE(YEAR(TODAY()),MONTH(TODAY())+G12,DAY(TODAY())))</f>
        <v/>
      </c>
    </row>
    <row r="13">
      <c r="A13" s="14" t="inlineStr">
        <is>
          <t>TOTALS</t>
        </is>
      </c>
      <c r="B13" s="15">
        <f>SUM(B5:B12)</f>
        <v/>
      </c>
      <c r="C13" s="14" t="n"/>
      <c r="D13" s="15">
        <f>SUM(D5:D12)</f>
        <v/>
      </c>
      <c r="E13" s="15">
        <f>SUM(E5:E12)</f>
        <v/>
      </c>
      <c r="F13" s="15">
        <f>SUM(F5:F12)</f>
        <v/>
      </c>
      <c r="G13" s="14" t="n"/>
      <c r="H13" s="15">
        <f>SUM(H5:H12)</f>
        <v/>
      </c>
      <c r="I13" s="14" t="n"/>
    </row>
    <row r="15">
      <c r="A15" s="5" t="inlineStr">
        <is>
          <t>PAYOFF STRATEGIES</t>
        </is>
      </c>
    </row>
    <row r="16">
      <c r="A16" s="24" t="inlineStr">
        <is>
          <t xml:space="preserve">  AVALANCHE METHOD: Pay minimums on all debts, put extra $ toward the highest interest rate debt first. Saves the most money.</t>
        </is>
      </c>
    </row>
    <row r="17">
      <c r="A17" s="24" t="inlineStr">
        <is>
          <t xml:space="preserve">  SNOWBALL METHOD: Pay minimums on all debts, put extra $ toward the smallest balance first. Builds momentum with quick wins.</t>
        </is>
      </c>
    </row>
    <row r="18">
      <c r="A18" s="24" t="inlineStr">
        <is>
          <t xml:space="preserve">  TIP: Even $25/month extra toward debt can save you hundreds in interest and months of payments!</t>
        </is>
      </c>
    </row>
  </sheetData>
  <mergeCells count="6">
    <mergeCell ref="A15:I15"/>
    <mergeCell ref="A2:I2"/>
    <mergeCell ref="A1:I1"/>
    <mergeCell ref="A17:I17"/>
    <mergeCell ref="A18:I18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0916C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5" customWidth="1" min="3" max="3"/>
    <col width="3" customWidth="1" min="4" max="4"/>
    <col width="16" customWidth="1" min="5" max="5"/>
    <col width="18" customWidth="1" min="6" max="6"/>
    <col width="16" customWidth="1" min="7" max="7"/>
  </cols>
  <sheetData>
    <row r="1" ht="45" customHeight="1">
      <c r="A1" s="1" t="inlineStr">
        <is>
          <t>NET WORTH TRACKER</t>
        </is>
      </c>
    </row>
    <row r="2" ht="25" customHeight="1">
      <c r="A2" s="2" t="inlineStr">
        <is>
          <t>See your full financial picture at a glance</t>
        </is>
      </c>
    </row>
    <row r="4">
      <c r="A4" s="5" t="inlineStr">
        <is>
          <t>ASSETS (What You Own)</t>
        </is>
      </c>
      <c r="E4" s="5" t="inlineStr">
        <is>
          <t>NET WORTH SUMMARY</t>
        </is>
      </c>
    </row>
    <row r="5">
      <c r="A5" s="6" t="inlineStr">
        <is>
          <t>Asset</t>
        </is>
      </c>
      <c r="B5" s="6" t="inlineStr">
        <is>
          <t>Current Value</t>
        </is>
      </c>
      <c r="C5" s="6" t="inlineStr">
        <is>
          <t>Notes</t>
        </is>
      </c>
      <c r="E5" s="25" t="inlineStr">
        <is>
          <t>Total Assets</t>
        </is>
      </c>
      <c r="F5" s="26">
        <f>B17</f>
        <v/>
      </c>
    </row>
    <row r="6">
      <c r="A6" s="9" t="inlineStr">
        <is>
          <t>Checking Account(s)</t>
        </is>
      </c>
      <c r="B6" s="10" t="n"/>
      <c r="C6" s="9" t="n"/>
      <c r="E6" s="25" t="inlineStr">
        <is>
          <t>Total Liabilities</t>
        </is>
      </c>
      <c r="F6" s="26">
        <f>B28</f>
        <v/>
      </c>
    </row>
    <row r="7">
      <c r="A7" s="11" t="inlineStr">
        <is>
          <t>Savings Account(s)</t>
        </is>
      </c>
      <c r="B7" s="12" t="n"/>
      <c r="C7" s="11" t="n"/>
      <c r="E7" s="25" t="inlineStr">
        <is>
          <t>NET WORTH</t>
        </is>
      </c>
      <c r="F7" s="26">
        <f>B17-B28</f>
        <v/>
      </c>
    </row>
    <row r="8">
      <c r="A8" s="9" t="inlineStr">
        <is>
          <t>Cash on Hand</t>
        </is>
      </c>
      <c r="B8" s="10" t="n"/>
      <c r="C8" s="9" t="n"/>
    </row>
    <row r="9">
      <c r="A9" s="11" t="inlineStr">
        <is>
          <t>401(k)/Retirement</t>
        </is>
      </c>
      <c r="B9" s="12" t="n"/>
      <c r="C9" s="11" t="n"/>
    </row>
    <row r="10">
      <c r="A10" s="9" t="inlineStr">
        <is>
          <t>IRA/Roth IRA</t>
        </is>
      </c>
      <c r="B10" s="10" t="n"/>
      <c r="C10" s="9" t="n"/>
      <c r="E10" s="27" t="inlineStr">
        <is>
          <t>MONTHLY NET WORTH HISTORY</t>
        </is>
      </c>
    </row>
    <row r="11">
      <c r="A11" s="11" t="inlineStr">
        <is>
          <t>Brokerage/Investments</t>
        </is>
      </c>
      <c r="B11" s="12" t="n"/>
      <c r="C11" s="11" t="n"/>
      <c r="E11" s="28" t="inlineStr">
        <is>
          <t>Month</t>
        </is>
      </c>
      <c r="F11" s="28" t="inlineStr">
        <is>
          <t>Net Worth</t>
        </is>
      </c>
      <c r="G11" s="28" t="inlineStr">
        <is>
          <t>Change</t>
        </is>
      </c>
    </row>
    <row r="12">
      <c r="A12" s="9" t="inlineStr">
        <is>
          <t>HSA/FSA</t>
        </is>
      </c>
      <c r="B12" s="10" t="n"/>
      <c r="C12" s="9" t="n"/>
      <c r="E12" s="9" t="inlineStr">
        <is>
          <t>January</t>
        </is>
      </c>
      <c r="F12" s="29" t="n"/>
      <c r="G12" s="29" t="inlineStr">
        <is>
          <t>—</t>
        </is>
      </c>
    </row>
    <row r="13">
      <c r="A13" s="11" t="inlineStr">
        <is>
          <t>Real Estate (Market Value)</t>
        </is>
      </c>
      <c r="B13" s="12" t="n"/>
      <c r="C13" s="11" t="n"/>
      <c r="E13" s="11" t="inlineStr">
        <is>
          <t>February</t>
        </is>
      </c>
      <c r="F13" s="30" t="n"/>
      <c r="G13" s="30">
        <f>IF(OR(F13="",F12=""),"",F13-F12)</f>
        <v/>
      </c>
    </row>
    <row r="14">
      <c r="A14" s="9" t="inlineStr">
        <is>
          <t>Vehicle(s)</t>
        </is>
      </c>
      <c r="B14" s="10" t="n"/>
      <c r="C14" s="9" t="n"/>
      <c r="E14" s="9" t="inlineStr">
        <is>
          <t>March</t>
        </is>
      </c>
      <c r="F14" s="29" t="n"/>
      <c r="G14" s="29">
        <f>IF(OR(F14="",F13=""),"",F14-F13)</f>
        <v/>
      </c>
    </row>
    <row r="15">
      <c r="A15" s="11" t="inlineStr">
        <is>
          <t>Other Valuable Assets</t>
        </is>
      </c>
      <c r="B15" s="12" t="n"/>
      <c r="C15" s="11" t="n"/>
      <c r="E15" s="11" t="inlineStr">
        <is>
          <t>April</t>
        </is>
      </c>
      <c r="F15" s="30" t="n"/>
      <c r="G15" s="30">
        <f>IF(OR(F15="",F14=""),"",F15-F14)</f>
        <v/>
      </c>
    </row>
    <row r="16">
      <c r="A16" s="9" t="inlineStr">
        <is>
          <t>Crypto/Alternative Investments</t>
        </is>
      </c>
      <c r="B16" s="10" t="n"/>
      <c r="C16" s="9" t="n"/>
      <c r="E16" s="9" t="inlineStr">
        <is>
          <t>May</t>
        </is>
      </c>
      <c r="F16" s="29" t="n"/>
      <c r="G16" s="29">
        <f>IF(OR(F16="",F15=""),"",F16-F15)</f>
        <v/>
      </c>
    </row>
    <row r="17">
      <c r="A17" s="14" t="inlineStr">
        <is>
          <t>TOTAL ASSETS</t>
        </is>
      </c>
      <c r="B17" s="15">
        <f>SUM(B6:B16)</f>
        <v/>
      </c>
      <c r="C17" s="14" t="n"/>
      <c r="E17" s="11" t="inlineStr">
        <is>
          <t>June</t>
        </is>
      </c>
      <c r="F17" s="30" t="n"/>
      <c r="G17" s="30">
        <f>IF(OR(F17="",F16=""),"",F17-F16)</f>
        <v/>
      </c>
    </row>
    <row r="18">
      <c r="E18" s="9" t="inlineStr">
        <is>
          <t>July</t>
        </is>
      </c>
      <c r="F18" s="29" t="n"/>
      <c r="G18" s="29">
        <f>IF(OR(F18="",F17=""),"",F18-F17)</f>
        <v/>
      </c>
    </row>
    <row r="19">
      <c r="A19" s="31" t="inlineStr">
        <is>
          <t>LIABILITIES (What You Owe)</t>
        </is>
      </c>
      <c r="E19" s="11" t="inlineStr">
        <is>
          <t>August</t>
        </is>
      </c>
      <c r="F19" s="30" t="n"/>
      <c r="G19" s="30">
        <f>IF(OR(F19="",F18=""),"",F19-F18)</f>
        <v/>
      </c>
    </row>
    <row r="20">
      <c r="A20" s="32" t="inlineStr">
        <is>
          <t>Liability</t>
        </is>
      </c>
      <c r="B20" s="32" t="inlineStr">
        <is>
          <t>Amount Owed</t>
        </is>
      </c>
      <c r="C20" s="32" t="inlineStr">
        <is>
          <t>Notes</t>
        </is>
      </c>
      <c r="E20" s="9" t="inlineStr">
        <is>
          <t>September</t>
        </is>
      </c>
      <c r="F20" s="29" t="n"/>
      <c r="G20" s="29">
        <f>IF(OR(F20="",F19=""),"",F20-F19)</f>
        <v/>
      </c>
    </row>
    <row r="21">
      <c r="A21" s="9" t="inlineStr">
        <is>
          <t>Mortgage</t>
        </is>
      </c>
      <c r="B21" s="10" t="n"/>
      <c r="C21" s="9" t="n"/>
      <c r="E21" s="11" t="inlineStr">
        <is>
          <t>October</t>
        </is>
      </c>
      <c r="F21" s="30" t="n"/>
      <c r="G21" s="30">
        <f>IF(OR(F21="",F20=""),"",F21-F20)</f>
        <v/>
      </c>
    </row>
    <row r="22">
      <c r="A22" s="11" t="inlineStr">
        <is>
          <t>Car Loan(s)</t>
        </is>
      </c>
      <c r="B22" s="12" t="n"/>
      <c r="C22" s="11" t="n"/>
      <c r="E22" s="9" t="inlineStr">
        <is>
          <t>November</t>
        </is>
      </c>
      <c r="F22" s="29" t="n"/>
      <c r="G22" s="29">
        <f>IF(OR(F22="",F21=""),"",F22-F21)</f>
        <v/>
      </c>
    </row>
    <row r="23">
      <c r="A23" s="9" t="inlineStr">
        <is>
          <t>Student Loans</t>
        </is>
      </c>
      <c r="B23" s="10" t="n"/>
      <c r="C23" s="9" t="n"/>
      <c r="E23" s="11" t="inlineStr">
        <is>
          <t>December</t>
        </is>
      </c>
      <c r="F23" s="30" t="n"/>
      <c r="G23" s="30">
        <f>IF(OR(F23="",F22=""),"",F23-F22)</f>
        <v/>
      </c>
    </row>
    <row r="24">
      <c r="A24" s="11" t="inlineStr">
        <is>
          <t>Credit Card Debt</t>
        </is>
      </c>
      <c r="B24" s="12" t="n"/>
      <c r="C24" s="11" t="n"/>
    </row>
    <row r="25">
      <c r="A25" s="9" t="inlineStr">
        <is>
          <t>Personal Loans</t>
        </is>
      </c>
      <c r="B25" s="10" t="n"/>
      <c r="C25" s="9" t="n"/>
    </row>
    <row r="26">
      <c r="A26" s="11" t="inlineStr">
        <is>
          <t>Medical Debt</t>
        </is>
      </c>
      <c r="B26" s="12" t="n"/>
      <c r="C26" s="11" t="n"/>
    </row>
    <row r="27">
      <c r="A27" s="9" t="inlineStr">
        <is>
          <t>Other Debt</t>
        </is>
      </c>
      <c r="B27" s="10" t="n"/>
      <c r="C27" s="9" t="n"/>
    </row>
    <row r="28">
      <c r="A28" s="32" t="inlineStr">
        <is>
          <t>TOTAL LIABILITIES</t>
        </is>
      </c>
      <c r="B28" s="33">
        <f>SUM(B21:B27)</f>
        <v/>
      </c>
      <c r="C28" s="32" t="n"/>
    </row>
  </sheetData>
  <mergeCells count="6">
    <mergeCell ref="E10:G10"/>
    <mergeCell ref="A19:C19"/>
    <mergeCell ref="A1:G1"/>
    <mergeCell ref="A2:G2"/>
    <mergeCell ref="E4:G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4C69D"/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45" customHeight="1">
      <c r="A1" s="1" t="inlineStr">
        <is>
          <t>ANNUAL FINANCIAL OVERVIEW</t>
        </is>
      </c>
    </row>
    <row r="2" ht="25" customHeight="1">
      <c r="A2" s="2" t="inlineStr">
        <is>
          <t>Track your income, expenses, and savings month by month across the entire year</t>
        </is>
      </c>
    </row>
    <row r="4">
      <c r="A4" s="14" t="inlineStr"/>
      <c r="B4" s="14" t="inlineStr">
        <is>
          <t>Jan</t>
        </is>
      </c>
      <c r="C4" s="14" t="inlineStr">
        <is>
          <t>Feb</t>
        </is>
      </c>
      <c r="D4" s="14" t="inlineStr">
        <is>
          <t>Mar</t>
        </is>
      </c>
      <c r="E4" s="14" t="inlineStr">
        <is>
          <t>Apr</t>
        </is>
      </c>
      <c r="F4" s="14" t="inlineStr">
        <is>
          <t>May</t>
        </is>
      </c>
      <c r="G4" s="14" t="inlineStr">
        <is>
          <t>Jun</t>
        </is>
      </c>
      <c r="H4" s="14" t="inlineStr">
        <is>
          <t>Jul</t>
        </is>
      </c>
      <c r="I4" s="14" t="inlineStr">
        <is>
          <t>Aug</t>
        </is>
      </c>
      <c r="J4" s="14" t="inlineStr">
        <is>
          <t>Sep</t>
        </is>
      </c>
      <c r="K4" s="14" t="inlineStr">
        <is>
          <t>Oct</t>
        </is>
      </c>
      <c r="L4" s="14" t="inlineStr">
        <is>
          <t>Nov</t>
        </is>
      </c>
      <c r="M4" s="14" t="inlineStr">
        <is>
          <t>Dec</t>
        </is>
      </c>
      <c r="N4" s="14" t="inlineStr">
        <is>
          <t>TOTAL</t>
        </is>
      </c>
    </row>
    <row r="5">
      <c r="A5" s="34" t="inlineStr">
        <is>
          <t>Total Income</t>
        </is>
      </c>
      <c r="B5" s="29" t="n"/>
      <c r="C5" s="30" t="n"/>
      <c r="D5" s="29" t="n"/>
      <c r="E5" s="30" t="n"/>
      <c r="F5" s="29" t="n"/>
      <c r="G5" s="30" t="n"/>
      <c r="H5" s="29" t="n"/>
      <c r="I5" s="30" t="n"/>
      <c r="J5" s="29" t="n"/>
      <c r="K5" s="30" t="n"/>
      <c r="L5" s="29" t="n"/>
      <c r="M5" s="30" t="n"/>
      <c r="N5" s="35">
        <f>SUM(B5:M5)</f>
        <v/>
      </c>
    </row>
    <row r="6">
      <c r="A6" s="34" t="inlineStr">
        <is>
          <t>Total Expenses</t>
        </is>
      </c>
      <c r="B6" s="29" t="n"/>
      <c r="C6" s="30" t="n"/>
      <c r="D6" s="29" t="n"/>
      <c r="E6" s="30" t="n"/>
      <c r="F6" s="29" t="n"/>
      <c r="G6" s="30" t="n"/>
      <c r="H6" s="29" t="n"/>
      <c r="I6" s="30" t="n"/>
      <c r="J6" s="29" t="n"/>
      <c r="K6" s="30" t="n"/>
      <c r="L6" s="29" t="n"/>
      <c r="M6" s="30" t="n"/>
      <c r="N6" s="35">
        <f>SUM(B6:M6)</f>
        <v/>
      </c>
    </row>
    <row r="7">
      <c r="A7" s="34" t="inlineStr">
        <is>
          <t>Net Savings</t>
        </is>
      </c>
      <c r="B7" s="29">
        <f>B5-B6</f>
        <v/>
      </c>
      <c r="C7" s="30">
        <f>C5-C6</f>
        <v/>
      </c>
      <c r="D7" s="29">
        <f>D5-D6</f>
        <v/>
      </c>
      <c r="E7" s="30">
        <f>E5-E6</f>
        <v/>
      </c>
      <c r="F7" s="29">
        <f>F5-F6</f>
        <v/>
      </c>
      <c r="G7" s="30">
        <f>G5-G6</f>
        <v/>
      </c>
      <c r="H7" s="29">
        <f>H5-H6</f>
        <v/>
      </c>
      <c r="I7" s="30">
        <f>I5-I6</f>
        <v/>
      </c>
      <c r="J7" s="29">
        <f>J5-J6</f>
        <v/>
      </c>
      <c r="K7" s="30">
        <f>K5-K6</f>
        <v/>
      </c>
      <c r="L7" s="29">
        <f>L5-L6</f>
        <v/>
      </c>
      <c r="M7" s="30">
        <f>M5-M6</f>
        <v/>
      </c>
      <c r="N7" s="35">
        <f>SUM(B7:M7)</f>
        <v/>
      </c>
    </row>
    <row r="8">
      <c r="A8" s="34" t="inlineStr">
        <is>
          <t>Savings Rate (%)</t>
        </is>
      </c>
      <c r="B8" s="36">
        <f>IF(B5=0,0,B7/B5)</f>
        <v/>
      </c>
      <c r="C8" s="37">
        <f>IF(C5=0,0,C7/C5)</f>
        <v/>
      </c>
      <c r="D8" s="36">
        <f>IF(D5=0,0,D7/D5)</f>
        <v/>
      </c>
      <c r="E8" s="37">
        <f>IF(E5=0,0,E7/E5)</f>
        <v/>
      </c>
      <c r="F8" s="36">
        <f>IF(F5=0,0,F7/F5)</f>
        <v/>
      </c>
      <c r="G8" s="37">
        <f>IF(G5=0,0,G7/G5)</f>
        <v/>
      </c>
      <c r="H8" s="36">
        <f>IF(H5=0,0,H7/H5)</f>
        <v/>
      </c>
      <c r="I8" s="37">
        <f>IF(I5=0,0,I7/I5)</f>
        <v/>
      </c>
      <c r="J8" s="36">
        <f>IF(J5=0,0,J7/J5)</f>
        <v/>
      </c>
      <c r="K8" s="37">
        <f>IF(K5=0,0,K7/K5)</f>
        <v/>
      </c>
      <c r="L8" s="36">
        <f>IF(L5=0,0,L7/L5)</f>
        <v/>
      </c>
      <c r="M8" s="37">
        <f>IF(M5=0,0,M7/M5)</f>
        <v/>
      </c>
      <c r="N8" s="38">
        <f>IF(B5=0,0,B7/B5)</f>
        <v/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2026-02-07T07:48:34Z</dcterms:created>
  <dcterms:modified xsi:type="dcterms:W3CDTF">2026-02-07T07:48:34Z</dcterms:modified>
</cp:coreProperties>
</file>