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mester Dashboard" sheetId="1" state="visible" r:id="rId1"/>
    <sheet name="Class Schedule" sheetId="2" state="visible" r:id="rId2"/>
    <sheet name="Assignment Tracker" sheetId="3" state="visible" r:id="rId3"/>
    <sheet name="Grade Calculator" sheetId="4" state="visible" r:id="rId4"/>
    <sheet name="Study Planner" sheetId="5" state="visible" r:id="rId5"/>
    <sheet name="Expense Tracker" sheetId="6" state="visible" r:id="rId6"/>
    <sheet name="Semester Goals" sheetId="7" state="visible" r:id="rId7"/>
    <sheet name="How to Use" sheetId="8" state="visible" r:id="rId8"/>
  </sheets>
  <definedNames/>
  <calcPr calcId="124519" fullCalcOnLoad="1"/>
</workbook>
</file>

<file path=xl/styles.xml><?xml version="1.0" encoding="utf-8"?>
<styleSheet xmlns="http://schemas.openxmlformats.org/spreadsheetml/2006/main">
  <numFmts count="2">
    <numFmt numFmtId="164" formatCode="YYYY-MM-DD"/>
    <numFmt numFmtId="165" formatCode="$#,##0.00"/>
  </numFmts>
  <fonts count="13">
    <font>
      <name val="Calibri"/>
      <family val="2"/>
      <color theme="1"/>
      <sz val="11"/>
      <scheme val="minor"/>
    </font>
    <font>
      <name val="Calibri"/>
      <b val="1"/>
      <color rgb="004C51BF"/>
      <sz val="20"/>
    </font>
    <font>
      <name val="Calibri"/>
      <b val="1"/>
      <color rgb="00805AD5"/>
      <sz val="14"/>
    </font>
    <font>
      <name val="Calibri"/>
      <b val="1"/>
      <color rgb="00FFFFFF"/>
      <sz val="11"/>
    </font>
    <font>
      <name val="Calibri"/>
      <b val="1"/>
      <color rgb="004C51BF"/>
      <sz val="14"/>
    </font>
    <font>
      <name val="Calibri"/>
      <b val="1"/>
      <color rgb="00805AD5"/>
      <sz val="13"/>
    </font>
    <font>
      <name val="Calibri"/>
      <b val="1"/>
      <color rgb="00FFFFFF"/>
      <sz val="12"/>
    </font>
    <font>
      <name val="Calibri"/>
      <color rgb="001A202C"/>
      <sz val="11"/>
    </font>
    <font>
      <name val="Calibri"/>
      <b val="1"/>
      <color rgb="004C51BF"/>
      <sz val="16"/>
    </font>
    <font>
      <name val="Calibri"/>
      <b val="1"/>
      <color rgb="00FFFFFF"/>
      <sz val="10"/>
    </font>
    <font>
      <name val="Calibri"/>
      <b val="1"/>
      <color rgb="00FFFFFF"/>
      <sz val="9"/>
    </font>
    <font>
      <name val="Calibri"/>
      <b val="1"/>
      <color rgb="00FFFFFF"/>
      <sz val="14"/>
    </font>
    <font>
      <name val="Calibri"/>
      <b val="1"/>
      <color rgb="004C51BF"/>
      <sz val="13"/>
    </font>
  </fonts>
  <fills count="8">
    <fill>
      <patternFill/>
    </fill>
    <fill>
      <patternFill patternType="gray125"/>
    </fill>
    <fill>
      <patternFill patternType="solid">
        <fgColor rgb="004C51BF"/>
        <bgColor rgb="004C51BF"/>
      </patternFill>
    </fill>
    <fill>
      <patternFill patternType="solid">
        <fgColor rgb="00805AD5"/>
        <bgColor rgb="00805AD5"/>
      </patternFill>
    </fill>
    <fill>
      <patternFill patternType="solid">
        <fgColor rgb="00319795"/>
        <bgColor rgb="00319795"/>
      </patternFill>
    </fill>
    <fill>
      <patternFill patternType="solid">
        <fgColor rgb="00E8E3F3"/>
        <bgColor rgb="00E8E3F3"/>
      </patternFill>
    </fill>
    <fill>
      <patternFill patternType="solid">
        <fgColor rgb="00FFFFFF"/>
        <bgColor rgb="00FFFFFF"/>
      </patternFill>
    </fill>
    <fill>
      <patternFill patternType="solid">
        <fgColor rgb="00EBF4FF"/>
        <bgColor rgb="00EBF4FF"/>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3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2" fontId="4" fillId="5" borderId="1" applyAlignment="1" pivotButton="0" quotePrefix="0" xfId="0">
      <alignment horizontal="center" vertical="center" wrapText="1"/>
    </xf>
    <xf numFmtId="0" fontId="5" fillId="5" borderId="0" applyAlignment="1" pivotButton="0" quotePrefix="0" xfId="0">
      <alignment horizontal="center"/>
    </xf>
    <xf numFmtId="0" fontId="6" fillId="2"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0" borderId="0" applyAlignment="1" pivotButton="0" quotePrefix="0" xfId="0">
      <alignment horizontal="center" vertical="center"/>
    </xf>
    <xf numFmtId="164" fontId="7" fillId="6" borderId="1" applyAlignment="1" pivotButton="0" quotePrefix="0" xfId="0">
      <alignment horizontal="center" vertical="center" wrapText="1"/>
    </xf>
    <xf numFmtId="1" fontId="7" fillId="6" borderId="1" applyAlignment="1" pivotButton="0" quotePrefix="0" xfId="0">
      <alignment horizontal="center" vertical="center" wrapText="1"/>
    </xf>
    <xf numFmtId="164" fontId="7" fillId="7" borderId="1" applyAlignment="1" pivotButton="0" quotePrefix="0" xfId="0">
      <alignment horizontal="center" vertical="center" wrapText="1"/>
    </xf>
    <xf numFmtId="1" fontId="7" fillId="7" borderId="1" applyAlignment="1" pivotButton="0" quotePrefix="0" xfId="0">
      <alignment horizontal="center" vertical="center" wrapText="1"/>
    </xf>
    <xf numFmtId="0" fontId="9" fillId="3" borderId="1" applyAlignment="1" pivotButton="0" quotePrefix="0" xfId="0">
      <alignment horizontal="center" vertical="center" wrapText="1"/>
    </xf>
    <xf numFmtId="0" fontId="0" fillId="3" borderId="1" pivotButton="0" quotePrefix="0" xfId="0"/>
    <xf numFmtId="0" fontId="10" fillId="4" borderId="1" applyAlignment="1" pivotButton="0" quotePrefix="0" xfId="0">
      <alignment horizontal="center" vertical="center" wrapText="1"/>
    </xf>
    <xf numFmtId="2" fontId="7" fillId="6" borderId="1" applyAlignment="1" pivotButton="0" quotePrefix="0" xfId="0">
      <alignment horizontal="center" vertical="center" wrapText="1"/>
    </xf>
    <xf numFmtId="2" fontId="7" fillId="7" borderId="1" applyAlignment="1" pivotButton="0" quotePrefix="0" xfId="0">
      <alignment horizontal="center" vertical="center" wrapText="1"/>
    </xf>
    <xf numFmtId="0" fontId="11" fillId="2" borderId="0" applyAlignment="1" pivotButton="0" quotePrefix="0" xfId="0">
      <alignment horizontal="center" vertical="center" wrapText="1"/>
    </xf>
    <xf numFmtId="2" fontId="8" fillId="0" borderId="0" applyAlignment="1" pivotButton="0" quotePrefix="0" xfId="0">
      <alignment horizontal="center" vertical="center" wrapText="1"/>
    </xf>
    <xf numFmtId="165" fontId="7" fillId="6" borderId="1" applyAlignment="1" pivotButton="0" quotePrefix="0" xfId="0">
      <alignment horizontal="center" vertical="center" wrapText="1"/>
    </xf>
    <xf numFmtId="165" fontId="7" fillId="7" borderId="1" applyAlignment="1" pivotButton="0" quotePrefix="0" xfId="0">
      <alignment horizontal="center" vertical="center" wrapText="1"/>
    </xf>
    <xf numFmtId="0" fontId="6" fillId="3" borderId="0" applyAlignment="1" pivotButton="0" quotePrefix="0" xfId="0">
      <alignment horizontal="center" vertical="center" wrapText="1"/>
    </xf>
    <xf numFmtId="165" fontId="5" fillId="0" borderId="0" applyAlignment="1" pivotButton="0" quotePrefix="0" xfId="0">
      <alignment horizontal="center" vertical="center" wrapText="1"/>
    </xf>
    <xf numFmtId="0" fontId="6" fillId="2" borderId="0" applyAlignment="1" pivotButton="0" quotePrefix="0" xfId="0">
      <alignment horizontal="center" vertical="center" wrapText="1"/>
    </xf>
    <xf numFmtId="165" fontId="12" fillId="0" borderId="0" applyAlignment="1" pivotButton="0" quotePrefix="0" xfId="0">
      <alignment horizontal="center" vertical="center" wrapText="1"/>
    </xf>
    <xf numFmtId="0" fontId="5" fillId="5" borderId="0" pivotButton="0" quotePrefix="0" xfId="0"/>
    <xf numFmtId="0" fontId="7" fillId="0" borderId="0" applyAlignment="1" pivotButton="0" quotePrefix="0" xfId="0">
      <alignment vertical="center" wrapText="1"/>
    </xf>
  </cellXfs>
  <cellStyles count="1">
    <cellStyle name="Normal" xfId="0" builtinId="0" hidden="0"/>
  </cellStyles>
  <dxfs count="4">
    <dxf>
      <font>
        <b val="1"/>
        <color rgb="00F56565"/>
      </font>
      <fill>
        <patternFill patternType="solid">
          <fgColor rgb="00FED7D7"/>
          <bgColor rgb="00FED7D7"/>
        </patternFill>
      </fill>
    </dxf>
    <dxf>
      <font>
        <b val="1"/>
        <color rgb="00FFFFFF"/>
      </font>
      <fill>
        <patternFill patternType="solid">
          <fgColor rgb="00F56565"/>
          <bgColor rgb="00F56565"/>
        </patternFill>
      </fill>
    </dxf>
    <dxf>
      <font>
        <b val="1"/>
        <color rgb="001A202C"/>
      </font>
      <fill>
        <patternFill patternType="solid">
          <fgColor rgb="00ECC94B"/>
          <bgColor rgb="00ECC94B"/>
        </patternFill>
      </fill>
    </dxf>
    <dxf>
      <font>
        <b val="1"/>
        <color rgb="00FFFFFF"/>
      </font>
      <fill>
        <patternFill patternType="solid">
          <fgColor rgb="00319795"/>
          <bgColor rgb="0031979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C51BF"/>
    <outlinePr summaryBelow="1" summaryRight="1"/>
    <pageSetUpPr/>
  </sheetPr>
  <dimension ref="A2:H28"/>
  <sheetViews>
    <sheetView workbookViewId="0">
      <pane ySplit="4" topLeftCell="A5" activePane="bottomLeft" state="frozen"/>
      <selection pane="bottomLeft" activeCell="A1" sqref="A1"/>
    </sheetView>
  </sheetViews>
  <sheetFormatPr baseColWidth="8" defaultRowHeight="15"/>
  <cols>
    <col width="3" customWidth="1" min="1" max="1"/>
    <col width="22" customWidth="1" min="2" max="2"/>
    <col width="20" customWidth="1" min="3" max="3"/>
    <col width="18" customWidth="1" min="4" max="4"/>
    <col width="18" customWidth="1" min="5" max="5"/>
    <col width="18" customWidth="1" min="6" max="6"/>
    <col width="18" customWidth="1" min="7" max="7"/>
    <col width="18" customWidth="1" min="8" max="8"/>
    <col width="3" customWidth="1" min="9" max="9"/>
  </cols>
  <sheetData>
    <row r="2" ht="35" customHeight="1">
      <c r="B2" s="1" t="inlineStr">
        <is>
          <t>STUDENT ACADEMIC PLANNER 2026</t>
        </is>
      </c>
    </row>
    <row r="3" ht="25" customHeight="1">
      <c r="B3" s="2" t="inlineStr">
        <is>
          <t>Semester Dashboard</t>
        </is>
      </c>
    </row>
    <row r="5">
      <c r="B5" s="3" t="inlineStr">
        <is>
          <t>Semester</t>
        </is>
      </c>
      <c r="C5" s="4" t="inlineStr">
        <is>
          <t>GPA Goal</t>
        </is>
      </c>
      <c r="D5" s="5" t="inlineStr">
        <is>
          <t>Current GPA</t>
        </is>
      </c>
      <c r="E5" s="3" t="inlineStr">
        <is>
          <t>Credits This Sem</t>
        </is>
      </c>
      <c r="F5" s="4" t="inlineStr">
        <is>
          <t>Total Credits</t>
        </is>
      </c>
    </row>
    <row r="6">
      <c r="B6" s="6" t="inlineStr">
        <is>
          <t>Fall 2026</t>
        </is>
      </c>
      <c r="C6" s="6" t="n">
        <v>3.75</v>
      </c>
      <c r="D6" s="7">
        <f>IF(COUNTA('Grade Calculator'!B5:B12)&gt;0, AVERAGE('Grade Calculator'!K5:K12), 0)</f>
        <v/>
      </c>
      <c r="E6" s="6" t="n">
        <v>16</v>
      </c>
      <c r="F6" s="6" t="n">
        <v>48</v>
      </c>
    </row>
    <row r="8">
      <c r="B8" s="8" t="inlineStr">
        <is>
          <t>CLASSES QUICK VIEW</t>
        </is>
      </c>
    </row>
    <row r="9">
      <c r="A9" s="9" t="n"/>
      <c r="B9" s="9" t="inlineStr">
        <is>
          <t>#</t>
        </is>
      </c>
      <c r="C9" s="9" t="inlineStr">
        <is>
          <t>Class Name</t>
        </is>
      </c>
      <c r="D9" s="9" t="inlineStr">
        <is>
          <t>Course Code</t>
        </is>
      </c>
      <c r="E9" s="9" t="inlineStr">
        <is>
          <t>Credits</t>
        </is>
      </c>
      <c r="F9" s="9" t="inlineStr">
        <is>
          <t>Current Grade</t>
        </is>
      </c>
      <c r="G9" s="9" t="inlineStr">
        <is>
          <t>Letter</t>
        </is>
      </c>
      <c r="H9" s="9" t="inlineStr">
        <is>
          <t>Status</t>
        </is>
      </c>
    </row>
    <row r="10">
      <c r="A10" s="10" t="n"/>
      <c r="B10" s="10" t="n">
        <v>1</v>
      </c>
      <c r="C10" s="10" t="inlineStr">
        <is>
          <t>Intro to Psychology</t>
        </is>
      </c>
      <c r="D10" s="10" t="inlineStr">
        <is>
          <t>PSY 101</t>
        </is>
      </c>
      <c r="E10" s="10" t="n">
        <v>3</v>
      </c>
      <c r="F10" s="10" t="n">
        <v>92</v>
      </c>
      <c r="G10" s="10" t="inlineStr">
        <is>
          <t>A-</t>
        </is>
      </c>
      <c r="H10" s="10" t="inlineStr">
        <is>
          <t>On Track</t>
        </is>
      </c>
    </row>
    <row r="11">
      <c r="A11" s="11" t="n"/>
      <c r="B11" s="11" t="n">
        <v>2</v>
      </c>
      <c r="C11" s="11" t="inlineStr">
        <is>
          <t>Calculus II</t>
        </is>
      </c>
      <c r="D11" s="11" t="inlineStr">
        <is>
          <t>MATH 202</t>
        </is>
      </c>
      <c r="E11" s="11" t="n">
        <v>4</v>
      </c>
      <c r="F11" s="11" t="n">
        <v>87</v>
      </c>
      <c r="G11" s="11" t="inlineStr">
        <is>
          <t>B+</t>
        </is>
      </c>
      <c r="H11" s="11" t="inlineStr">
        <is>
          <t>On Track</t>
        </is>
      </c>
    </row>
    <row r="12">
      <c r="A12" s="10" t="n"/>
      <c r="B12" s="10" t="n">
        <v>3</v>
      </c>
      <c r="C12" s="10" t="inlineStr">
        <is>
          <t>English Composition</t>
        </is>
      </c>
      <c r="D12" s="10" t="inlineStr">
        <is>
          <t>ENG 110</t>
        </is>
      </c>
      <c r="E12" s="10" t="n">
        <v>3</v>
      </c>
      <c r="F12" s="10" t="n">
        <v>95</v>
      </c>
      <c r="G12" s="10" t="inlineStr">
        <is>
          <t>A</t>
        </is>
      </c>
      <c r="H12" s="10" t="inlineStr">
        <is>
          <t>On Track</t>
        </is>
      </c>
    </row>
    <row r="13">
      <c r="A13" s="11" t="n"/>
      <c r="B13" s="11" t="n">
        <v>4</v>
      </c>
      <c r="C13" s="11" t="inlineStr">
        <is>
          <t>Biology I</t>
        </is>
      </c>
      <c r="D13" s="11" t="inlineStr">
        <is>
          <t>BIO 150</t>
        </is>
      </c>
      <c r="E13" s="11" t="n">
        <v>4</v>
      </c>
      <c r="F13" s="11" t="n">
        <v>78</v>
      </c>
      <c r="G13" s="11" t="inlineStr">
        <is>
          <t>C+</t>
        </is>
      </c>
      <c r="H13" s="11" t="inlineStr">
        <is>
          <t>Needs Work</t>
        </is>
      </c>
    </row>
    <row r="14">
      <c r="A14" s="10" t="n"/>
      <c r="B14" s="10" t="n">
        <v>5</v>
      </c>
      <c r="C14" s="10" t="inlineStr">
        <is>
          <t>Art History</t>
        </is>
      </c>
      <c r="D14" s="10" t="inlineStr">
        <is>
          <t>ART 201</t>
        </is>
      </c>
      <c r="E14" s="10" t="n">
        <v>3</v>
      </c>
      <c r="F14" s="10" t="n">
        <v>88</v>
      </c>
      <c r="G14" s="10" t="inlineStr">
        <is>
          <t>B+</t>
        </is>
      </c>
      <c r="H14" s="10" t="inlineStr">
        <is>
          <t>On Track</t>
        </is>
      </c>
    </row>
    <row r="15">
      <c r="A15" s="11" t="n"/>
      <c r="B15" s="11" t="n"/>
      <c r="C15" s="11" t="n"/>
      <c r="D15" s="11" t="n"/>
      <c r="E15" s="11" t="n"/>
      <c r="F15" s="11" t="n"/>
      <c r="G15" s="11" t="n"/>
      <c r="H15" s="11" t="n"/>
    </row>
    <row r="16">
      <c r="A16" s="10" t="n"/>
      <c r="B16" s="10" t="n"/>
      <c r="C16" s="10" t="n"/>
      <c r="D16" s="10" t="n"/>
      <c r="E16" s="10" t="n"/>
      <c r="F16" s="10" t="n"/>
      <c r="G16" s="10" t="n"/>
      <c r="H16" s="10" t="n"/>
    </row>
    <row r="17">
      <c r="A17" s="11" t="n"/>
      <c r="B17" s="11" t="n"/>
      <c r="C17" s="11" t="n"/>
      <c r="D17" s="11" t="n"/>
      <c r="E17" s="11" t="n"/>
      <c r="F17" s="11" t="n"/>
      <c r="G17" s="11" t="n"/>
      <c r="H17" s="11" t="n"/>
    </row>
    <row r="19">
      <c r="B19" s="8" t="inlineStr">
        <is>
          <t>UPCOMING DEADLINES</t>
        </is>
      </c>
    </row>
    <row r="20">
      <c r="A20" s="9" t="n"/>
      <c r="B20" s="9" t="inlineStr">
        <is>
          <t>#</t>
        </is>
      </c>
      <c r="C20" s="9" t="inlineStr">
        <is>
          <t>Assignment</t>
        </is>
      </c>
      <c r="D20" s="9" t="inlineStr">
        <is>
          <t>Class</t>
        </is>
      </c>
      <c r="E20" s="9" t="inlineStr">
        <is>
          <t>Due Date</t>
        </is>
      </c>
      <c r="F20" s="9" t="inlineStr">
        <is>
          <t>Days Left</t>
        </is>
      </c>
      <c r="G20" s="9" t="inlineStr">
        <is>
          <t>Priority</t>
        </is>
      </c>
      <c r="H20" s="9" t="inlineStr">
        <is>
          <t>Status</t>
        </is>
      </c>
    </row>
    <row r="21">
      <c r="A21" s="10" t="n"/>
      <c r="B21" s="10" t="n">
        <v>1</v>
      </c>
      <c r="C21" s="10" t="inlineStr">
        <is>
          <t>Essay Draft</t>
        </is>
      </c>
      <c r="D21" s="10" t="inlineStr">
        <is>
          <t>ENG 110</t>
        </is>
      </c>
      <c r="E21" s="10" t="inlineStr">
        <is>
          <t>2026-02-15</t>
        </is>
      </c>
      <c r="F21" s="10" t="n">
        <v>6</v>
      </c>
      <c r="G21" s="10" t="inlineStr">
        <is>
          <t>High</t>
        </is>
      </c>
      <c r="H21" s="10" t="inlineStr">
        <is>
          <t>In Progress</t>
        </is>
      </c>
    </row>
    <row r="22">
      <c r="A22" s="11" t="n"/>
      <c r="B22" s="11" t="n">
        <v>2</v>
      </c>
      <c r="C22" s="11" t="inlineStr">
        <is>
          <t>Problem Set 5</t>
        </is>
      </c>
      <c r="D22" s="11" t="inlineStr">
        <is>
          <t>MATH 202</t>
        </is>
      </c>
      <c r="E22" s="11" t="inlineStr">
        <is>
          <t>2026-02-16</t>
        </is>
      </c>
      <c r="F22" s="11" t="n">
        <v>7</v>
      </c>
      <c r="G22" s="11" t="inlineStr">
        <is>
          <t>Med</t>
        </is>
      </c>
      <c r="H22" s="11" t="inlineStr">
        <is>
          <t>Not Started</t>
        </is>
      </c>
    </row>
    <row r="23">
      <c r="A23" s="10" t="n"/>
      <c r="B23" s="10" t="n">
        <v>3</v>
      </c>
      <c r="C23" s="10" t="inlineStr">
        <is>
          <t>Lab Report</t>
        </is>
      </c>
      <c r="D23" s="10" t="inlineStr">
        <is>
          <t>BIO 150</t>
        </is>
      </c>
      <c r="E23" s="10" t="inlineStr">
        <is>
          <t>2026-02-18</t>
        </is>
      </c>
      <c r="F23" s="10" t="n">
        <v>9</v>
      </c>
      <c r="G23" s="10" t="inlineStr">
        <is>
          <t>High</t>
        </is>
      </c>
      <c r="H23" s="10" t="inlineStr">
        <is>
          <t>In Progress</t>
        </is>
      </c>
    </row>
    <row r="24">
      <c r="A24" s="11" t="n"/>
      <c r="B24" s="11" t="n">
        <v>4</v>
      </c>
      <c r="C24" s="11" t="inlineStr">
        <is>
          <t>Chapter Reading</t>
        </is>
      </c>
      <c r="D24" s="11" t="inlineStr">
        <is>
          <t>PSY 101</t>
        </is>
      </c>
      <c r="E24" s="11" t="inlineStr">
        <is>
          <t>2026-02-20</t>
        </is>
      </c>
      <c r="F24" s="11" t="n">
        <v>11</v>
      </c>
      <c r="G24" s="11" t="inlineStr">
        <is>
          <t>Low</t>
        </is>
      </c>
      <c r="H24" s="11" t="inlineStr">
        <is>
          <t>Not Started</t>
        </is>
      </c>
    </row>
    <row r="25">
      <c r="A25" s="10" t="n"/>
      <c r="B25" s="10" t="n">
        <v>5</v>
      </c>
      <c r="C25" s="10" t="inlineStr">
        <is>
          <t>Midterm Study</t>
        </is>
      </c>
      <c r="D25" s="10" t="inlineStr">
        <is>
          <t>ART 201</t>
        </is>
      </c>
      <c r="E25" s="10" t="inlineStr">
        <is>
          <t>2026-02-25</t>
        </is>
      </c>
      <c r="F25" s="10" t="n">
        <v>16</v>
      </c>
      <c r="G25" s="10" t="inlineStr">
        <is>
          <t>Urgent</t>
        </is>
      </c>
      <c r="H25" s="10" t="inlineStr">
        <is>
          <t>Not Started</t>
        </is>
      </c>
    </row>
    <row r="26">
      <c r="A26" s="11" t="n"/>
      <c r="B26" s="11" t="n"/>
      <c r="C26" s="11" t="n"/>
      <c r="D26" s="11" t="n"/>
      <c r="E26" s="11" t="n"/>
      <c r="F26" s="11" t="n"/>
      <c r="G26" s="11" t="n"/>
      <c r="H26" s="11" t="n"/>
    </row>
    <row r="27">
      <c r="A27" s="10" t="n"/>
      <c r="B27" s="10" t="n"/>
      <c r="C27" s="10" t="n"/>
      <c r="D27" s="10" t="n"/>
      <c r="E27" s="10" t="n"/>
      <c r="F27" s="10" t="n"/>
      <c r="G27" s="10" t="n"/>
      <c r="H27" s="10" t="n"/>
    </row>
    <row r="28">
      <c r="A28" s="11" t="n"/>
      <c r="B28" s="11" t="n"/>
      <c r="C28" s="11" t="n"/>
      <c r="D28" s="11" t="n"/>
      <c r="E28" s="11" t="n"/>
      <c r="F28" s="11" t="n"/>
      <c r="G28" s="11" t="n"/>
      <c r="H28" s="11" t="n"/>
    </row>
  </sheetData>
  <mergeCells count="4">
    <mergeCell ref="B3:H3"/>
    <mergeCell ref="B8:H8"/>
    <mergeCell ref="B2:H2"/>
    <mergeCell ref="B19:H19"/>
  </mergeCells>
  <conditionalFormatting sqref="G21:G28">
    <cfRule type="cellIs" priority="1" operator="equal" dxfId="0">
      <formula>"Urgent"</formula>
    </cfRule>
  </conditionalFormatting>
  <pageMargins left="0.75" right="0.75" top="1" bottom="1" header="0.5" footer="0.5"/>
</worksheet>
</file>

<file path=xl/worksheets/sheet2.xml><?xml version="1.0" encoding="utf-8"?>
<worksheet xmlns="http://schemas.openxmlformats.org/spreadsheetml/2006/main">
  <sheetPr>
    <tabColor rgb="00805AD5"/>
    <outlinePr summaryBelow="1" summaryRight="1"/>
    <pageSetUpPr/>
  </sheetPr>
  <dimension ref="A1:K10"/>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18" customWidth="1" min="3" max="3"/>
    <col width="12" customWidth="1" min="4" max="4"/>
    <col width="12" customWidth="1" min="5" max="5"/>
    <col width="12" customWidth="1" min="6" max="6"/>
    <col width="12" customWidth="1" min="7" max="7"/>
    <col width="10" customWidth="1" min="8" max="8"/>
    <col width="18" customWidth="1" min="9" max="9"/>
    <col width="22" customWidth="1" min="10" max="10"/>
    <col width="20" customWidth="1" min="11" max="11"/>
  </cols>
  <sheetData>
    <row r="1" ht="40" customHeight="1">
      <c r="A1" s="12" t="inlineStr">
        <is>
          <t>CLASS SCHEDULE — FALL 2026</t>
        </is>
      </c>
    </row>
    <row r="2">
      <c r="A2" s="9" t="inlineStr">
        <is>
          <t>Class Name</t>
        </is>
      </c>
      <c r="B2" s="9" t="inlineStr">
        <is>
          <t>Course Code</t>
        </is>
      </c>
      <c r="C2" s="9" t="inlineStr">
        <is>
          <t>Professor</t>
        </is>
      </c>
      <c r="D2" s="9" t="inlineStr">
        <is>
          <t>Room</t>
        </is>
      </c>
      <c r="E2" s="9" t="inlineStr">
        <is>
          <t>Days</t>
        </is>
      </c>
      <c r="F2" s="9" t="inlineStr">
        <is>
          <t>Start Time</t>
        </is>
      </c>
      <c r="G2" s="9" t="inlineStr">
        <is>
          <t>End Time</t>
        </is>
      </c>
      <c r="H2" s="9" t="inlineStr">
        <is>
          <t>Credits</t>
        </is>
      </c>
      <c r="I2" s="9" t="inlineStr">
        <is>
          <t>Office Hours</t>
        </is>
      </c>
      <c r="J2" s="9" t="inlineStr">
        <is>
          <t>TA Contact</t>
        </is>
      </c>
      <c r="K2" s="9" t="inlineStr">
        <is>
          <t>Notes</t>
        </is>
      </c>
    </row>
    <row r="3">
      <c r="A3" s="10" t="inlineStr">
        <is>
          <t>Intro to Psychology</t>
        </is>
      </c>
      <c r="B3" s="10" t="inlineStr">
        <is>
          <t>PSY 101</t>
        </is>
      </c>
      <c r="C3" s="10" t="inlineStr">
        <is>
          <t>Dr. Martinez</t>
        </is>
      </c>
      <c r="D3" s="10" t="inlineStr">
        <is>
          <t>Hall 204</t>
        </is>
      </c>
      <c r="E3" s="10" t="inlineStr">
        <is>
          <t>MWF</t>
        </is>
      </c>
      <c r="F3" s="10" t="inlineStr">
        <is>
          <t>9:00 AM</t>
        </is>
      </c>
      <c r="G3" s="10" t="inlineStr">
        <is>
          <t>9:50 AM</t>
        </is>
      </c>
      <c r="H3" s="10" t="n">
        <v>3</v>
      </c>
      <c r="I3" s="10" t="inlineStr">
        <is>
          <t>Tue 2-4 PM</t>
        </is>
      </c>
      <c r="J3" s="10" t="inlineStr">
        <is>
          <t>jsmith@univ.edu</t>
        </is>
      </c>
      <c r="K3" s="10" t="inlineStr">
        <is>
          <t>Bring textbook</t>
        </is>
      </c>
    </row>
    <row r="4">
      <c r="A4" s="11" t="inlineStr">
        <is>
          <t>Calculus II</t>
        </is>
      </c>
      <c r="B4" s="11" t="inlineStr">
        <is>
          <t>MATH 202</t>
        </is>
      </c>
      <c r="C4" s="11" t="inlineStr">
        <is>
          <t>Prof. Chen</t>
        </is>
      </c>
      <c r="D4" s="11" t="inlineStr">
        <is>
          <t>Sci 301</t>
        </is>
      </c>
      <c r="E4" s="11" t="inlineStr">
        <is>
          <t>TTh</t>
        </is>
      </c>
      <c r="F4" s="11" t="inlineStr">
        <is>
          <t>10:30 AM</t>
        </is>
      </c>
      <c r="G4" s="11" t="inlineStr">
        <is>
          <t>11:45 AM</t>
        </is>
      </c>
      <c r="H4" s="11" t="n">
        <v>4</v>
      </c>
      <c r="I4" s="11" t="inlineStr">
        <is>
          <t>Mon 3-5 PM</t>
        </is>
      </c>
      <c r="J4" s="11" t="inlineStr">
        <is>
          <t>kwong@univ.edu</t>
        </is>
      </c>
      <c r="K4" s="11" t="inlineStr">
        <is>
          <t>Graphing calc req.</t>
        </is>
      </c>
    </row>
    <row r="5">
      <c r="A5" s="10" t="inlineStr">
        <is>
          <t>English Composition</t>
        </is>
      </c>
      <c r="B5" s="10" t="inlineStr">
        <is>
          <t>ENG 110</t>
        </is>
      </c>
      <c r="C5" s="10" t="inlineStr">
        <is>
          <t>Dr. Williams</t>
        </is>
      </c>
      <c r="D5" s="10" t="inlineStr">
        <is>
          <t>Lib 105</t>
        </is>
      </c>
      <c r="E5" s="10" t="inlineStr">
        <is>
          <t>MWF</t>
        </is>
      </c>
      <c r="F5" s="10" t="inlineStr">
        <is>
          <t>1:00 PM</t>
        </is>
      </c>
      <c r="G5" s="10" t="inlineStr">
        <is>
          <t>1:50 PM</t>
        </is>
      </c>
      <c r="H5" s="10" t="n">
        <v>3</v>
      </c>
      <c r="I5" s="10" t="inlineStr">
        <is>
          <t>Wed 1-3 PM</t>
        </is>
      </c>
      <c r="J5" s="10" t="inlineStr">
        <is>
          <t>alee@univ.edu</t>
        </is>
      </c>
      <c r="K5" s="10" t="inlineStr"/>
    </row>
    <row r="6">
      <c r="A6" s="11" t="inlineStr">
        <is>
          <t>Biology I</t>
        </is>
      </c>
      <c r="B6" s="11" t="inlineStr">
        <is>
          <t>BIO 150</t>
        </is>
      </c>
      <c r="C6" s="11" t="inlineStr">
        <is>
          <t>Prof. Patel</t>
        </is>
      </c>
      <c r="D6" s="11" t="inlineStr">
        <is>
          <t>Bio 210</t>
        </is>
      </c>
      <c r="E6" s="11" t="inlineStr">
        <is>
          <t>TTh</t>
        </is>
      </c>
      <c r="F6" s="11" t="inlineStr">
        <is>
          <t>2:00 PM</t>
        </is>
      </c>
      <c r="G6" s="11" t="inlineStr">
        <is>
          <t>3:15 PM</t>
        </is>
      </c>
      <c r="H6" s="11" t="n">
        <v>4</v>
      </c>
      <c r="I6" s="11" t="inlineStr">
        <is>
          <t>Fri 10-12 PM</t>
        </is>
      </c>
      <c r="J6" s="11" t="inlineStr">
        <is>
          <t>mross@univ.edu</t>
        </is>
      </c>
      <c r="K6" s="11" t="inlineStr">
        <is>
          <t>Lab Thursdays</t>
        </is>
      </c>
    </row>
    <row r="7">
      <c r="A7" s="10" t="inlineStr">
        <is>
          <t>Art History</t>
        </is>
      </c>
      <c r="B7" s="10" t="inlineStr">
        <is>
          <t>ART 201</t>
        </is>
      </c>
      <c r="C7" s="10" t="inlineStr">
        <is>
          <t>Dr. Nakamura</t>
        </is>
      </c>
      <c r="D7" s="10" t="inlineStr">
        <is>
          <t>Art 102</t>
        </is>
      </c>
      <c r="E7" s="10" t="inlineStr">
        <is>
          <t>MW</t>
        </is>
      </c>
      <c r="F7" s="10" t="inlineStr">
        <is>
          <t>4:00 PM</t>
        </is>
      </c>
      <c r="G7" s="10" t="inlineStr">
        <is>
          <t>5:15 PM</t>
        </is>
      </c>
      <c r="H7" s="10" t="n">
        <v>3</v>
      </c>
      <c r="I7" s="10" t="inlineStr">
        <is>
          <t>Thu 1-3 PM</t>
        </is>
      </c>
      <c r="J7" s="10" t="inlineStr"/>
      <c r="K7" s="10" t="inlineStr">
        <is>
          <t>Museum visit Feb</t>
        </is>
      </c>
    </row>
    <row r="8">
      <c r="A8" s="11" t="n"/>
      <c r="B8" s="11" t="n"/>
      <c r="C8" s="11" t="n"/>
      <c r="D8" s="11" t="n"/>
      <c r="E8" s="11" t="n"/>
      <c r="F8" s="11" t="n"/>
      <c r="G8" s="11" t="n"/>
      <c r="H8" s="11" t="n"/>
      <c r="I8" s="11" t="n"/>
      <c r="J8" s="11" t="n"/>
      <c r="K8" s="11" t="n"/>
    </row>
    <row r="9">
      <c r="A9" s="10" t="n"/>
      <c r="B9" s="10" t="n"/>
      <c r="C9" s="10" t="n"/>
      <c r="D9" s="10" t="n"/>
      <c r="E9" s="10" t="n"/>
      <c r="F9" s="10" t="n"/>
      <c r="G9" s="10" t="n"/>
      <c r="H9" s="10" t="n"/>
      <c r="I9" s="10" t="n"/>
      <c r="J9" s="10" t="n"/>
      <c r="K9" s="10" t="n"/>
    </row>
    <row r="10">
      <c r="A10" s="11" t="n"/>
      <c r="B10" s="11" t="n"/>
      <c r="C10" s="11" t="n"/>
      <c r="D10" s="11" t="n"/>
      <c r="E10" s="11" t="n"/>
      <c r="F10" s="11" t="n"/>
      <c r="G10" s="11" t="n"/>
      <c r="H10" s="11" t="n"/>
      <c r="I10" s="11" t="n"/>
      <c r="J10" s="11" t="n"/>
      <c r="K10" s="11" t="n"/>
    </row>
  </sheetData>
  <mergeCells count="1">
    <mergeCell ref="A1:K1"/>
  </mergeCells>
  <dataValidations count="1">
    <dataValidation sqref="E3 E4 E5 E6 E7 E8 E9 E10" showDropDown="0" showInputMessage="0" showErrorMessage="0" allowBlank="1" prompt="Select days" type="list">
      <formula1>"MWF,TTh,MW,Daily,Online"</formula1>
    </dataValidation>
  </dataValidations>
  <pageMargins left="0.75" right="0.75" top="1" bottom="1" header="0.5" footer="0.5"/>
</worksheet>
</file>

<file path=xl/worksheets/sheet3.xml><?xml version="1.0" encoding="utf-8"?>
<worksheet xmlns="http://schemas.openxmlformats.org/spreadsheetml/2006/main">
  <sheetPr>
    <tabColor rgb="00319795"/>
    <outlinePr summaryBelow="1" summaryRight="1"/>
    <pageSetUpPr/>
  </sheetPr>
  <dimension ref="A1:K102"/>
  <sheetViews>
    <sheetView workbookViewId="0">
      <pane ySplit="2" topLeftCell="A3" activePane="bottomLeft" state="frozen"/>
      <selection pane="bottomLeft" activeCell="A1" sqref="A1"/>
    </sheetView>
  </sheetViews>
  <sheetFormatPr baseColWidth="8" defaultRowHeight="15"/>
  <cols>
    <col width="20" customWidth="1" min="1" max="1"/>
    <col width="24" customWidth="1" min="2" max="2"/>
    <col width="14" customWidth="1" min="3" max="3"/>
    <col width="14" customWidth="1" min="4" max="4"/>
    <col width="14" customWidth="1" min="5" max="5"/>
    <col width="12" customWidth="1" min="6" max="6"/>
    <col width="10" customWidth="1" min="7" max="7"/>
    <col width="10" customWidth="1" min="8" max="8"/>
    <col width="14" customWidth="1" min="9" max="9"/>
    <col width="12" customWidth="1" min="10" max="10"/>
    <col width="22" customWidth="1" min="11" max="11"/>
  </cols>
  <sheetData>
    <row r="1" ht="40" customHeight="1">
      <c r="A1" s="12" t="inlineStr">
        <is>
          <t>ASSIGNMENT TRACKER</t>
        </is>
      </c>
    </row>
    <row r="2">
      <c r="A2" s="9" t="inlineStr">
        <is>
          <t>Class</t>
        </is>
      </c>
      <c r="B2" s="9" t="inlineStr">
        <is>
          <t>Assignment Name</t>
        </is>
      </c>
      <c r="C2" s="9" t="inlineStr">
        <is>
          <t>Type</t>
        </is>
      </c>
      <c r="D2" s="9" t="inlineStr">
        <is>
          <t>Date Assigned</t>
        </is>
      </c>
      <c r="E2" s="9" t="inlineStr">
        <is>
          <t>Due Date</t>
        </is>
      </c>
      <c r="F2" s="9" t="inlineStr">
        <is>
          <t>Days Left</t>
        </is>
      </c>
      <c r="G2" s="9" t="inlineStr">
        <is>
          <t>Weight %</t>
        </is>
      </c>
      <c r="H2" s="9" t="inlineStr">
        <is>
          <t>Grade</t>
        </is>
      </c>
      <c r="I2" s="9" t="inlineStr">
        <is>
          <t>Status</t>
        </is>
      </c>
      <c r="J2" s="9" t="inlineStr">
        <is>
          <t>Priority</t>
        </is>
      </c>
      <c r="K2" s="9" t="inlineStr">
        <is>
          <t>Notes</t>
        </is>
      </c>
    </row>
    <row r="3">
      <c r="A3" s="10" t="inlineStr">
        <is>
          <t>PSY 101</t>
        </is>
      </c>
      <c r="B3" s="10" t="inlineStr">
        <is>
          <t>Chapter 3 Reading</t>
        </is>
      </c>
      <c r="C3" s="10" t="inlineStr">
        <is>
          <t>Homework</t>
        </is>
      </c>
      <c r="D3" s="13" t="inlineStr">
        <is>
          <t>2026-02-01</t>
        </is>
      </c>
      <c r="E3" s="13" t="inlineStr">
        <is>
          <t>2026-02-08</t>
        </is>
      </c>
      <c r="F3" s="14">
        <f>IF(E3="","",MAX(0,E3-TODAY()))</f>
        <v/>
      </c>
      <c r="G3" s="10" t="n">
        <v>5</v>
      </c>
      <c r="H3" s="10" t="n">
        <v>95</v>
      </c>
      <c r="I3" s="10" t="inlineStr">
        <is>
          <t>Graded</t>
        </is>
      </c>
      <c r="J3" s="10" t="inlineStr">
        <is>
          <t>Low</t>
        </is>
      </c>
      <c r="K3" s="10" t="inlineStr"/>
    </row>
    <row r="4">
      <c r="A4" s="11" t="inlineStr">
        <is>
          <t>MATH 202</t>
        </is>
      </c>
      <c r="B4" s="11" t="inlineStr">
        <is>
          <t>Problem Set 4</t>
        </is>
      </c>
      <c r="C4" s="11" t="inlineStr">
        <is>
          <t>Homework</t>
        </is>
      </c>
      <c r="D4" s="15" t="inlineStr">
        <is>
          <t>2026-02-03</t>
        </is>
      </c>
      <c r="E4" s="15" t="inlineStr">
        <is>
          <t>2026-02-10</t>
        </is>
      </c>
      <c r="F4" s="16">
        <f>IF(E4="","",MAX(0,E4-TODAY()))</f>
        <v/>
      </c>
      <c r="G4" s="11" t="n">
        <v>5</v>
      </c>
      <c r="H4" s="11" t="n">
        <v>88</v>
      </c>
      <c r="I4" s="11" t="inlineStr">
        <is>
          <t>Graded</t>
        </is>
      </c>
      <c r="J4" s="11" t="inlineStr">
        <is>
          <t>Med</t>
        </is>
      </c>
      <c r="K4" s="11" t="inlineStr">
        <is>
          <t>Show work</t>
        </is>
      </c>
    </row>
    <row r="5">
      <c r="A5" s="10" t="inlineStr">
        <is>
          <t>ENG 110</t>
        </is>
      </c>
      <c r="B5" s="10" t="inlineStr">
        <is>
          <t>Persuasive Essay Draft</t>
        </is>
      </c>
      <c r="C5" s="10" t="inlineStr">
        <is>
          <t>Essay</t>
        </is>
      </c>
      <c r="D5" s="13" t="inlineStr">
        <is>
          <t>2026-02-05</t>
        </is>
      </c>
      <c r="E5" s="13" t="inlineStr">
        <is>
          <t>2026-02-15</t>
        </is>
      </c>
      <c r="F5" s="14">
        <f>IF(E5="","",MAX(0,E5-TODAY()))</f>
        <v/>
      </c>
      <c r="G5" s="10" t="n">
        <v>15</v>
      </c>
      <c r="H5" s="10" t="inlineStr"/>
      <c r="I5" s="10" t="inlineStr">
        <is>
          <t>In Progress</t>
        </is>
      </c>
      <c r="J5" s="10" t="inlineStr">
        <is>
          <t>High</t>
        </is>
      </c>
      <c r="K5" s="10" t="inlineStr">
        <is>
          <t>MLA format</t>
        </is>
      </c>
    </row>
    <row r="6">
      <c r="A6" s="11" t="inlineStr">
        <is>
          <t>BIO 150</t>
        </is>
      </c>
      <c r="B6" s="11" t="inlineStr">
        <is>
          <t>Lab Report: Osmosis</t>
        </is>
      </c>
      <c r="C6" s="11" t="inlineStr">
        <is>
          <t>Lab</t>
        </is>
      </c>
      <c r="D6" s="15" t="inlineStr">
        <is>
          <t>2026-02-06</t>
        </is>
      </c>
      <c r="E6" s="15" t="inlineStr">
        <is>
          <t>2026-02-18</t>
        </is>
      </c>
      <c r="F6" s="16">
        <f>IF(E6="","",MAX(0,E6-TODAY()))</f>
        <v/>
      </c>
      <c r="G6" s="11" t="n">
        <v>10</v>
      </c>
      <c r="H6" s="11" t="inlineStr"/>
      <c r="I6" s="11" t="inlineStr">
        <is>
          <t>In Progress</t>
        </is>
      </c>
      <c r="J6" s="11" t="inlineStr">
        <is>
          <t>High</t>
        </is>
      </c>
      <c r="K6" s="11" t="inlineStr">
        <is>
          <t>Include graphs</t>
        </is>
      </c>
    </row>
    <row r="7">
      <c r="A7" s="10" t="inlineStr">
        <is>
          <t>ART 201</t>
        </is>
      </c>
      <c r="B7" s="10" t="inlineStr">
        <is>
          <t>Museum Response Paper</t>
        </is>
      </c>
      <c r="C7" s="10" t="inlineStr">
        <is>
          <t>Essay</t>
        </is>
      </c>
      <c r="D7" s="13" t="inlineStr">
        <is>
          <t>2026-02-07</t>
        </is>
      </c>
      <c r="E7" s="13" t="inlineStr">
        <is>
          <t>2026-02-20</t>
        </is>
      </c>
      <c r="F7" s="14">
        <f>IF(E7="","",MAX(0,E7-TODAY()))</f>
        <v/>
      </c>
      <c r="G7" s="10" t="n">
        <v>10</v>
      </c>
      <c r="H7" s="10" t="inlineStr"/>
      <c r="I7" s="10" t="inlineStr">
        <is>
          <t>Not Started</t>
        </is>
      </c>
      <c r="J7" s="10" t="inlineStr">
        <is>
          <t>Med</t>
        </is>
      </c>
      <c r="K7" s="10" t="inlineStr">
        <is>
          <t>Visit art museum</t>
        </is>
      </c>
    </row>
    <row r="8">
      <c r="A8" s="11" t="inlineStr">
        <is>
          <t>MATH 202</t>
        </is>
      </c>
      <c r="B8" s="11" t="inlineStr">
        <is>
          <t>Problem Set 5</t>
        </is>
      </c>
      <c r="C8" s="11" t="inlineStr">
        <is>
          <t>Homework</t>
        </is>
      </c>
      <c r="D8" s="15" t="inlineStr">
        <is>
          <t>2026-02-10</t>
        </is>
      </c>
      <c r="E8" s="15" t="inlineStr">
        <is>
          <t>2026-02-16</t>
        </is>
      </c>
      <c r="F8" s="16">
        <f>IF(E8="","",MAX(0,E8-TODAY()))</f>
        <v/>
      </c>
      <c r="G8" s="11" t="n">
        <v>5</v>
      </c>
      <c r="H8" s="11" t="inlineStr"/>
      <c r="I8" s="11" t="inlineStr">
        <is>
          <t>Not Started</t>
        </is>
      </c>
      <c r="J8" s="11" t="inlineStr">
        <is>
          <t>Med</t>
        </is>
      </c>
      <c r="K8" s="11" t="inlineStr">
        <is>
          <t>Ch 7-8</t>
        </is>
      </c>
    </row>
    <row r="9">
      <c r="A9" s="10" t="inlineStr">
        <is>
          <t>PSY 101</t>
        </is>
      </c>
      <c r="B9" s="10" t="inlineStr">
        <is>
          <t>Research Proposal</t>
        </is>
      </c>
      <c r="C9" s="10" t="inlineStr">
        <is>
          <t>Project</t>
        </is>
      </c>
      <c r="D9" s="13" t="inlineStr">
        <is>
          <t>2026-02-10</t>
        </is>
      </c>
      <c r="E9" s="13" t="inlineStr">
        <is>
          <t>2026-03-01</t>
        </is>
      </c>
      <c r="F9" s="14">
        <f>IF(E9="","",MAX(0,E9-TODAY()))</f>
        <v/>
      </c>
      <c r="G9" s="10" t="n">
        <v>20</v>
      </c>
      <c r="H9" s="10" t="inlineStr"/>
      <c r="I9" s="10" t="inlineStr">
        <is>
          <t>Not Started</t>
        </is>
      </c>
      <c r="J9" s="10" t="inlineStr">
        <is>
          <t>High</t>
        </is>
      </c>
      <c r="K9" s="10" t="inlineStr">
        <is>
          <t>APA format</t>
        </is>
      </c>
    </row>
    <row r="10">
      <c r="A10" s="11" t="inlineStr">
        <is>
          <t>BIO 150</t>
        </is>
      </c>
      <c r="B10" s="11" t="inlineStr">
        <is>
          <t>Midterm Exam</t>
        </is>
      </c>
      <c r="C10" s="11" t="inlineStr">
        <is>
          <t>Exam</t>
        </is>
      </c>
      <c r="D10" s="15" t="inlineStr">
        <is>
          <t>2026-02-01</t>
        </is>
      </c>
      <c r="E10" s="15" t="inlineStr">
        <is>
          <t>2026-02-25</t>
        </is>
      </c>
      <c r="F10" s="16">
        <f>IF(E10="","",MAX(0,E10-TODAY()))</f>
        <v/>
      </c>
      <c r="G10" s="11" t="n">
        <v>25</v>
      </c>
      <c r="H10" s="11" t="inlineStr"/>
      <c r="I10" s="11" t="inlineStr">
        <is>
          <t>Not Started</t>
        </is>
      </c>
      <c r="J10" s="11" t="inlineStr">
        <is>
          <t>Urgent</t>
        </is>
      </c>
      <c r="K10" s="11" t="inlineStr">
        <is>
          <t>Ch 1-8</t>
        </is>
      </c>
    </row>
    <row r="11">
      <c r="A11" s="10" t="inlineStr">
        <is>
          <t>ENG 110</t>
        </is>
      </c>
      <c r="B11" s="10" t="inlineStr">
        <is>
          <t>Peer Review</t>
        </is>
      </c>
      <c r="C11" s="10" t="inlineStr">
        <is>
          <t>Other</t>
        </is>
      </c>
      <c r="D11" s="13" t="inlineStr">
        <is>
          <t>2026-02-15</t>
        </is>
      </c>
      <c r="E11" s="13" t="inlineStr">
        <is>
          <t>2026-02-22</t>
        </is>
      </c>
      <c r="F11" s="14">
        <f>IF(E11="","",MAX(0,E11-TODAY()))</f>
        <v/>
      </c>
      <c r="G11" s="10" t="n">
        <v>5</v>
      </c>
      <c r="H11" s="10" t="inlineStr"/>
      <c r="I11" s="10" t="inlineStr">
        <is>
          <t>Not Started</t>
        </is>
      </c>
      <c r="J11" s="10" t="inlineStr">
        <is>
          <t>Low</t>
        </is>
      </c>
      <c r="K11" s="10" t="inlineStr">
        <is>
          <t>Review 2 essays</t>
        </is>
      </c>
    </row>
    <row r="12">
      <c r="A12" s="11" t="inlineStr">
        <is>
          <t>ART 201</t>
        </is>
      </c>
      <c r="B12" s="11" t="inlineStr">
        <is>
          <t>Midterm Presentation</t>
        </is>
      </c>
      <c r="C12" s="11" t="inlineStr">
        <is>
          <t>Presentation</t>
        </is>
      </c>
      <c r="D12" s="15" t="inlineStr">
        <is>
          <t>2026-02-10</t>
        </is>
      </c>
      <c r="E12" s="15" t="inlineStr">
        <is>
          <t>2026-02-28</t>
        </is>
      </c>
      <c r="F12" s="16">
        <f>IF(E12="","",MAX(0,E12-TODAY()))</f>
        <v/>
      </c>
      <c r="G12" s="11" t="n">
        <v>20</v>
      </c>
      <c r="H12" s="11" t="inlineStr"/>
      <c r="I12" s="11" t="inlineStr">
        <is>
          <t>Not Started</t>
        </is>
      </c>
      <c r="J12" s="11" t="inlineStr">
        <is>
          <t>High</t>
        </is>
      </c>
      <c r="K12" s="11" t="inlineStr">
        <is>
          <t>10 min + slides</t>
        </is>
      </c>
    </row>
    <row r="13">
      <c r="A13" s="10" t="n"/>
      <c r="B13" s="10" t="n"/>
      <c r="C13" s="10" t="n"/>
      <c r="D13" s="10" t="n"/>
      <c r="E13" s="10" t="n"/>
      <c r="F13" s="14">
        <f>IF(E13="","",MAX(0,E13-TODAY()))</f>
        <v/>
      </c>
      <c r="G13" s="10" t="n"/>
      <c r="H13" s="10" t="n"/>
      <c r="I13" s="10" t="n"/>
      <c r="J13" s="10" t="n"/>
      <c r="K13" s="10" t="n"/>
    </row>
    <row r="14">
      <c r="A14" s="11" t="n"/>
      <c r="B14" s="11" t="n"/>
      <c r="C14" s="11" t="n"/>
      <c r="D14" s="11" t="n"/>
      <c r="E14" s="11" t="n"/>
      <c r="F14" s="16">
        <f>IF(E14="","",MAX(0,E14-TODAY()))</f>
        <v/>
      </c>
      <c r="G14" s="11" t="n"/>
      <c r="H14" s="11" t="n"/>
      <c r="I14" s="11" t="n"/>
      <c r="J14" s="11" t="n"/>
      <c r="K14" s="11" t="n"/>
    </row>
    <row r="15">
      <c r="A15" s="10" t="n"/>
      <c r="B15" s="10" t="n"/>
      <c r="C15" s="10" t="n"/>
      <c r="D15" s="10" t="n"/>
      <c r="E15" s="10" t="n"/>
      <c r="F15" s="14">
        <f>IF(E15="","",MAX(0,E15-TODAY()))</f>
        <v/>
      </c>
      <c r="G15" s="10" t="n"/>
      <c r="H15" s="10" t="n"/>
      <c r="I15" s="10" t="n"/>
      <c r="J15" s="10" t="n"/>
      <c r="K15" s="10" t="n"/>
    </row>
    <row r="16">
      <c r="A16" s="11" t="n"/>
      <c r="B16" s="11" t="n"/>
      <c r="C16" s="11" t="n"/>
      <c r="D16" s="11" t="n"/>
      <c r="E16" s="11" t="n"/>
      <c r="F16" s="16">
        <f>IF(E16="","",MAX(0,E16-TODAY()))</f>
        <v/>
      </c>
      <c r="G16" s="11" t="n"/>
      <c r="H16" s="11" t="n"/>
      <c r="I16" s="11" t="n"/>
      <c r="J16" s="11" t="n"/>
      <c r="K16" s="11" t="n"/>
    </row>
    <row r="17">
      <c r="A17" s="10" t="n"/>
      <c r="B17" s="10" t="n"/>
      <c r="C17" s="10" t="n"/>
      <c r="D17" s="10" t="n"/>
      <c r="E17" s="10" t="n"/>
      <c r="F17" s="14">
        <f>IF(E17="","",MAX(0,E17-TODAY()))</f>
        <v/>
      </c>
      <c r="G17" s="10" t="n"/>
      <c r="H17" s="10" t="n"/>
      <c r="I17" s="10" t="n"/>
      <c r="J17" s="10" t="n"/>
      <c r="K17" s="10" t="n"/>
    </row>
    <row r="18">
      <c r="A18" s="11" t="n"/>
      <c r="B18" s="11" t="n"/>
      <c r="C18" s="11" t="n"/>
      <c r="D18" s="11" t="n"/>
      <c r="E18" s="11" t="n"/>
      <c r="F18" s="16">
        <f>IF(E18="","",MAX(0,E18-TODAY()))</f>
        <v/>
      </c>
      <c r="G18" s="11" t="n"/>
      <c r="H18" s="11" t="n"/>
      <c r="I18" s="11" t="n"/>
      <c r="J18" s="11" t="n"/>
      <c r="K18" s="11" t="n"/>
    </row>
    <row r="19">
      <c r="A19" s="10" t="n"/>
      <c r="B19" s="10" t="n"/>
      <c r="C19" s="10" t="n"/>
      <c r="D19" s="10" t="n"/>
      <c r="E19" s="10" t="n"/>
      <c r="F19" s="14">
        <f>IF(E19="","",MAX(0,E19-TODAY()))</f>
        <v/>
      </c>
      <c r="G19" s="10" t="n"/>
      <c r="H19" s="10" t="n"/>
      <c r="I19" s="10" t="n"/>
      <c r="J19" s="10" t="n"/>
      <c r="K19" s="10" t="n"/>
    </row>
    <row r="20">
      <c r="A20" s="11" t="n"/>
      <c r="B20" s="11" t="n"/>
      <c r="C20" s="11" t="n"/>
      <c r="D20" s="11" t="n"/>
      <c r="E20" s="11" t="n"/>
      <c r="F20" s="16">
        <f>IF(E20="","",MAX(0,E20-TODAY()))</f>
        <v/>
      </c>
      <c r="G20" s="11" t="n"/>
      <c r="H20" s="11" t="n"/>
      <c r="I20" s="11" t="n"/>
      <c r="J20" s="11" t="n"/>
      <c r="K20" s="11" t="n"/>
    </row>
    <row r="21">
      <c r="A21" s="10" t="n"/>
      <c r="B21" s="10" t="n"/>
      <c r="C21" s="10" t="n"/>
      <c r="D21" s="10" t="n"/>
      <c r="E21" s="10" t="n"/>
      <c r="F21" s="14">
        <f>IF(E21="","",MAX(0,E21-TODAY()))</f>
        <v/>
      </c>
      <c r="G21" s="10" t="n"/>
      <c r="H21" s="10" t="n"/>
      <c r="I21" s="10" t="n"/>
      <c r="J21" s="10" t="n"/>
      <c r="K21" s="10" t="n"/>
    </row>
    <row r="22">
      <c r="A22" s="11" t="n"/>
      <c r="B22" s="11" t="n"/>
      <c r="C22" s="11" t="n"/>
      <c r="D22" s="11" t="n"/>
      <c r="E22" s="11" t="n"/>
      <c r="F22" s="16">
        <f>IF(E22="","",MAX(0,E22-TODAY()))</f>
        <v/>
      </c>
      <c r="G22" s="11" t="n"/>
      <c r="H22" s="11" t="n"/>
      <c r="I22" s="11" t="n"/>
      <c r="J22" s="11" t="n"/>
      <c r="K22" s="11" t="n"/>
    </row>
    <row r="23">
      <c r="A23" s="10" t="n"/>
      <c r="B23" s="10" t="n"/>
      <c r="C23" s="10" t="n"/>
      <c r="D23" s="10" t="n"/>
      <c r="E23" s="10" t="n"/>
      <c r="F23" s="14">
        <f>IF(E23="","",MAX(0,E23-TODAY()))</f>
        <v/>
      </c>
      <c r="G23" s="10" t="n"/>
      <c r="H23" s="10" t="n"/>
      <c r="I23" s="10" t="n"/>
      <c r="J23" s="10" t="n"/>
      <c r="K23" s="10" t="n"/>
    </row>
    <row r="24">
      <c r="A24" s="11" t="n"/>
      <c r="B24" s="11" t="n"/>
      <c r="C24" s="11" t="n"/>
      <c r="D24" s="11" t="n"/>
      <c r="E24" s="11" t="n"/>
      <c r="F24" s="16">
        <f>IF(E24="","",MAX(0,E24-TODAY()))</f>
        <v/>
      </c>
      <c r="G24" s="11" t="n"/>
      <c r="H24" s="11" t="n"/>
      <c r="I24" s="11" t="n"/>
      <c r="J24" s="11" t="n"/>
      <c r="K24" s="11" t="n"/>
    </row>
    <row r="25">
      <c r="A25" s="10" t="n"/>
      <c r="B25" s="10" t="n"/>
      <c r="C25" s="10" t="n"/>
      <c r="D25" s="10" t="n"/>
      <c r="E25" s="10" t="n"/>
      <c r="F25" s="14">
        <f>IF(E25="","",MAX(0,E25-TODAY()))</f>
        <v/>
      </c>
      <c r="G25" s="10" t="n"/>
      <c r="H25" s="10" t="n"/>
      <c r="I25" s="10" t="n"/>
      <c r="J25" s="10" t="n"/>
      <c r="K25" s="10" t="n"/>
    </row>
    <row r="26">
      <c r="A26" s="11" t="n"/>
      <c r="B26" s="11" t="n"/>
      <c r="C26" s="11" t="n"/>
      <c r="D26" s="11" t="n"/>
      <c r="E26" s="11" t="n"/>
      <c r="F26" s="16">
        <f>IF(E26="","",MAX(0,E26-TODAY()))</f>
        <v/>
      </c>
      <c r="G26" s="11" t="n"/>
      <c r="H26" s="11" t="n"/>
      <c r="I26" s="11" t="n"/>
      <c r="J26" s="11" t="n"/>
      <c r="K26" s="11" t="n"/>
    </row>
    <row r="27">
      <c r="A27" s="10" t="n"/>
      <c r="B27" s="10" t="n"/>
      <c r="C27" s="10" t="n"/>
      <c r="D27" s="10" t="n"/>
      <c r="E27" s="10" t="n"/>
      <c r="F27" s="14">
        <f>IF(E27="","",MAX(0,E27-TODAY()))</f>
        <v/>
      </c>
      <c r="G27" s="10" t="n"/>
      <c r="H27" s="10" t="n"/>
      <c r="I27" s="10" t="n"/>
      <c r="J27" s="10" t="n"/>
      <c r="K27" s="10" t="n"/>
    </row>
    <row r="28">
      <c r="A28" s="11" t="n"/>
      <c r="B28" s="11" t="n"/>
      <c r="C28" s="11" t="n"/>
      <c r="D28" s="11" t="n"/>
      <c r="E28" s="11" t="n"/>
      <c r="F28" s="16">
        <f>IF(E28="","",MAX(0,E28-TODAY()))</f>
        <v/>
      </c>
      <c r="G28" s="11" t="n"/>
      <c r="H28" s="11" t="n"/>
      <c r="I28" s="11" t="n"/>
      <c r="J28" s="11" t="n"/>
      <c r="K28" s="11" t="n"/>
    </row>
    <row r="29">
      <c r="A29" s="10" t="n"/>
      <c r="B29" s="10" t="n"/>
      <c r="C29" s="10" t="n"/>
      <c r="D29" s="10" t="n"/>
      <c r="E29" s="10" t="n"/>
      <c r="F29" s="14">
        <f>IF(E29="","",MAX(0,E29-TODAY()))</f>
        <v/>
      </c>
      <c r="G29" s="10" t="n"/>
      <c r="H29" s="10" t="n"/>
      <c r="I29" s="10" t="n"/>
      <c r="J29" s="10" t="n"/>
      <c r="K29" s="10" t="n"/>
    </row>
    <row r="30">
      <c r="A30" s="11" t="n"/>
      <c r="B30" s="11" t="n"/>
      <c r="C30" s="11" t="n"/>
      <c r="D30" s="11" t="n"/>
      <c r="E30" s="11" t="n"/>
      <c r="F30" s="16">
        <f>IF(E30="","",MAX(0,E30-TODAY()))</f>
        <v/>
      </c>
      <c r="G30" s="11" t="n"/>
      <c r="H30" s="11" t="n"/>
      <c r="I30" s="11" t="n"/>
      <c r="J30" s="11" t="n"/>
      <c r="K30" s="11" t="n"/>
    </row>
    <row r="31">
      <c r="A31" s="10" t="n"/>
      <c r="B31" s="10" t="n"/>
      <c r="C31" s="10" t="n"/>
      <c r="D31" s="10" t="n"/>
      <c r="E31" s="10" t="n"/>
      <c r="F31" s="14">
        <f>IF(E31="","",MAX(0,E31-TODAY()))</f>
        <v/>
      </c>
      <c r="G31" s="10" t="n"/>
      <c r="H31" s="10" t="n"/>
      <c r="I31" s="10" t="n"/>
      <c r="J31" s="10" t="n"/>
      <c r="K31" s="10" t="n"/>
    </row>
    <row r="32">
      <c r="A32" s="11" t="n"/>
      <c r="B32" s="11" t="n"/>
      <c r="C32" s="11" t="n"/>
      <c r="D32" s="11" t="n"/>
      <c r="E32" s="11" t="n"/>
      <c r="F32" s="16">
        <f>IF(E32="","",MAX(0,E32-TODAY()))</f>
        <v/>
      </c>
      <c r="G32" s="11" t="n"/>
      <c r="H32" s="11" t="n"/>
      <c r="I32" s="11" t="n"/>
      <c r="J32" s="11" t="n"/>
      <c r="K32" s="11" t="n"/>
    </row>
    <row r="33">
      <c r="A33" s="10" t="n"/>
      <c r="B33" s="10" t="n"/>
      <c r="C33" s="10" t="n"/>
      <c r="D33" s="10" t="n"/>
      <c r="E33" s="10" t="n"/>
      <c r="F33" s="14">
        <f>IF(E33="","",MAX(0,E33-TODAY()))</f>
        <v/>
      </c>
      <c r="G33" s="10" t="n"/>
      <c r="H33" s="10" t="n"/>
      <c r="I33" s="10" t="n"/>
      <c r="J33" s="10" t="n"/>
      <c r="K33" s="10" t="n"/>
    </row>
    <row r="34">
      <c r="A34" s="11" t="n"/>
      <c r="B34" s="11" t="n"/>
      <c r="C34" s="11" t="n"/>
      <c r="D34" s="11" t="n"/>
      <c r="E34" s="11" t="n"/>
      <c r="F34" s="16">
        <f>IF(E34="","",MAX(0,E34-TODAY()))</f>
        <v/>
      </c>
      <c r="G34" s="11" t="n"/>
      <c r="H34" s="11" t="n"/>
      <c r="I34" s="11" t="n"/>
      <c r="J34" s="11" t="n"/>
      <c r="K34" s="11" t="n"/>
    </row>
    <row r="35">
      <c r="A35" s="10" t="n"/>
      <c r="B35" s="10" t="n"/>
      <c r="C35" s="10" t="n"/>
      <c r="D35" s="10" t="n"/>
      <c r="E35" s="10" t="n"/>
      <c r="F35" s="14">
        <f>IF(E35="","",MAX(0,E35-TODAY()))</f>
        <v/>
      </c>
      <c r="G35" s="10" t="n"/>
      <c r="H35" s="10" t="n"/>
      <c r="I35" s="10" t="n"/>
      <c r="J35" s="10" t="n"/>
      <c r="K35" s="10" t="n"/>
    </row>
    <row r="36">
      <c r="A36" s="11" t="n"/>
      <c r="B36" s="11" t="n"/>
      <c r="C36" s="11" t="n"/>
      <c r="D36" s="11" t="n"/>
      <c r="E36" s="11" t="n"/>
      <c r="F36" s="16">
        <f>IF(E36="","",MAX(0,E36-TODAY()))</f>
        <v/>
      </c>
      <c r="G36" s="11" t="n"/>
      <c r="H36" s="11" t="n"/>
      <c r="I36" s="11" t="n"/>
      <c r="J36" s="11" t="n"/>
      <c r="K36" s="11" t="n"/>
    </row>
    <row r="37">
      <c r="A37" s="10" t="n"/>
      <c r="B37" s="10" t="n"/>
      <c r="C37" s="10" t="n"/>
      <c r="D37" s="10" t="n"/>
      <c r="E37" s="10" t="n"/>
      <c r="F37" s="14">
        <f>IF(E37="","",MAX(0,E37-TODAY()))</f>
        <v/>
      </c>
      <c r="G37" s="10" t="n"/>
      <c r="H37" s="10" t="n"/>
      <c r="I37" s="10" t="n"/>
      <c r="J37" s="10" t="n"/>
      <c r="K37" s="10" t="n"/>
    </row>
    <row r="38">
      <c r="A38" s="11" t="n"/>
      <c r="B38" s="11" t="n"/>
      <c r="C38" s="11" t="n"/>
      <c r="D38" s="11" t="n"/>
      <c r="E38" s="11" t="n"/>
      <c r="F38" s="16">
        <f>IF(E38="","",MAX(0,E38-TODAY()))</f>
        <v/>
      </c>
      <c r="G38" s="11" t="n"/>
      <c r="H38" s="11" t="n"/>
      <c r="I38" s="11" t="n"/>
      <c r="J38" s="11" t="n"/>
      <c r="K38" s="11" t="n"/>
    </row>
    <row r="39">
      <c r="A39" s="10" t="n"/>
      <c r="B39" s="10" t="n"/>
      <c r="C39" s="10" t="n"/>
      <c r="D39" s="10" t="n"/>
      <c r="E39" s="10" t="n"/>
      <c r="F39" s="14">
        <f>IF(E39="","",MAX(0,E39-TODAY()))</f>
        <v/>
      </c>
      <c r="G39" s="10" t="n"/>
      <c r="H39" s="10" t="n"/>
      <c r="I39" s="10" t="n"/>
      <c r="J39" s="10" t="n"/>
      <c r="K39" s="10" t="n"/>
    </row>
    <row r="40">
      <c r="A40" s="11" t="n"/>
      <c r="B40" s="11" t="n"/>
      <c r="C40" s="11" t="n"/>
      <c r="D40" s="11" t="n"/>
      <c r="E40" s="11" t="n"/>
      <c r="F40" s="16">
        <f>IF(E40="","",MAX(0,E40-TODAY()))</f>
        <v/>
      </c>
      <c r="G40" s="11" t="n"/>
      <c r="H40" s="11" t="n"/>
      <c r="I40" s="11" t="n"/>
      <c r="J40" s="11" t="n"/>
      <c r="K40" s="11" t="n"/>
    </row>
    <row r="41">
      <c r="A41" s="10" t="n"/>
      <c r="B41" s="10" t="n"/>
      <c r="C41" s="10" t="n"/>
      <c r="D41" s="10" t="n"/>
      <c r="E41" s="10" t="n"/>
      <c r="F41" s="14">
        <f>IF(E41="","",MAX(0,E41-TODAY()))</f>
        <v/>
      </c>
      <c r="G41" s="10" t="n"/>
      <c r="H41" s="10" t="n"/>
      <c r="I41" s="10" t="n"/>
      <c r="J41" s="10" t="n"/>
      <c r="K41" s="10" t="n"/>
    </row>
    <row r="42">
      <c r="A42" s="11" t="n"/>
      <c r="B42" s="11" t="n"/>
      <c r="C42" s="11" t="n"/>
      <c r="D42" s="11" t="n"/>
      <c r="E42" s="11" t="n"/>
      <c r="F42" s="16">
        <f>IF(E42="","",MAX(0,E42-TODAY()))</f>
        <v/>
      </c>
      <c r="G42" s="11" t="n"/>
      <c r="H42" s="11" t="n"/>
      <c r="I42" s="11" t="n"/>
      <c r="J42" s="11" t="n"/>
      <c r="K42" s="11" t="n"/>
    </row>
    <row r="43">
      <c r="A43" s="10" t="n"/>
      <c r="B43" s="10" t="n"/>
      <c r="C43" s="10" t="n"/>
      <c r="D43" s="10" t="n"/>
      <c r="E43" s="10" t="n"/>
      <c r="F43" s="14">
        <f>IF(E43="","",MAX(0,E43-TODAY()))</f>
        <v/>
      </c>
      <c r="G43" s="10" t="n"/>
      <c r="H43" s="10" t="n"/>
      <c r="I43" s="10" t="n"/>
      <c r="J43" s="10" t="n"/>
      <c r="K43" s="10" t="n"/>
    </row>
    <row r="44">
      <c r="A44" s="11" t="n"/>
      <c r="B44" s="11" t="n"/>
      <c r="C44" s="11" t="n"/>
      <c r="D44" s="11" t="n"/>
      <c r="E44" s="11" t="n"/>
      <c r="F44" s="16">
        <f>IF(E44="","",MAX(0,E44-TODAY()))</f>
        <v/>
      </c>
      <c r="G44" s="11" t="n"/>
      <c r="H44" s="11" t="n"/>
      <c r="I44" s="11" t="n"/>
      <c r="J44" s="11" t="n"/>
      <c r="K44" s="11" t="n"/>
    </row>
    <row r="45">
      <c r="A45" s="10" t="n"/>
      <c r="B45" s="10" t="n"/>
      <c r="C45" s="10" t="n"/>
      <c r="D45" s="10" t="n"/>
      <c r="E45" s="10" t="n"/>
      <c r="F45" s="14">
        <f>IF(E45="","",MAX(0,E45-TODAY()))</f>
        <v/>
      </c>
      <c r="G45" s="10" t="n"/>
      <c r="H45" s="10" t="n"/>
      <c r="I45" s="10" t="n"/>
      <c r="J45" s="10" t="n"/>
      <c r="K45" s="10" t="n"/>
    </row>
    <row r="46">
      <c r="A46" s="11" t="n"/>
      <c r="B46" s="11" t="n"/>
      <c r="C46" s="11" t="n"/>
      <c r="D46" s="11" t="n"/>
      <c r="E46" s="11" t="n"/>
      <c r="F46" s="16">
        <f>IF(E46="","",MAX(0,E46-TODAY()))</f>
        <v/>
      </c>
      <c r="G46" s="11" t="n"/>
      <c r="H46" s="11" t="n"/>
      <c r="I46" s="11" t="n"/>
      <c r="J46" s="11" t="n"/>
      <c r="K46" s="11" t="n"/>
    </row>
    <row r="47">
      <c r="A47" s="10" t="n"/>
      <c r="B47" s="10" t="n"/>
      <c r="C47" s="10" t="n"/>
      <c r="D47" s="10" t="n"/>
      <c r="E47" s="10" t="n"/>
      <c r="F47" s="14">
        <f>IF(E47="","",MAX(0,E47-TODAY()))</f>
        <v/>
      </c>
      <c r="G47" s="10" t="n"/>
      <c r="H47" s="10" t="n"/>
      <c r="I47" s="10" t="n"/>
      <c r="J47" s="10" t="n"/>
      <c r="K47" s="10" t="n"/>
    </row>
    <row r="48">
      <c r="A48" s="11" t="n"/>
      <c r="B48" s="11" t="n"/>
      <c r="C48" s="11" t="n"/>
      <c r="D48" s="11" t="n"/>
      <c r="E48" s="11" t="n"/>
      <c r="F48" s="16">
        <f>IF(E48="","",MAX(0,E48-TODAY()))</f>
        <v/>
      </c>
      <c r="G48" s="11" t="n"/>
      <c r="H48" s="11" t="n"/>
      <c r="I48" s="11" t="n"/>
      <c r="J48" s="11" t="n"/>
      <c r="K48" s="11" t="n"/>
    </row>
    <row r="49">
      <c r="A49" s="10" t="n"/>
      <c r="B49" s="10" t="n"/>
      <c r="C49" s="10" t="n"/>
      <c r="D49" s="10" t="n"/>
      <c r="E49" s="10" t="n"/>
      <c r="F49" s="14">
        <f>IF(E49="","",MAX(0,E49-TODAY()))</f>
        <v/>
      </c>
      <c r="G49" s="10" t="n"/>
      <c r="H49" s="10" t="n"/>
      <c r="I49" s="10" t="n"/>
      <c r="J49" s="10" t="n"/>
      <c r="K49" s="10" t="n"/>
    </row>
    <row r="50">
      <c r="A50" s="11" t="n"/>
      <c r="B50" s="11" t="n"/>
      <c r="C50" s="11" t="n"/>
      <c r="D50" s="11" t="n"/>
      <c r="E50" s="11" t="n"/>
      <c r="F50" s="16">
        <f>IF(E50="","",MAX(0,E50-TODAY()))</f>
        <v/>
      </c>
      <c r="G50" s="11" t="n"/>
      <c r="H50" s="11" t="n"/>
      <c r="I50" s="11" t="n"/>
      <c r="J50" s="11" t="n"/>
      <c r="K50" s="11" t="n"/>
    </row>
    <row r="51">
      <c r="A51" s="10" t="n"/>
      <c r="B51" s="10" t="n"/>
      <c r="C51" s="10" t="n"/>
      <c r="D51" s="10" t="n"/>
      <c r="E51" s="10" t="n"/>
      <c r="F51" s="14">
        <f>IF(E51="","",MAX(0,E51-TODAY()))</f>
        <v/>
      </c>
      <c r="G51" s="10" t="n"/>
      <c r="H51" s="10" t="n"/>
      <c r="I51" s="10" t="n"/>
      <c r="J51" s="10" t="n"/>
      <c r="K51" s="10" t="n"/>
    </row>
    <row r="52">
      <c r="A52" s="11" t="n"/>
      <c r="B52" s="11" t="n"/>
      <c r="C52" s="11" t="n"/>
      <c r="D52" s="11" t="n"/>
      <c r="E52" s="11" t="n"/>
      <c r="F52" s="16">
        <f>IF(E52="","",MAX(0,E52-TODAY()))</f>
        <v/>
      </c>
      <c r="G52" s="11" t="n"/>
      <c r="H52" s="11" t="n"/>
      <c r="I52" s="11" t="n"/>
      <c r="J52" s="11" t="n"/>
      <c r="K52" s="11" t="n"/>
    </row>
    <row r="53">
      <c r="A53" s="10" t="n"/>
      <c r="B53" s="10" t="n"/>
      <c r="C53" s="10" t="n"/>
      <c r="D53" s="10" t="n"/>
      <c r="E53" s="10" t="n"/>
      <c r="F53" s="14">
        <f>IF(E53="","",MAX(0,E53-TODAY()))</f>
        <v/>
      </c>
      <c r="G53" s="10" t="n"/>
      <c r="H53" s="10" t="n"/>
      <c r="I53" s="10" t="n"/>
      <c r="J53" s="10" t="n"/>
      <c r="K53" s="10" t="n"/>
    </row>
    <row r="54">
      <c r="A54" s="11" t="n"/>
      <c r="B54" s="11" t="n"/>
      <c r="C54" s="11" t="n"/>
      <c r="D54" s="11" t="n"/>
      <c r="E54" s="11" t="n"/>
      <c r="F54" s="16">
        <f>IF(E54="","",MAX(0,E54-TODAY()))</f>
        <v/>
      </c>
      <c r="G54" s="11" t="n"/>
      <c r="H54" s="11" t="n"/>
      <c r="I54" s="11" t="n"/>
      <c r="J54" s="11" t="n"/>
      <c r="K54" s="11" t="n"/>
    </row>
    <row r="55">
      <c r="A55" s="10" t="n"/>
      <c r="B55" s="10" t="n"/>
      <c r="C55" s="10" t="n"/>
      <c r="D55" s="10" t="n"/>
      <c r="E55" s="10" t="n"/>
      <c r="F55" s="14">
        <f>IF(E55="","",MAX(0,E55-TODAY()))</f>
        <v/>
      </c>
      <c r="G55" s="10" t="n"/>
      <c r="H55" s="10" t="n"/>
      <c r="I55" s="10" t="n"/>
      <c r="J55" s="10" t="n"/>
      <c r="K55" s="10" t="n"/>
    </row>
    <row r="56">
      <c r="A56" s="11" t="n"/>
      <c r="B56" s="11" t="n"/>
      <c r="C56" s="11" t="n"/>
      <c r="D56" s="11" t="n"/>
      <c r="E56" s="11" t="n"/>
      <c r="F56" s="16">
        <f>IF(E56="","",MAX(0,E56-TODAY()))</f>
        <v/>
      </c>
      <c r="G56" s="11" t="n"/>
      <c r="H56" s="11" t="n"/>
      <c r="I56" s="11" t="n"/>
      <c r="J56" s="11" t="n"/>
      <c r="K56" s="11" t="n"/>
    </row>
    <row r="57">
      <c r="A57" s="10" t="n"/>
      <c r="B57" s="10" t="n"/>
      <c r="C57" s="10" t="n"/>
      <c r="D57" s="10" t="n"/>
      <c r="E57" s="10" t="n"/>
      <c r="F57" s="14">
        <f>IF(E57="","",MAX(0,E57-TODAY()))</f>
        <v/>
      </c>
      <c r="G57" s="10" t="n"/>
      <c r="H57" s="10" t="n"/>
      <c r="I57" s="10" t="n"/>
      <c r="J57" s="10" t="n"/>
      <c r="K57" s="10" t="n"/>
    </row>
    <row r="58">
      <c r="A58" s="11" t="n"/>
      <c r="B58" s="11" t="n"/>
      <c r="C58" s="11" t="n"/>
      <c r="D58" s="11" t="n"/>
      <c r="E58" s="11" t="n"/>
      <c r="F58" s="16">
        <f>IF(E58="","",MAX(0,E58-TODAY()))</f>
        <v/>
      </c>
      <c r="G58" s="11" t="n"/>
      <c r="H58" s="11" t="n"/>
      <c r="I58" s="11" t="n"/>
      <c r="J58" s="11" t="n"/>
      <c r="K58" s="11" t="n"/>
    </row>
    <row r="59">
      <c r="A59" s="10" t="n"/>
      <c r="B59" s="10" t="n"/>
      <c r="C59" s="10" t="n"/>
      <c r="D59" s="10" t="n"/>
      <c r="E59" s="10" t="n"/>
      <c r="F59" s="14">
        <f>IF(E59="","",MAX(0,E59-TODAY()))</f>
        <v/>
      </c>
      <c r="G59" s="10" t="n"/>
      <c r="H59" s="10" t="n"/>
      <c r="I59" s="10" t="n"/>
      <c r="J59" s="10" t="n"/>
      <c r="K59" s="10" t="n"/>
    </row>
    <row r="60">
      <c r="A60" s="11" t="n"/>
      <c r="B60" s="11" t="n"/>
      <c r="C60" s="11" t="n"/>
      <c r="D60" s="11" t="n"/>
      <c r="E60" s="11" t="n"/>
      <c r="F60" s="16">
        <f>IF(E60="","",MAX(0,E60-TODAY()))</f>
        <v/>
      </c>
      <c r="G60" s="11" t="n"/>
      <c r="H60" s="11" t="n"/>
      <c r="I60" s="11" t="n"/>
      <c r="J60" s="11" t="n"/>
      <c r="K60" s="11" t="n"/>
    </row>
    <row r="61">
      <c r="A61" s="10" t="n"/>
      <c r="B61" s="10" t="n"/>
      <c r="C61" s="10" t="n"/>
      <c r="D61" s="10" t="n"/>
      <c r="E61" s="10" t="n"/>
      <c r="F61" s="14">
        <f>IF(E61="","",MAX(0,E61-TODAY()))</f>
        <v/>
      </c>
      <c r="G61" s="10" t="n"/>
      <c r="H61" s="10" t="n"/>
      <c r="I61" s="10" t="n"/>
      <c r="J61" s="10" t="n"/>
      <c r="K61" s="10" t="n"/>
    </row>
    <row r="62">
      <c r="A62" s="11" t="n"/>
      <c r="B62" s="11" t="n"/>
      <c r="C62" s="11" t="n"/>
      <c r="D62" s="11" t="n"/>
      <c r="E62" s="11" t="n"/>
      <c r="F62" s="16">
        <f>IF(E62="","",MAX(0,E62-TODAY()))</f>
        <v/>
      </c>
      <c r="G62" s="11" t="n"/>
      <c r="H62" s="11" t="n"/>
      <c r="I62" s="11" t="n"/>
      <c r="J62" s="11" t="n"/>
      <c r="K62" s="11" t="n"/>
    </row>
    <row r="63">
      <c r="A63" s="10" t="n"/>
      <c r="B63" s="10" t="n"/>
      <c r="C63" s="10" t="n"/>
      <c r="D63" s="10" t="n"/>
      <c r="E63" s="10" t="n"/>
      <c r="F63" s="14">
        <f>IF(E63="","",MAX(0,E63-TODAY()))</f>
        <v/>
      </c>
      <c r="G63" s="10" t="n"/>
      <c r="H63" s="10" t="n"/>
      <c r="I63" s="10" t="n"/>
      <c r="J63" s="10" t="n"/>
      <c r="K63" s="10" t="n"/>
    </row>
    <row r="64">
      <c r="A64" s="11" t="n"/>
      <c r="B64" s="11" t="n"/>
      <c r="C64" s="11" t="n"/>
      <c r="D64" s="11" t="n"/>
      <c r="E64" s="11" t="n"/>
      <c r="F64" s="16">
        <f>IF(E64="","",MAX(0,E64-TODAY()))</f>
        <v/>
      </c>
      <c r="G64" s="11" t="n"/>
      <c r="H64" s="11" t="n"/>
      <c r="I64" s="11" t="n"/>
      <c r="J64" s="11" t="n"/>
      <c r="K64" s="11" t="n"/>
    </row>
    <row r="65">
      <c r="A65" s="10" t="n"/>
      <c r="B65" s="10" t="n"/>
      <c r="C65" s="10" t="n"/>
      <c r="D65" s="10" t="n"/>
      <c r="E65" s="10" t="n"/>
      <c r="F65" s="14">
        <f>IF(E65="","",MAX(0,E65-TODAY()))</f>
        <v/>
      </c>
      <c r="G65" s="10" t="n"/>
      <c r="H65" s="10" t="n"/>
      <c r="I65" s="10" t="n"/>
      <c r="J65" s="10" t="n"/>
      <c r="K65" s="10" t="n"/>
    </row>
    <row r="66">
      <c r="A66" s="11" t="n"/>
      <c r="B66" s="11" t="n"/>
      <c r="C66" s="11" t="n"/>
      <c r="D66" s="11" t="n"/>
      <c r="E66" s="11" t="n"/>
      <c r="F66" s="16">
        <f>IF(E66="","",MAX(0,E66-TODAY()))</f>
        <v/>
      </c>
      <c r="G66" s="11" t="n"/>
      <c r="H66" s="11" t="n"/>
      <c r="I66" s="11" t="n"/>
      <c r="J66" s="11" t="n"/>
      <c r="K66" s="11" t="n"/>
    </row>
    <row r="67">
      <c r="A67" s="10" t="n"/>
      <c r="B67" s="10" t="n"/>
      <c r="C67" s="10" t="n"/>
      <c r="D67" s="10" t="n"/>
      <c r="E67" s="10" t="n"/>
      <c r="F67" s="14">
        <f>IF(E67="","",MAX(0,E67-TODAY()))</f>
        <v/>
      </c>
      <c r="G67" s="10" t="n"/>
      <c r="H67" s="10" t="n"/>
      <c r="I67" s="10" t="n"/>
      <c r="J67" s="10" t="n"/>
      <c r="K67" s="10" t="n"/>
    </row>
    <row r="68">
      <c r="A68" s="11" t="n"/>
      <c r="B68" s="11" t="n"/>
      <c r="C68" s="11" t="n"/>
      <c r="D68" s="11" t="n"/>
      <c r="E68" s="11" t="n"/>
      <c r="F68" s="16">
        <f>IF(E68="","",MAX(0,E68-TODAY()))</f>
        <v/>
      </c>
      <c r="G68" s="11" t="n"/>
      <c r="H68" s="11" t="n"/>
      <c r="I68" s="11" t="n"/>
      <c r="J68" s="11" t="n"/>
      <c r="K68" s="11" t="n"/>
    </row>
    <row r="69">
      <c r="A69" s="10" t="n"/>
      <c r="B69" s="10" t="n"/>
      <c r="C69" s="10" t="n"/>
      <c r="D69" s="10" t="n"/>
      <c r="E69" s="10" t="n"/>
      <c r="F69" s="14">
        <f>IF(E69="","",MAX(0,E69-TODAY()))</f>
        <v/>
      </c>
      <c r="G69" s="10" t="n"/>
      <c r="H69" s="10" t="n"/>
      <c r="I69" s="10" t="n"/>
      <c r="J69" s="10" t="n"/>
      <c r="K69" s="10" t="n"/>
    </row>
    <row r="70">
      <c r="A70" s="11" t="n"/>
      <c r="B70" s="11" t="n"/>
      <c r="C70" s="11" t="n"/>
      <c r="D70" s="11" t="n"/>
      <c r="E70" s="11" t="n"/>
      <c r="F70" s="16">
        <f>IF(E70="","",MAX(0,E70-TODAY()))</f>
        <v/>
      </c>
      <c r="G70" s="11" t="n"/>
      <c r="H70" s="11" t="n"/>
      <c r="I70" s="11" t="n"/>
      <c r="J70" s="11" t="n"/>
      <c r="K70" s="11" t="n"/>
    </row>
    <row r="71">
      <c r="A71" s="10" t="n"/>
      <c r="B71" s="10" t="n"/>
      <c r="C71" s="10" t="n"/>
      <c r="D71" s="10" t="n"/>
      <c r="E71" s="10" t="n"/>
      <c r="F71" s="14">
        <f>IF(E71="","",MAX(0,E71-TODAY()))</f>
        <v/>
      </c>
      <c r="G71" s="10" t="n"/>
      <c r="H71" s="10" t="n"/>
      <c r="I71" s="10" t="n"/>
      <c r="J71" s="10" t="n"/>
      <c r="K71" s="10" t="n"/>
    </row>
    <row r="72">
      <c r="A72" s="11" t="n"/>
      <c r="B72" s="11" t="n"/>
      <c r="C72" s="11" t="n"/>
      <c r="D72" s="11" t="n"/>
      <c r="E72" s="11" t="n"/>
      <c r="F72" s="16">
        <f>IF(E72="","",MAX(0,E72-TODAY()))</f>
        <v/>
      </c>
      <c r="G72" s="11" t="n"/>
      <c r="H72" s="11" t="n"/>
      <c r="I72" s="11" t="n"/>
      <c r="J72" s="11" t="n"/>
      <c r="K72" s="11" t="n"/>
    </row>
    <row r="73">
      <c r="A73" s="10" t="n"/>
      <c r="B73" s="10" t="n"/>
      <c r="C73" s="10" t="n"/>
      <c r="D73" s="10" t="n"/>
      <c r="E73" s="10" t="n"/>
      <c r="F73" s="14">
        <f>IF(E73="","",MAX(0,E73-TODAY()))</f>
        <v/>
      </c>
      <c r="G73" s="10" t="n"/>
      <c r="H73" s="10" t="n"/>
      <c r="I73" s="10" t="n"/>
      <c r="J73" s="10" t="n"/>
      <c r="K73" s="10" t="n"/>
    </row>
    <row r="74">
      <c r="A74" s="11" t="n"/>
      <c r="B74" s="11" t="n"/>
      <c r="C74" s="11" t="n"/>
      <c r="D74" s="11" t="n"/>
      <c r="E74" s="11" t="n"/>
      <c r="F74" s="16">
        <f>IF(E74="","",MAX(0,E74-TODAY()))</f>
        <v/>
      </c>
      <c r="G74" s="11" t="n"/>
      <c r="H74" s="11" t="n"/>
      <c r="I74" s="11" t="n"/>
      <c r="J74" s="11" t="n"/>
      <c r="K74" s="11" t="n"/>
    </row>
    <row r="75">
      <c r="A75" s="10" t="n"/>
      <c r="B75" s="10" t="n"/>
      <c r="C75" s="10" t="n"/>
      <c r="D75" s="10" t="n"/>
      <c r="E75" s="10" t="n"/>
      <c r="F75" s="14">
        <f>IF(E75="","",MAX(0,E75-TODAY()))</f>
        <v/>
      </c>
      <c r="G75" s="10" t="n"/>
      <c r="H75" s="10" t="n"/>
      <c r="I75" s="10" t="n"/>
      <c r="J75" s="10" t="n"/>
      <c r="K75" s="10" t="n"/>
    </row>
    <row r="76">
      <c r="A76" s="11" t="n"/>
      <c r="B76" s="11" t="n"/>
      <c r="C76" s="11" t="n"/>
      <c r="D76" s="11" t="n"/>
      <c r="E76" s="11" t="n"/>
      <c r="F76" s="16">
        <f>IF(E76="","",MAX(0,E76-TODAY()))</f>
        <v/>
      </c>
      <c r="G76" s="11" t="n"/>
      <c r="H76" s="11" t="n"/>
      <c r="I76" s="11" t="n"/>
      <c r="J76" s="11" t="n"/>
      <c r="K76" s="11" t="n"/>
    </row>
    <row r="77">
      <c r="A77" s="10" t="n"/>
      <c r="B77" s="10" t="n"/>
      <c r="C77" s="10" t="n"/>
      <c r="D77" s="10" t="n"/>
      <c r="E77" s="10" t="n"/>
      <c r="F77" s="14">
        <f>IF(E77="","",MAX(0,E77-TODAY()))</f>
        <v/>
      </c>
      <c r="G77" s="10" t="n"/>
      <c r="H77" s="10" t="n"/>
      <c r="I77" s="10" t="n"/>
      <c r="J77" s="10" t="n"/>
      <c r="K77" s="10" t="n"/>
    </row>
    <row r="78">
      <c r="A78" s="11" t="n"/>
      <c r="B78" s="11" t="n"/>
      <c r="C78" s="11" t="n"/>
      <c r="D78" s="11" t="n"/>
      <c r="E78" s="11" t="n"/>
      <c r="F78" s="16">
        <f>IF(E78="","",MAX(0,E78-TODAY()))</f>
        <v/>
      </c>
      <c r="G78" s="11" t="n"/>
      <c r="H78" s="11" t="n"/>
      <c r="I78" s="11" t="n"/>
      <c r="J78" s="11" t="n"/>
      <c r="K78" s="11" t="n"/>
    </row>
    <row r="79">
      <c r="A79" s="10" t="n"/>
      <c r="B79" s="10" t="n"/>
      <c r="C79" s="10" t="n"/>
      <c r="D79" s="10" t="n"/>
      <c r="E79" s="10" t="n"/>
      <c r="F79" s="14">
        <f>IF(E79="","",MAX(0,E79-TODAY()))</f>
        <v/>
      </c>
      <c r="G79" s="10" t="n"/>
      <c r="H79" s="10" t="n"/>
      <c r="I79" s="10" t="n"/>
      <c r="J79" s="10" t="n"/>
      <c r="K79" s="10" t="n"/>
    </row>
    <row r="80">
      <c r="A80" s="11" t="n"/>
      <c r="B80" s="11" t="n"/>
      <c r="C80" s="11" t="n"/>
      <c r="D80" s="11" t="n"/>
      <c r="E80" s="11" t="n"/>
      <c r="F80" s="16">
        <f>IF(E80="","",MAX(0,E80-TODAY()))</f>
        <v/>
      </c>
      <c r="G80" s="11" t="n"/>
      <c r="H80" s="11" t="n"/>
      <c r="I80" s="11" t="n"/>
      <c r="J80" s="11" t="n"/>
      <c r="K80" s="11" t="n"/>
    </row>
    <row r="81">
      <c r="A81" s="10" t="n"/>
      <c r="B81" s="10" t="n"/>
      <c r="C81" s="10" t="n"/>
      <c r="D81" s="10" t="n"/>
      <c r="E81" s="10" t="n"/>
      <c r="F81" s="14">
        <f>IF(E81="","",MAX(0,E81-TODAY()))</f>
        <v/>
      </c>
      <c r="G81" s="10" t="n"/>
      <c r="H81" s="10" t="n"/>
      <c r="I81" s="10" t="n"/>
      <c r="J81" s="10" t="n"/>
      <c r="K81" s="10" t="n"/>
    </row>
    <row r="82">
      <c r="A82" s="11" t="n"/>
      <c r="B82" s="11" t="n"/>
      <c r="C82" s="11" t="n"/>
      <c r="D82" s="11" t="n"/>
      <c r="E82" s="11" t="n"/>
      <c r="F82" s="16">
        <f>IF(E82="","",MAX(0,E82-TODAY()))</f>
        <v/>
      </c>
      <c r="G82" s="11" t="n"/>
      <c r="H82" s="11" t="n"/>
      <c r="I82" s="11" t="n"/>
      <c r="J82" s="11" t="n"/>
      <c r="K82" s="11" t="n"/>
    </row>
    <row r="83">
      <c r="A83" s="10" t="n"/>
      <c r="B83" s="10" t="n"/>
      <c r="C83" s="10" t="n"/>
      <c r="D83" s="10" t="n"/>
      <c r="E83" s="10" t="n"/>
      <c r="F83" s="14">
        <f>IF(E83="","",MAX(0,E83-TODAY()))</f>
        <v/>
      </c>
      <c r="G83" s="10" t="n"/>
      <c r="H83" s="10" t="n"/>
      <c r="I83" s="10" t="n"/>
      <c r="J83" s="10" t="n"/>
      <c r="K83" s="10" t="n"/>
    </row>
    <row r="84">
      <c r="A84" s="11" t="n"/>
      <c r="B84" s="11" t="n"/>
      <c r="C84" s="11" t="n"/>
      <c r="D84" s="11" t="n"/>
      <c r="E84" s="11" t="n"/>
      <c r="F84" s="16">
        <f>IF(E84="","",MAX(0,E84-TODAY()))</f>
        <v/>
      </c>
      <c r="G84" s="11" t="n"/>
      <c r="H84" s="11" t="n"/>
      <c r="I84" s="11" t="n"/>
      <c r="J84" s="11" t="n"/>
      <c r="K84" s="11" t="n"/>
    </row>
    <row r="85">
      <c r="A85" s="10" t="n"/>
      <c r="B85" s="10" t="n"/>
      <c r="C85" s="10" t="n"/>
      <c r="D85" s="10" t="n"/>
      <c r="E85" s="10" t="n"/>
      <c r="F85" s="14">
        <f>IF(E85="","",MAX(0,E85-TODAY()))</f>
        <v/>
      </c>
      <c r="G85" s="10" t="n"/>
      <c r="H85" s="10" t="n"/>
      <c r="I85" s="10" t="n"/>
      <c r="J85" s="10" t="n"/>
      <c r="K85" s="10" t="n"/>
    </row>
    <row r="86">
      <c r="A86" s="11" t="n"/>
      <c r="B86" s="11" t="n"/>
      <c r="C86" s="11" t="n"/>
      <c r="D86" s="11" t="n"/>
      <c r="E86" s="11" t="n"/>
      <c r="F86" s="16">
        <f>IF(E86="","",MAX(0,E86-TODAY()))</f>
        <v/>
      </c>
      <c r="G86" s="11" t="n"/>
      <c r="H86" s="11" t="n"/>
      <c r="I86" s="11" t="n"/>
      <c r="J86" s="11" t="n"/>
      <c r="K86" s="11" t="n"/>
    </row>
    <row r="87">
      <c r="A87" s="10" t="n"/>
      <c r="B87" s="10" t="n"/>
      <c r="C87" s="10" t="n"/>
      <c r="D87" s="10" t="n"/>
      <c r="E87" s="10" t="n"/>
      <c r="F87" s="14">
        <f>IF(E87="","",MAX(0,E87-TODAY()))</f>
        <v/>
      </c>
      <c r="G87" s="10" t="n"/>
      <c r="H87" s="10" t="n"/>
      <c r="I87" s="10" t="n"/>
      <c r="J87" s="10" t="n"/>
      <c r="K87" s="10" t="n"/>
    </row>
    <row r="88">
      <c r="A88" s="11" t="n"/>
      <c r="B88" s="11" t="n"/>
      <c r="C88" s="11" t="n"/>
      <c r="D88" s="11" t="n"/>
      <c r="E88" s="11" t="n"/>
      <c r="F88" s="16">
        <f>IF(E88="","",MAX(0,E88-TODAY()))</f>
        <v/>
      </c>
      <c r="G88" s="11" t="n"/>
      <c r="H88" s="11" t="n"/>
      <c r="I88" s="11" t="n"/>
      <c r="J88" s="11" t="n"/>
      <c r="K88" s="11" t="n"/>
    </row>
    <row r="89">
      <c r="A89" s="10" t="n"/>
      <c r="B89" s="10" t="n"/>
      <c r="C89" s="10" t="n"/>
      <c r="D89" s="10" t="n"/>
      <c r="E89" s="10" t="n"/>
      <c r="F89" s="14">
        <f>IF(E89="","",MAX(0,E89-TODAY()))</f>
        <v/>
      </c>
      <c r="G89" s="10" t="n"/>
      <c r="H89" s="10" t="n"/>
      <c r="I89" s="10" t="n"/>
      <c r="J89" s="10" t="n"/>
      <c r="K89" s="10" t="n"/>
    </row>
    <row r="90">
      <c r="A90" s="11" t="n"/>
      <c r="B90" s="11" t="n"/>
      <c r="C90" s="11" t="n"/>
      <c r="D90" s="11" t="n"/>
      <c r="E90" s="11" t="n"/>
      <c r="F90" s="16">
        <f>IF(E90="","",MAX(0,E90-TODAY()))</f>
        <v/>
      </c>
      <c r="G90" s="11" t="n"/>
      <c r="H90" s="11" t="n"/>
      <c r="I90" s="11" t="n"/>
      <c r="J90" s="11" t="n"/>
      <c r="K90" s="11" t="n"/>
    </row>
    <row r="91">
      <c r="A91" s="10" t="n"/>
      <c r="B91" s="10" t="n"/>
      <c r="C91" s="10" t="n"/>
      <c r="D91" s="10" t="n"/>
      <c r="E91" s="10" t="n"/>
      <c r="F91" s="14">
        <f>IF(E91="","",MAX(0,E91-TODAY()))</f>
        <v/>
      </c>
      <c r="G91" s="10" t="n"/>
      <c r="H91" s="10" t="n"/>
      <c r="I91" s="10" t="n"/>
      <c r="J91" s="10" t="n"/>
      <c r="K91" s="10" t="n"/>
    </row>
    <row r="92">
      <c r="A92" s="11" t="n"/>
      <c r="B92" s="11" t="n"/>
      <c r="C92" s="11" t="n"/>
      <c r="D92" s="11" t="n"/>
      <c r="E92" s="11" t="n"/>
      <c r="F92" s="16">
        <f>IF(E92="","",MAX(0,E92-TODAY()))</f>
        <v/>
      </c>
      <c r="G92" s="11" t="n"/>
      <c r="H92" s="11" t="n"/>
      <c r="I92" s="11" t="n"/>
      <c r="J92" s="11" t="n"/>
      <c r="K92" s="11" t="n"/>
    </row>
    <row r="93">
      <c r="A93" s="10" t="n"/>
      <c r="B93" s="10" t="n"/>
      <c r="C93" s="10" t="n"/>
      <c r="D93" s="10" t="n"/>
      <c r="E93" s="10" t="n"/>
      <c r="F93" s="14">
        <f>IF(E93="","",MAX(0,E93-TODAY()))</f>
        <v/>
      </c>
      <c r="G93" s="10" t="n"/>
      <c r="H93" s="10" t="n"/>
      <c r="I93" s="10" t="n"/>
      <c r="J93" s="10" t="n"/>
      <c r="K93" s="10" t="n"/>
    </row>
    <row r="94">
      <c r="A94" s="11" t="n"/>
      <c r="B94" s="11" t="n"/>
      <c r="C94" s="11" t="n"/>
      <c r="D94" s="11" t="n"/>
      <c r="E94" s="11" t="n"/>
      <c r="F94" s="16">
        <f>IF(E94="","",MAX(0,E94-TODAY()))</f>
        <v/>
      </c>
      <c r="G94" s="11" t="n"/>
      <c r="H94" s="11" t="n"/>
      <c r="I94" s="11" t="n"/>
      <c r="J94" s="11" t="n"/>
      <c r="K94" s="11" t="n"/>
    </row>
    <row r="95">
      <c r="A95" s="10" t="n"/>
      <c r="B95" s="10" t="n"/>
      <c r="C95" s="10" t="n"/>
      <c r="D95" s="10" t="n"/>
      <c r="E95" s="10" t="n"/>
      <c r="F95" s="14">
        <f>IF(E95="","",MAX(0,E95-TODAY()))</f>
        <v/>
      </c>
      <c r="G95" s="10" t="n"/>
      <c r="H95" s="10" t="n"/>
      <c r="I95" s="10" t="n"/>
      <c r="J95" s="10" t="n"/>
      <c r="K95" s="10" t="n"/>
    </row>
    <row r="96">
      <c r="A96" s="11" t="n"/>
      <c r="B96" s="11" t="n"/>
      <c r="C96" s="11" t="n"/>
      <c r="D96" s="11" t="n"/>
      <c r="E96" s="11" t="n"/>
      <c r="F96" s="16">
        <f>IF(E96="","",MAX(0,E96-TODAY()))</f>
        <v/>
      </c>
      <c r="G96" s="11" t="n"/>
      <c r="H96" s="11" t="n"/>
      <c r="I96" s="11" t="n"/>
      <c r="J96" s="11" t="n"/>
      <c r="K96" s="11" t="n"/>
    </row>
    <row r="97">
      <c r="A97" s="10" t="n"/>
      <c r="B97" s="10" t="n"/>
      <c r="C97" s="10" t="n"/>
      <c r="D97" s="10" t="n"/>
      <c r="E97" s="10" t="n"/>
      <c r="F97" s="14">
        <f>IF(E97="","",MAX(0,E97-TODAY()))</f>
        <v/>
      </c>
      <c r="G97" s="10" t="n"/>
      <c r="H97" s="10" t="n"/>
      <c r="I97" s="10" t="n"/>
      <c r="J97" s="10" t="n"/>
      <c r="K97" s="10" t="n"/>
    </row>
    <row r="98">
      <c r="A98" s="11" t="n"/>
      <c r="B98" s="11" t="n"/>
      <c r="C98" s="11" t="n"/>
      <c r="D98" s="11" t="n"/>
      <c r="E98" s="11" t="n"/>
      <c r="F98" s="16">
        <f>IF(E98="","",MAX(0,E98-TODAY()))</f>
        <v/>
      </c>
      <c r="G98" s="11" t="n"/>
      <c r="H98" s="11" t="n"/>
      <c r="I98" s="11" t="n"/>
      <c r="J98" s="11" t="n"/>
      <c r="K98" s="11" t="n"/>
    </row>
    <row r="99">
      <c r="A99" s="10" t="n"/>
      <c r="B99" s="10" t="n"/>
      <c r="C99" s="10" t="n"/>
      <c r="D99" s="10" t="n"/>
      <c r="E99" s="10" t="n"/>
      <c r="F99" s="14">
        <f>IF(E99="","",MAX(0,E99-TODAY()))</f>
        <v/>
      </c>
      <c r="G99" s="10" t="n"/>
      <c r="H99" s="10" t="n"/>
      <c r="I99" s="10" t="n"/>
      <c r="J99" s="10" t="n"/>
      <c r="K99" s="10" t="n"/>
    </row>
    <row r="100">
      <c r="A100" s="11" t="n"/>
      <c r="B100" s="11" t="n"/>
      <c r="C100" s="11" t="n"/>
      <c r="D100" s="11" t="n"/>
      <c r="E100" s="11" t="n"/>
      <c r="F100" s="16">
        <f>IF(E100="","",MAX(0,E100-TODAY()))</f>
        <v/>
      </c>
      <c r="G100" s="11" t="n"/>
      <c r="H100" s="11" t="n"/>
      <c r="I100" s="11" t="n"/>
      <c r="J100" s="11" t="n"/>
      <c r="K100" s="11" t="n"/>
    </row>
    <row r="101">
      <c r="A101" s="10" t="n"/>
      <c r="B101" s="10" t="n"/>
      <c r="C101" s="10" t="n"/>
      <c r="D101" s="10" t="n"/>
      <c r="E101" s="10" t="n"/>
      <c r="F101" s="14">
        <f>IF(E101="","",MAX(0,E101-TODAY()))</f>
        <v/>
      </c>
      <c r="G101" s="10" t="n"/>
      <c r="H101" s="10" t="n"/>
      <c r="I101" s="10" t="n"/>
      <c r="J101" s="10" t="n"/>
      <c r="K101" s="10" t="n"/>
    </row>
    <row r="102">
      <c r="A102" s="11" t="n"/>
      <c r="B102" s="11" t="n"/>
      <c r="C102" s="11" t="n"/>
      <c r="D102" s="11" t="n"/>
      <c r="E102" s="11" t="n"/>
      <c r="F102" s="16">
        <f>IF(E102="","",MAX(0,E102-TODAY()))</f>
        <v/>
      </c>
      <c r="G102" s="11" t="n"/>
      <c r="H102" s="11" t="n"/>
      <c r="I102" s="11" t="n"/>
      <c r="J102" s="11" t="n"/>
      <c r="K102" s="11" t="n"/>
    </row>
  </sheetData>
  <mergeCells count="1">
    <mergeCell ref="A1:K1"/>
  </mergeCells>
  <conditionalFormatting sqref="F3:F102">
    <cfRule type="cellIs" priority="1" operator="lessThanOrEqual" dxfId="1">
      <formula>3</formula>
    </cfRule>
    <cfRule type="cellIs" priority="2" operator="between" dxfId="2">
      <formula>4</formula>
      <formula>7</formula>
    </cfRule>
  </conditionalFormatting>
  <dataValidations count="3">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showDropDown="0" showInputMessage="0" showErrorMessage="0" allowBlank="1" type="list">
      <formula1>"Homework,Essay,Project,Lab,Quiz,Exam,Presentation,Other"</formula1>
    </dataValidation>
    <dataValidation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showDropDown="0" showInputMessage="0" showErrorMessage="0" allowBlank="1" type="list">
      <formula1>"Not Started,In Progress,Submitted,Graded"</formula1>
    </dataValidation>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showDropDown="0" showInputMessage="0" showErrorMessage="0" allowBlank="1" type="list">
      <formula1>"Low,Med,High,Urgent"</formula1>
    </dataValidation>
  </dataValidations>
  <pageMargins left="0.75" right="0.75" top="1" bottom="1" header="0.5" footer="0.5"/>
</worksheet>
</file>

<file path=xl/worksheets/sheet4.xml><?xml version="1.0" encoding="utf-8"?>
<worksheet xmlns="http://schemas.openxmlformats.org/spreadsheetml/2006/main">
  <sheetPr>
    <tabColor rgb="00F56565"/>
    <outlinePr summaryBelow="1" summaryRight="1"/>
    <pageSetUpPr/>
  </sheetPr>
  <dimension ref="A1:Q14"/>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4" customWidth="1" min="15" max="15"/>
    <col width="10" customWidth="1" min="16" max="16"/>
    <col width="10" customWidth="1" min="17" max="17"/>
  </cols>
  <sheetData>
    <row r="1" ht="40" customHeight="1">
      <c r="A1" s="12" t="inlineStr">
        <is>
          <t>GRADE CALCULATOR</t>
        </is>
      </c>
    </row>
    <row r="3">
      <c r="A3" s="9" t="inlineStr">
        <is>
          <t>#</t>
        </is>
      </c>
      <c r="B3" s="9" t="inlineStr">
        <is>
          <t>Class Name</t>
        </is>
      </c>
      <c r="C3" s="17" t="inlineStr">
        <is>
          <t>Homework (20%)</t>
        </is>
      </c>
      <c r="D3" s="18" t="n"/>
      <c r="E3" s="17" t="inlineStr">
        <is>
          <t>Quizzes (10%)</t>
        </is>
      </c>
      <c r="F3" s="18" t="n"/>
      <c r="G3" s="17" t="inlineStr">
        <is>
          <t>Midterm (20%)</t>
        </is>
      </c>
      <c r="H3" s="18" t="n"/>
      <c r="I3" s="17" t="inlineStr">
        <is>
          <t>Final (25%)</t>
        </is>
      </c>
      <c r="J3" s="18" t="n"/>
      <c r="K3" s="17" t="inlineStr">
        <is>
          <t>Projects (20%)</t>
        </is>
      </c>
      <c r="L3" s="18" t="n"/>
      <c r="M3" s="17" t="inlineStr">
        <is>
          <t>Participation (5%)</t>
        </is>
      </c>
      <c r="N3" s="18" t="n"/>
      <c r="O3" s="9" t="inlineStr">
        <is>
          <t>Wtd Avg</t>
        </is>
      </c>
      <c r="P3" s="9" t="inlineStr">
        <is>
          <t>Letter</t>
        </is>
      </c>
      <c r="Q3" s="9" t="inlineStr">
        <is>
          <t>GPA Pts</t>
        </is>
      </c>
    </row>
    <row r="4">
      <c r="C4" s="19" t="inlineStr">
        <is>
          <t>Grade</t>
        </is>
      </c>
      <c r="D4" s="19" t="inlineStr">
        <is>
          <t>Wtd</t>
        </is>
      </c>
      <c r="E4" s="19" t="inlineStr">
        <is>
          <t>Grade</t>
        </is>
      </c>
      <c r="F4" s="19" t="inlineStr">
        <is>
          <t>Wtd</t>
        </is>
      </c>
      <c r="G4" s="19" t="inlineStr">
        <is>
          <t>Grade</t>
        </is>
      </c>
      <c r="H4" s="19" t="inlineStr">
        <is>
          <t>Wtd</t>
        </is>
      </c>
      <c r="I4" s="19" t="inlineStr">
        <is>
          <t>Grade</t>
        </is>
      </c>
      <c r="J4" s="19" t="inlineStr">
        <is>
          <t>Wtd</t>
        </is>
      </c>
      <c r="K4" s="19" t="inlineStr">
        <is>
          <t>Grade</t>
        </is>
      </c>
      <c r="L4" s="19" t="inlineStr">
        <is>
          <t>Wtd</t>
        </is>
      </c>
      <c r="M4" s="19" t="inlineStr">
        <is>
          <t>Grade</t>
        </is>
      </c>
      <c r="N4" s="19" t="inlineStr">
        <is>
          <t>Wtd</t>
        </is>
      </c>
    </row>
    <row r="5">
      <c r="A5" s="10" t="n">
        <v>1</v>
      </c>
      <c r="B5" s="10" t="inlineStr">
        <is>
          <t>Intro to Psychology</t>
        </is>
      </c>
      <c r="C5" s="10" t="n">
        <v>92</v>
      </c>
      <c r="D5" s="20">
        <f>IF(C5="",0,C5*0.2)</f>
        <v/>
      </c>
      <c r="E5" s="10" t="n">
        <v>88</v>
      </c>
      <c r="F5" s="20">
        <f>IF(E5="",0,E5*0.1)</f>
        <v/>
      </c>
      <c r="G5" s="10" t="n">
        <v>85</v>
      </c>
      <c r="H5" s="20">
        <f>IF(G5="",0,G5*0.2)</f>
        <v/>
      </c>
      <c r="I5" s="10" t="n"/>
      <c r="J5" s="20">
        <f>IF(I5="",0,I5*0.25)</f>
        <v/>
      </c>
      <c r="K5" s="10" t="n">
        <v>90</v>
      </c>
      <c r="L5" s="20">
        <f>IF(K5="",0,K5*0.2)</f>
        <v/>
      </c>
      <c r="M5" s="10" t="n">
        <v>95</v>
      </c>
      <c r="N5" s="20">
        <f>IF(M5="",0,M5*0.05)</f>
        <v/>
      </c>
      <c r="O5" s="20">
        <f>IF(B5="","",D5+F5+H5+J5+L5+N5)</f>
        <v/>
      </c>
      <c r="P5" s="10">
        <f>IF(O5="","",IF(O5&gt;=93,"A",IF(O5&gt;=90,"A-",IF(O5&gt;=87,"B+",IF(O5&gt;=83,"B",IF(O5&gt;=80,"B-",IF(O5&gt;=77,"C+",IF(O5&gt;=73,"C",IF(O5&gt;=70,"C-",IF(O5&gt;=67,"D+",IF(O5&gt;=60,"D","F")))))))))))</f>
        <v/>
      </c>
      <c r="Q5" s="20">
        <f>IF(P5="","",IF(P5="A",4.0,IF(P5="A-",3.7,IF(P5="B+",3.3,IF(P5="B",3.0,IF(P5="B-",2.7,IF(P5="C+",2.3,IF(P5="C",2.0,IF(P5="C-",1.7,IF(P5="D+",1.3,IF(P5="D",1.0,0)))))))))))</f>
        <v/>
      </c>
    </row>
    <row r="6">
      <c r="A6" s="11" t="n">
        <v>2</v>
      </c>
      <c r="B6" s="11" t="inlineStr">
        <is>
          <t>Calculus II</t>
        </is>
      </c>
      <c r="C6" s="11" t="n">
        <v>85</v>
      </c>
      <c r="D6" s="21">
        <f>IF(C6="",0,C6*0.2)</f>
        <v/>
      </c>
      <c r="E6" s="11" t="n">
        <v>82</v>
      </c>
      <c r="F6" s="21">
        <f>IF(E6="",0,E6*0.1)</f>
        <v/>
      </c>
      <c r="G6" s="11" t="n">
        <v>78</v>
      </c>
      <c r="H6" s="21">
        <f>IF(G6="",0,G6*0.2)</f>
        <v/>
      </c>
      <c r="I6" s="11" t="n"/>
      <c r="J6" s="21">
        <f>IF(I6="",0,I6*0.25)</f>
        <v/>
      </c>
      <c r="K6" s="11" t="n">
        <v>88</v>
      </c>
      <c r="L6" s="21">
        <f>IF(K6="",0,K6*0.2)</f>
        <v/>
      </c>
      <c r="M6" s="11" t="n">
        <v>90</v>
      </c>
      <c r="N6" s="21">
        <f>IF(M6="",0,M6*0.05)</f>
        <v/>
      </c>
      <c r="O6" s="21">
        <f>IF(B6="","",D6+F6+H6+J6+L6+N6)</f>
        <v/>
      </c>
      <c r="P6" s="11">
        <f>IF(O6="","",IF(O6&gt;=93,"A",IF(O6&gt;=90,"A-",IF(O6&gt;=87,"B+",IF(O6&gt;=83,"B",IF(O6&gt;=80,"B-",IF(O6&gt;=77,"C+",IF(O6&gt;=73,"C",IF(O6&gt;=70,"C-",IF(O6&gt;=67,"D+",IF(O6&gt;=60,"D","F")))))))))))</f>
        <v/>
      </c>
      <c r="Q6" s="21">
        <f>IF(P6="","",IF(P6="A",4.0,IF(P6="A-",3.7,IF(P6="B+",3.3,IF(P6="B",3.0,IF(P6="B-",2.7,IF(P6="C+",2.3,IF(P6="C",2.0,IF(P6="C-",1.7,IF(P6="D+",1.3,IF(P6="D",1.0,0)))))))))))</f>
        <v/>
      </c>
    </row>
    <row r="7">
      <c r="A7" s="10" t="n">
        <v>3</v>
      </c>
      <c r="B7" s="10" t="inlineStr">
        <is>
          <t>English Composition</t>
        </is>
      </c>
      <c r="C7" s="10" t="n">
        <v>95</v>
      </c>
      <c r="D7" s="20">
        <f>IF(C7="",0,C7*0.2)</f>
        <v/>
      </c>
      <c r="E7" s="10" t="n">
        <v>90</v>
      </c>
      <c r="F7" s="20">
        <f>IF(E7="",0,E7*0.1)</f>
        <v/>
      </c>
      <c r="G7" s="10" t="n">
        <v>88</v>
      </c>
      <c r="H7" s="20">
        <f>IF(G7="",0,G7*0.2)</f>
        <v/>
      </c>
      <c r="I7" s="10" t="n"/>
      <c r="J7" s="20">
        <f>IF(I7="",0,I7*0.25)</f>
        <v/>
      </c>
      <c r="K7" s="10" t="n">
        <v>92</v>
      </c>
      <c r="L7" s="20">
        <f>IF(K7="",0,K7*0.2)</f>
        <v/>
      </c>
      <c r="M7" s="10" t="n">
        <v>98</v>
      </c>
      <c r="N7" s="20">
        <f>IF(M7="",0,M7*0.05)</f>
        <v/>
      </c>
      <c r="O7" s="20">
        <f>IF(B7="","",D7+F7+H7+J7+L7+N7)</f>
        <v/>
      </c>
      <c r="P7" s="10">
        <f>IF(O7="","",IF(O7&gt;=93,"A",IF(O7&gt;=90,"A-",IF(O7&gt;=87,"B+",IF(O7&gt;=83,"B",IF(O7&gt;=80,"B-",IF(O7&gt;=77,"C+",IF(O7&gt;=73,"C",IF(O7&gt;=70,"C-",IF(O7&gt;=67,"D+",IF(O7&gt;=60,"D","F")))))))))))</f>
        <v/>
      </c>
      <c r="Q7" s="20">
        <f>IF(P7="","",IF(P7="A",4.0,IF(P7="A-",3.7,IF(P7="B+",3.3,IF(P7="B",3.0,IF(P7="B-",2.7,IF(P7="C+",2.3,IF(P7="C",2.0,IF(P7="C-",1.7,IF(P7="D+",1.3,IF(P7="D",1.0,0)))))))))))</f>
        <v/>
      </c>
    </row>
    <row r="8">
      <c r="A8" s="11" t="n">
        <v>4</v>
      </c>
      <c r="B8" s="11" t="inlineStr">
        <is>
          <t>Biology I</t>
        </is>
      </c>
      <c r="C8" s="11" t="n">
        <v>78</v>
      </c>
      <c r="D8" s="21">
        <f>IF(C8="",0,C8*0.2)</f>
        <v/>
      </c>
      <c r="E8" s="11" t="n">
        <v>72</v>
      </c>
      <c r="F8" s="21">
        <f>IF(E8="",0,E8*0.1)</f>
        <v/>
      </c>
      <c r="G8" s="11" t="n"/>
      <c r="H8" s="21">
        <f>IF(G8="",0,G8*0.2)</f>
        <v/>
      </c>
      <c r="I8" s="11" t="n"/>
      <c r="J8" s="21">
        <f>IF(I8="",0,I8*0.25)</f>
        <v/>
      </c>
      <c r="K8" s="11" t="n">
        <v>80</v>
      </c>
      <c r="L8" s="21">
        <f>IF(K8="",0,K8*0.2)</f>
        <v/>
      </c>
      <c r="M8" s="11" t="n">
        <v>85</v>
      </c>
      <c r="N8" s="21">
        <f>IF(M8="",0,M8*0.05)</f>
        <v/>
      </c>
      <c r="O8" s="21">
        <f>IF(B8="","",D8+F8+H8+J8+L8+N8)</f>
        <v/>
      </c>
      <c r="P8" s="11">
        <f>IF(O8="","",IF(O8&gt;=93,"A",IF(O8&gt;=90,"A-",IF(O8&gt;=87,"B+",IF(O8&gt;=83,"B",IF(O8&gt;=80,"B-",IF(O8&gt;=77,"C+",IF(O8&gt;=73,"C",IF(O8&gt;=70,"C-",IF(O8&gt;=67,"D+",IF(O8&gt;=60,"D","F")))))))))))</f>
        <v/>
      </c>
      <c r="Q8" s="21">
        <f>IF(P8="","",IF(P8="A",4.0,IF(P8="A-",3.7,IF(P8="B+",3.3,IF(P8="B",3.0,IF(P8="B-",2.7,IF(P8="C+",2.3,IF(P8="C",2.0,IF(P8="C-",1.7,IF(P8="D+",1.3,IF(P8="D",1.0,0)))))))))))</f>
        <v/>
      </c>
    </row>
    <row r="9">
      <c r="A9" s="10" t="n">
        <v>5</v>
      </c>
      <c r="B9" s="10" t="inlineStr">
        <is>
          <t>Art History</t>
        </is>
      </c>
      <c r="C9" s="10" t="n">
        <v>88</v>
      </c>
      <c r="D9" s="20">
        <f>IF(C9="",0,C9*0.2)</f>
        <v/>
      </c>
      <c r="E9" s="10" t="n">
        <v>85</v>
      </c>
      <c r="F9" s="20">
        <f>IF(E9="",0,E9*0.1)</f>
        <v/>
      </c>
      <c r="G9" s="10" t="n"/>
      <c r="H9" s="20">
        <f>IF(G9="",0,G9*0.2)</f>
        <v/>
      </c>
      <c r="I9" s="10" t="n"/>
      <c r="J9" s="20">
        <f>IF(I9="",0,I9*0.25)</f>
        <v/>
      </c>
      <c r="K9" s="10" t="n">
        <v>90</v>
      </c>
      <c r="L9" s="20">
        <f>IF(K9="",0,K9*0.2)</f>
        <v/>
      </c>
      <c r="M9" s="10" t="n">
        <v>92</v>
      </c>
      <c r="N9" s="20">
        <f>IF(M9="",0,M9*0.05)</f>
        <v/>
      </c>
      <c r="O9" s="20">
        <f>IF(B9="","",D9+F9+H9+J9+L9+N9)</f>
        <v/>
      </c>
      <c r="P9" s="10">
        <f>IF(O9="","",IF(O9&gt;=93,"A",IF(O9&gt;=90,"A-",IF(O9&gt;=87,"B+",IF(O9&gt;=83,"B",IF(O9&gt;=80,"B-",IF(O9&gt;=77,"C+",IF(O9&gt;=73,"C",IF(O9&gt;=70,"C-",IF(O9&gt;=67,"D+",IF(O9&gt;=60,"D","F")))))))))))</f>
        <v/>
      </c>
      <c r="Q9" s="20">
        <f>IF(P9="","",IF(P9="A",4.0,IF(P9="A-",3.7,IF(P9="B+",3.3,IF(P9="B",3.0,IF(P9="B-",2.7,IF(P9="C+",2.3,IF(P9="C",2.0,IF(P9="C-",1.7,IF(P9="D+",1.3,IF(P9="D",1.0,0)))))))))))</f>
        <v/>
      </c>
    </row>
    <row r="10">
      <c r="A10" s="11" t="n">
        <v>6</v>
      </c>
      <c r="B10" s="11" t="inlineStr"/>
      <c r="C10" s="11" t="n"/>
      <c r="D10" s="21">
        <f>IF(C10="",0,C10*0.2)</f>
        <v/>
      </c>
      <c r="E10" s="11" t="n"/>
      <c r="F10" s="21">
        <f>IF(E10="",0,E10*0.1)</f>
        <v/>
      </c>
      <c r="G10" s="11" t="n"/>
      <c r="H10" s="21">
        <f>IF(G10="",0,G10*0.2)</f>
        <v/>
      </c>
      <c r="I10" s="11" t="n"/>
      <c r="J10" s="21">
        <f>IF(I10="",0,I10*0.25)</f>
        <v/>
      </c>
      <c r="K10" s="11" t="n"/>
      <c r="L10" s="21">
        <f>IF(K10="",0,K10*0.2)</f>
        <v/>
      </c>
      <c r="M10" s="11" t="n"/>
      <c r="N10" s="21">
        <f>IF(M10="",0,M10*0.05)</f>
        <v/>
      </c>
      <c r="O10" s="21">
        <f>IF(B10="","",D10+F10+H10+J10+L10+N10)</f>
        <v/>
      </c>
      <c r="P10" s="11">
        <f>IF(O10="","",IF(O10&gt;=93,"A",IF(O10&gt;=90,"A-",IF(O10&gt;=87,"B+",IF(O10&gt;=83,"B",IF(O10&gt;=80,"B-",IF(O10&gt;=77,"C+",IF(O10&gt;=73,"C",IF(O10&gt;=70,"C-",IF(O10&gt;=67,"D+",IF(O10&gt;=60,"D","F")))))))))))</f>
        <v/>
      </c>
      <c r="Q10" s="21">
        <f>IF(P10="","",IF(P10="A",4.0,IF(P10="A-",3.7,IF(P10="B+",3.3,IF(P10="B",3.0,IF(P10="B-",2.7,IF(P10="C+",2.3,IF(P10="C",2.0,IF(P10="C-",1.7,IF(P10="D+",1.3,IF(P10="D",1.0,0)))))))))))</f>
        <v/>
      </c>
    </row>
    <row r="11">
      <c r="A11" s="10" t="n">
        <v>7</v>
      </c>
      <c r="B11" s="10" t="inlineStr"/>
      <c r="C11" s="10" t="n"/>
      <c r="D11" s="20">
        <f>IF(C11="",0,C11*0.2)</f>
        <v/>
      </c>
      <c r="E11" s="10" t="n"/>
      <c r="F11" s="20">
        <f>IF(E11="",0,E11*0.1)</f>
        <v/>
      </c>
      <c r="G11" s="10" t="n"/>
      <c r="H11" s="20">
        <f>IF(G11="",0,G11*0.2)</f>
        <v/>
      </c>
      <c r="I11" s="10" t="n"/>
      <c r="J11" s="20">
        <f>IF(I11="",0,I11*0.25)</f>
        <v/>
      </c>
      <c r="K11" s="10" t="n"/>
      <c r="L11" s="20">
        <f>IF(K11="",0,K11*0.2)</f>
        <v/>
      </c>
      <c r="M11" s="10" t="n"/>
      <c r="N11" s="20">
        <f>IF(M11="",0,M11*0.05)</f>
        <v/>
      </c>
      <c r="O11" s="20">
        <f>IF(B11="","",D11+F11+H11+J11+L11+N11)</f>
        <v/>
      </c>
      <c r="P11" s="10">
        <f>IF(O11="","",IF(O11&gt;=93,"A",IF(O11&gt;=90,"A-",IF(O11&gt;=87,"B+",IF(O11&gt;=83,"B",IF(O11&gt;=80,"B-",IF(O11&gt;=77,"C+",IF(O11&gt;=73,"C",IF(O11&gt;=70,"C-",IF(O11&gt;=67,"D+",IF(O11&gt;=60,"D","F")))))))))))</f>
        <v/>
      </c>
      <c r="Q11" s="20">
        <f>IF(P11="","",IF(P11="A",4.0,IF(P11="A-",3.7,IF(P11="B+",3.3,IF(P11="B",3.0,IF(P11="B-",2.7,IF(P11="C+",2.3,IF(P11="C",2.0,IF(P11="C-",1.7,IF(P11="D+",1.3,IF(P11="D",1.0,0)))))))))))</f>
        <v/>
      </c>
    </row>
    <row r="12">
      <c r="A12" s="11" t="n">
        <v>8</v>
      </c>
      <c r="B12" s="11" t="inlineStr"/>
      <c r="C12" s="11" t="n"/>
      <c r="D12" s="21">
        <f>IF(C12="",0,C12*0.2)</f>
        <v/>
      </c>
      <c r="E12" s="11" t="n"/>
      <c r="F12" s="21">
        <f>IF(E12="",0,E12*0.1)</f>
        <v/>
      </c>
      <c r="G12" s="11" t="n"/>
      <c r="H12" s="21">
        <f>IF(G12="",0,G12*0.2)</f>
        <v/>
      </c>
      <c r="I12" s="11" t="n"/>
      <c r="J12" s="21">
        <f>IF(I12="",0,I12*0.25)</f>
        <v/>
      </c>
      <c r="K12" s="11" t="n"/>
      <c r="L12" s="21">
        <f>IF(K12="",0,K12*0.2)</f>
        <v/>
      </c>
      <c r="M12" s="11" t="n"/>
      <c r="N12" s="21">
        <f>IF(M12="",0,M12*0.05)</f>
        <v/>
      </c>
      <c r="O12" s="21">
        <f>IF(B12="","",D12+F12+H12+J12+L12+N12)</f>
        <v/>
      </c>
      <c r="P12" s="11">
        <f>IF(O12="","",IF(O12&gt;=93,"A",IF(O12&gt;=90,"A-",IF(O12&gt;=87,"B+",IF(O12&gt;=83,"B",IF(O12&gt;=80,"B-",IF(O12&gt;=77,"C+",IF(O12&gt;=73,"C",IF(O12&gt;=70,"C-",IF(O12&gt;=67,"D+",IF(O12&gt;=60,"D","F")))))))))))</f>
        <v/>
      </c>
      <c r="Q12" s="21">
        <f>IF(P12="","",IF(P12="A",4.0,IF(P12="A-",3.7,IF(P12="B+",3.3,IF(P12="B",3.0,IF(P12="B-",2.7,IF(P12="C+",2.3,IF(P12="C",2.0,IF(P12="C-",1.7,IF(P12="D+",1.3,IF(P12="D",1.0,0)))))))))))</f>
        <v/>
      </c>
    </row>
    <row r="14">
      <c r="A14" s="22" t="inlineStr">
        <is>
          <t>SEMESTER GPA</t>
        </is>
      </c>
      <c r="C14" s="23">
        <f>IF(COUNT(Q5:Q12)&gt;0,AVERAGE(Q5:Q12),0)</f>
        <v/>
      </c>
    </row>
  </sheetData>
  <mergeCells count="14">
    <mergeCell ref="A3:A4"/>
    <mergeCell ref="B3:B4"/>
    <mergeCell ref="O3:O4"/>
    <mergeCell ref="P3:P4"/>
    <mergeCell ref="Q3:Q4"/>
    <mergeCell ref="A1:O1"/>
    <mergeCell ref="A14:B14"/>
    <mergeCell ref="M3:N3"/>
    <mergeCell ref="A1:Q1"/>
    <mergeCell ref="C3:D3"/>
    <mergeCell ref="G3:H3"/>
    <mergeCell ref="E3:F3"/>
    <mergeCell ref="K3:L3"/>
    <mergeCell ref="I3:J3"/>
  </mergeCells>
  <pageMargins left="0.75" right="0.75" top="1" bottom="1" header="0.5" footer="0.5"/>
</worksheet>
</file>

<file path=xl/worksheets/sheet5.xml><?xml version="1.0" encoding="utf-8"?>
<worksheet xmlns="http://schemas.openxmlformats.org/spreadsheetml/2006/main">
  <sheetPr>
    <tabColor rgb="00ECC94B"/>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14" customWidth="1" min="1" max="1"/>
    <col width="16" customWidth="1" min="2" max="2"/>
    <col width="20" customWidth="1" min="3" max="3"/>
    <col width="24" customWidth="1" min="4" max="4"/>
    <col width="12" customWidth="1" min="5" max="5"/>
    <col width="16" customWidth="1" min="6" max="6"/>
    <col width="12" customWidth="1" min="7" max="7"/>
  </cols>
  <sheetData>
    <row r="1" ht="40" customHeight="1">
      <c r="A1" s="12" t="inlineStr">
        <is>
          <t>WEEKLY STUDY PLANNER</t>
        </is>
      </c>
    </row>
    <row r="2">
      <c r="A2" s="9" t="inlineStr">
        <is>
          <t>Day</t>
        </is>
      </c>
      <c r="B2" s="9" t="inlineStr">
        <is>
          <t>Time Block</t>
        </is>
      </c>
      <c r="C2" s="9" t="inlineStr">
        <is>
          <t>Class/Subject</t>
        </is>
      </c>
      <c r="D2" s="9" t="inlineStr">
        <is>
          <t>Study Task</t>
        </is>
      </c>
      <c r="E2" s="9" t="inlineStr">
        <is>
          <t>Duration (hrs)</t>
        </is>
      </c>
      <c r="F2" s="9" t="inlineStr">
        <is>
          <t>Location</t>
        </is>
      </c>
      <c r="G2" s="9" t="inlineStr">
        <is>
          <t>Completed</t>
        </is>
      </c>
    </row>
    <row r="3">
      <c r="A3" s="10" t="inlineStr">
        <is>
          <t>Monday</t>
        </is>
      </c>
      <c r="B3" s="10" t="inlineStr">
        <is>
          <t>Morning</t>
        </is>
      </c>
      <c r="C3" s="10" t="inlineStr">
        <is>
          <t>MATH 202</t>
        </is>
      </c>
      <c r="D3" s="10" t="inlineStr">
        <is>
          <t>Review Ch 7 problems</t>
        </is>
      </c>
      <c r="E3" s="10" t="n">
        <v>1.5</v>
      </c>
      <c r="F3" s="10" t="inlineStr">
        <is>
          <t>Library 2nd Floor</t>
        </is>
      </c>
      <c r="G3" s="10" t="inlineStr">
        <is>
          <t>Yes</t>
        </is>
      </c>
    </row>
    <row r="4">
      <c r="A4" s="11" t="inlineStr">
        <is>
          <t>Monday</t>
        </is>
      </c>
      <c r="B4" s="11" t="inlineStr">
        <is>
          <t>Afternoon</t>
        </is>
      </c>
      <c r="C4" s="11" t="inlineStr">
        <is>
          <t>PSY 101</t>
        </is>
      </c>
      <c r="D4" s="11" t="inlineStr">
        <is>
          <t>Read Chapter 4</t>
        </is>
      </c>
      <c r="E4" s="11" t="n">
        <v>1</v>
      </c>
      <c r="F4" s="11" t="inlineStr">
        <is>
          <t>Dorm Room</t>
        </is>
      </c>
      <c r="G4" s="11" t="inlineStr">
        <is>
          <t>Yes</t>
        </is>
      </c>
    </row>
    <row r="5">
      <c r="A5" s="10" t="inlineStr">
        <is>
          <t>Monday</t>
        </is>
      </c>
      <c r="B5" s="10" t="inlineStr">
        <is>
          <t>Evening</t>
        </is>
      </c>
      <c r="C5" s="10" t="inlineStr">
        <is>
          <t>ENG 110</t>
        </is>
      </c>
      <c r="D5" s="10" t="inlineStr">
        <is>
          <t>Write essay outline</t>
        </is>
      </c>
      <c r="E5" s="10" t="n">
        <v>2</v>
      </c>
      <c r="F5" s="10" t="inlineStr">
        <is>
          <t>Coffee Shop</t>
        </is>
      </c>
      <c r="G5" s="10" t="inlineStr">
        <is>
          <t>No</t>
        </is>
      </c>
    </row>
    <row r="6">
      <c r="A6" s="11" t="inlineStr">
        <is>
          <t>Tuesday</t>
        </is>
      </c>
      <c r="B6" s="11" t="inlineStr">
        <is>
          <t>Morning</t>
        </is>
      </c>
      <c r="C6" s="11" t="inlineStr">
        <is>
          <t>BIO 150</t>
        </is>
      </c>
      <c r="D6" s="11" t="inlineStr">
        <is>
          <t>Review lab procedures</t>
        </is>
      </c>
      <c r="E6" s="11" t="n">
        <v>1</v>
      </c>
      <c r="F6" s="11" t="inlineStr">
        <is>
          <t>Science Lab</t>
        </is>
      </c>
      <c r="G6" s="11" t="inlineStr">
        <is>
          <t>No</t>
        </is>
      </c>
    </row>
    <row r="7">
      <c r="A7" s="10" t="inlineStr">
        <is>
          <t>Tuesday</t>
        </is>
      </c>
      <c r="B7" s="10" t="inlineStr">
        <is>
          <t>Afternoon</t>
        </is>
      </c>
      <c r="C7" s="10" t="inlineStr">
        <is>
          <t>ART 201</t>
        </is>
      </c>
      <c r="D7" s="10" t="inlineStr">
        <is>
          <t>Museum notes review</t>
        </is>
      </c>
      <c r="E7" s="10" t="n">
        <v>1.5</v>
      </c>
      <c r="F7" s="10" t="inlineStr">
        <is>
          <t>Art Building</t>
        </is>
      </c>
      <c r="G7" s="10" t="inlineStr">
        <is>
          <t>No</t>
        </is>
      </c>
    </row>
    <row r="8">
      <c r="A8" s="11" t="inlineStr">
        <is>
          <t>Tuesday</t>
        </is>
      </c>
      <c r="B8" s="11" t="inlineStr">
        <is>
          <t>Evening</t>
        </is>
      </c>
      <c r="C8" s="11" t="inlineStr">
        <is>
          <t>MATH 202</t>
        </is>
      </c>
      <c r="D8" s="11" t="inlineStr">
        <is>
          <t>Practice integrals</t>
        </is>
      </c>
      <c r="E8" s="11" t="n">
        <v>2</v>
      </c>
      <c r="F8" s="11" t="inlineStr">
        <is>
          <t>Library 2nd Floor</t>
        </is>
      </c>
      <c r="G8" s="11" t="inlineStr">
        <is>
          <t>No</t>
        </is>
      </c>
    </row>
    <row r="9">
      <c r="A9" s="10" t="inlineStr">
        <is>
          <t>Wednesday</t>
        </is>
      </c>
      <c r="B9" s="10" t="inlineStr">
        <is>
          <t>Morning</t>
        </is>
      </c>
      <c r="C9" s="10" t="inlineStr">
        <is>
          <t>PSY 101</t>
        </is>
      </c>
      <c r="D9" s="10" t="inlineStr">
        <is>
          <t>Flashcards Ch 3-4</t>
        </is>
      </c>
      <c r="E9" s="10" t="n">
        <v>1</v>
      </c>
      <c r="F9" s="10" t="inlineStr">
        <is>
          <t>Student Center</t>
        </is>
      </c>
      <c r="G9" s="10" t="inlineStr">
        <is>
          <t>No</t>
        </is>
      </c>
    </row>
    <row r="10">
      <c r="A10" s="11" t="inlineStr">
        <is>
          <t>Wednesday</t>
        </is>
      </c>
      <c r="B10" s="11" t="inlineStr">
        <is>
          <t>Afternoon</t>
        </is>
      </c>
      <c r="C10" s="11" t="inlineStr">
        <is>
          <t>ENG 110</t>
        </is>
      </c>
      <c r="D10" s="11" t="inlineStr">
        <is>
          <t>Draft body paragraphs</t>
        </is>
      </c>
      <c r="E10" s="11" t="n">
        <v>2.5</v>
      </c>
      <c r="F10" s="11" t="inlineStr">
        <is>
          <t>Library 3rd Floor</t>
        </is>
      </c>
      <c r="G10" s="11" t="inlineStr">
        <is>
          <t>No</t>
        </is>
      </c>
    </row>
    <row r="11">
      <c r="A11" s="10" t="inlineStr">
        <is>
          <t>Wednesday</t>
        </is>
      </c>
      <c r="B11" s="10" t="inlineStr">
        <is>
          <t>Evening</t>
        </is>
      </c>
      <c r="C11" s="10" t="inlineStr">
        <is>
          <t>BIO 150</t>
        </is>
      </c>
      <c r="D11" s="10" t="inlineStr">
        <is>
          <t>Study guide Ch 5</t>
        </is>
      </c>
      <c r="E11" s="10" t="n">
        <v>1.5</v>
      </c>
      <c r="F11" s="10" t="inlineStr">
        <is>
          <t>Dorm Room</t>
        </is>
      </c>
      <c r="G11" s="10" t="inlineStr">
        <is>
          <t>No</t>
        </is>
      </c>
    </row>
    <row r="12">
      <c r="A12" s="11" t="inlineStr">
        <is>
          <t>Thursday</t>
        </is>
      </c>
      <c r="B12" s="11" t="inlineStr">
        <is>
          <t>Morning</t>
        </is>
      </c>
      <c r="C12" s="11" t="inlineStr">
        <is>
          <t>ART 201</t>
        </is>
      </c>
      <c r="D12" s="11" t="inlineStr">
        <is>
          <t>Slide analysis notes</t>
        </is>
      </c>
      <c r="E12" s="11" t="n">
        <v>1</v>
      </c>
      <c r="F12" s="11" t="inlineStr">
        <is>
          <t>Art Building</t>
        </is>
      </c>
      <c r="G12" s="11" t="inlineStr">
        <is>
          <t>No</t>
        </is>
      </c>
    </row>
    <row r="13">
      <c r="A13" s="10" t="inlineStr">
        <is>
          <t>Thursday</t>
        </is>
      </c>
      <c r="B13" s="10" t="inlineStr">
        <is>
          <t>Afternoon</t>
        </is>
      </c>
      <c r="C13" s="10" t="inlineStr">
        <is>
          <t>MATH 202</t>
        </is>
      </c>
      <c r="D13" s="10" t="inlineStr">
        <is>
          <t>Problem Set 5</t>
        </is>
      </c>
      <c r="E13" s="10" t="n">
        <v>2</v>
      </c>
      <c r="F13" s="10" t="inlineStr">
        <is>
          <t>Math Tutoring Lab</t>
        </is>
      </c>
      <c r="G13" s="10" t="inlineStr">
        <is>
          <t>No</t>
        </is>
      </c>
    </row>
    <row r="14">
      <c r="A14" s="11" t="inlineStr">
        <is>
          <t>Thursday</t>
        </is>
      </c>
      <c r="B14" s="11" t="inlineStr">
        <is>
          <t>Evening</t>
        </is>
      </c>
      <c r="C14" s="11" t="inlineStr">
        <is>
          <t>PSY 101</t>
        </is>
      </c>
      <c r="D14" s="11" t="inlineStr">
        <is>
          <t>Research proposal draft</t>
        </is>
      </c>
      <c r="E14" s="11" t="n">
        <v>2</v>
      </c>
      <c r="F14" s="11" t="inlineStr">
        <is>
          <t>Library 2nd Floor</t>
        </is>
      </c>
      <c r="G14" s="11" t="inlineStr">
        <is>
          <t>No</t>
        </is>
      </c>
    </row>
    <row r="15">
      <c r="A15" s="10" t="inlineStr">
        <is>
          <t>Friday</t>
        </is>
      </c>
      <c r="B15" s="10" t="inlineStr">
        <is>
          <t>Morning</t>
        </is>
      </c>
      <c r="C15" s="10" t="inlineStr">
        <is>
          <t>BIO 150</t>
        </is>
      </c>
      <c r="D15" s="10" t="inlineStr">
        <is>
          <t>Lab report writing</t>
        </is>
      </c>
      <c r="E15" s="10" t="n">
        <v>2</v>
      </c>
      <c r="F15" s="10" t="inlineStr">
        <is>
          <t>Science Library</t>
        </is>
      </c>
      <c r="G15" s="10" t="inlineStr">
        <is>
          <t>No</t>
        </is>
      </c>
    </row>
    <row r="16">
      <c r="A16" s="11" t="inlineStr">
        <is>
          <t>Friday</t>
        </is>
      </c>
      <c r="B16" s="11" t="inlineStr">
        <is>
          <t>Afternoon</t>
        </is>
      </c>
      <c r="C16" s="11" t="inlineStr">
        <is>
          <t>ENG 110</t>
        </is>
      </c>
      <c r="D16" s="11" t="inlineStr">
        <is>
          <t>Peer review prep</t>
        </is>
      </c>
      <c r="E16" s="11" t="n">
        <v>1</v>
      </c>
      <c r="F16" s="11" t="inlineStr">
        <is>
          <t>Dorm Room</t>
        </is>
      </c>
      <c r="G16" s="11" t="inlineStr">
        <is>
          <t>No</t>
        </is>
      </c>
    </row>
    <row r="17">
      <c r="A17" s="10" t="inlineStr">
        <is>
          <t>Saturday</t>
        </is>
      </c>
      <c r="B17" s="10" t="inlineStr">
        <is>
          <t>Morning</t>
        </is>
      </c>
      <c r="C17" s="10" t="inlineStr">
        <is>
          <t>MATH 202</t>
        </is>
      </c>
      <c r="D17" s="10" t="inlineStr">
        <is>
          <t>Review weak topics</t>
        </is>
      </c>
      <c r="E17" s="10" t="n">
        <v>2</v>
      </c>
      <c r="F17" s="10" t="inlineStr">
        <is>
          <t>Coffee Shop</t>
        </is>
      </c>
      <c r="G17" s="10" t="inlineStr">
        <is>
          <t>No</t>
        </is>
      </c>
    </row>
    <row r="18">
      <c r="A18" s="11" t="inlineStr">
        <is>
          <t>Saturday</t>
        </is>
      </c>
      <c r="B18" s="11" t="inlineStr">
        <is>
          <t>Afternoon</t>
        </is>
      </c>
      <c r="C18" s="11" t="inlineStr">
        <is>
          <t>BIO 150</t>
        </is>
      </c>
      <c r="D18" s="11" t="inlineStr">
        <is>
          <t>Midterm study group</t>
        </is>
      </c>
      <c r="E18" s="11" t="n">
        <v>3</v>
      </c>
      <c r="F18" s="11" t="inlineStr">
        <is>
          <t>Library Group Room</t>
        </is>
      </c>
      <c r="G18" s="11" t="inlineStr">
        <is>
          <t>No</t>
        </is>
      </c>
    </row>
    <row r="19">
      <c r="A19" s="10" t="inlineStr">
        <is>
          <t>Sunday</t>
        </is>
      </c>
      <c r="B19" s="10" t="inlineStr">
        <is>
          <t>Afternoon</t>
        </is>
      </c>
      <c r="C19" s="10" t="inlineStr">
        <is>
          <t>All Classes</t>
        </is>
      </c>
      <c r="D19" s="10" t="inlineStr">
        <is>
          <t>Week ahead planning</t>
        </is>
      </c>
      <c r="E19" s="10" t="n">
        <v>1</v>
      </c>
      <c r="F19" s="10" t="inlineStr">
        <is>
          <t>Dorm Room</t>
        </is>
      </c>
      <c r="G19" s="10" t="inlineStr">
        <is>
          <t>No</t>
        </is>
      </c>
    </row>
    <row r="20">
      <c r="A20" s="11" t="inlineStr">
        <is>
          <t>Sunday</t>
        </is>
      </c>
      <c r="B20" s="11" t="inlineStr">
        <is>
          <t>Evening</t>
        </is>
      </c>
      <c r="C20" s="11" t="inlineStr">
        <is>
          <t>PSY 101</t>
        </is>
      </c>
      <c r="D20" s="11" t="inlineStr">
        <is>
          <t>Quizlet review</t>
        </is>
      </c>
      <c r="E20" s="11" t="n">
        <v>1</v>
      </c>
      <c r="F20" s="11" t="inlineStr">
        <is>
          <t>Dorm Room</t>
        </is>
      </c>
      <c r="G20" s="11" t="inlineStr">
        <is>
          <t>No</t>
        </is>
      </c>
    </row>
    <row r="21">
      <c r="A21" s="10" t="n"/>
      <c r="B21" s="10" t="n"/>
      <c r="C21" s="10" t="n"/>
      <c r="D21" s="10" t="n"/>
      <c r="E21" s="10" t="n"/>
      <c r="F21" s="10" t="n"/>
      <c r="G21" s="10" t="n"/>
    </row>
    <row r="22">
      <c r="A22" s="11" t="n"/>
      <c r="B22" s="11" t="n"/>
      <c r="C22" s="11" t="n"/>
      <c r="D22" s="11" t="n"/>
      <c r="E22" s="11" t="n"/>
      <c r="F22" s="11" t="n"/>
      <c r="G22" s="11" t="n"/>
    </row>
    <row r="23">
      <c r="A23" s="10" t="n"/>
      <c r="B23" s="10" t="n"/>
      <c r="C23" s="10" t="n"/>
      <c r="D23" s="10" t="n"/>
      <c r="E23" s="10" t="n"/>
      <c r="F23" s="10" t="n"/>
      <c r="G23" s="10" t="n"/>
    </row>
    <row r="24">
      <c r="A24" s="11" t="n"/>
      <c r="B24" s="11" t="n"/>
      <c r="C24" s="11" t="n"/>
      <c r="D24" s="11" t="n"/>
      <c r="E24" s="11" t="n"/>
      <c r="F24" s="11" t="n"/>
      <c r="G24" s="11" t="n"/>
    </row>
    <row r="25">
      <c r="A25" s="10" t="n"/>
      <c r="B25" s="10" t="n"/>
      <c r="C25" s="10" t="n"/>
      <c r="D25" s="10" t="n"/>
      <c r="E25" s="10" t="n"/>
      <c r="F25" s="10" t="n"/>
      <c r="G25" s="10" t="n"/>
    </row>
    <row r="26">
      <c r="A26" s="11" t="n"/>
      <c r="B26" s="11" t="n"/>
      <c r="C26" s="11" t="n"/>
      <c r="D26" s="11" t="n"/>
      <c r="E26" s="11" t="n"/>
      <c r="F26" s="11" t="n"/>
      <c r="G26" s="11" t="n"/>
    </row>
    <row r="27">
      <c r="A27" s="10" t="n"/>
      <c r="B27" s="10" t="n"/>
      <c r="C27" s="10" t="n"/>
      <c r="D27" s="10" t="n"/>
      <c r="E27" s="10" t="n"/>
      <c r="F27" s="10" t="n"/>
      <c r="G27" s="10" t="n"/>
    </row>
    <row r="28">
      <c r="A28" s="11" t="n"/>
      <c r="B28" s="11" t="n"/>
      <c r="C28" s="11" t="n"/>
      <c r="D28" s="11" t="n"/>
      <c r="E28" s="11" t="n"/>
      <c r="F28" s="11" t="n"/>
      <c r="G28" s="11" t="n"/>
    </row>
    <row r="29">
      <c r="A29" s="10" t="n"/>
      <c r="B29" s="10" t="n"/>
      <c r="C29" s="10" t="n"/>
      <c r="D29" s="10" t="n"/>
      <c r="E29" s="10" t="n"/>
      <c r="F29" s="10" t="n"/>
      <c r="G29" s="10" t="n"/>
    </row>
    <row r="30">
      <c r="A30" s="11" t="n"/>
      <c r="B30" s="11" t="n"/>
      <c r="C30" s="11" t="n"/>
      <c r="D30" s="11" t="n"/>
      <c r="E30" s="11" t="n"/>
      <c r="F30" s="11" t="n"/>
      <c r="G30" s="11" t="n"/>
    </row>
    <row r="31">
      <c r="A31" s="10" t="n"/>
      <c r="B31" s="10" t="n"/>
      <c r="C31" s="10" t="n"/>
      <c r="D31" s="10" t="n"/>
      <c r="E31" s="10" t="n"/>
      <c r="F31" s="10" t="n"/>
      <c r="G31" s="10" t="n"/>
    </row>
    <row r="32">
      <c r="A32" s="11" t="n"/>
      <c r="B32" s="11" t="n"/>
      <c r="C32" s="11" t="n"/>
      <c r="D32" s="11" t="n"/>
      <c r="E32" s="11" t="n"/>
      <c r="F32" s="11" t="n"/>
      <c r="G32" s="11" t="n"/>
    </row>
    <row r="33">
      <c r="A33" s="10" t="n"/>
      <c r="B33" s="10" t="n"/>
      <c r="C33" s="10" t="n"/>
      <c r="D33" s="10" t="n"/>
      <c r="E33" s="10" t="n"/>
      <c r="F33" s="10" t="n"/>
      <c r="G33" s="10" t="n"/>
    </row>
    <row r="34">
      <c r="A34" s="11" t="n"/>
      <c r="B34" s="11" t="n"/>
      <c r="C34" s="11" t="n"/>
      <c r="D34" s="11" t="n"/>
      <c r="E34" s="11" t="n"/>
      <c r="F34" s="11" t="n"/>
      <c r="G34" s="11" t="n"/>
    </row>
    <row r="35">
      <c r="A35" s="10" t="n"/>
      <c r="B35" s="10" t="n"/>
      <c r="C35" s="10" t="n"/>
      <c r="D35" s="10" t="n"/>
      <c r="E35" s="10" t="n"/>
      <c r="F35" s="10" t="n"/>
      <c r="G35" s="10" t="n"/>
    </row>
    <row r="36">
      <c r="A36" s="11" t="n"/>
      <c r="B36" s="11" t="n"/>
      <c r="C36" s="11" t="n"/>
      <c r="D36" s="11" t="n"/>
      <c r="E36" s="11" t="n"/>
      <c r="F36" s="11" t="n"/>
      <c r="G36" s="11" t="n"/>
    </row>
    <row r="37">
      <c r="A37" s="10" t="n"/>
      <c r="B37" s="10" t="n"/>
      <c r="C37" s="10" t="n"/>
      <c r="D37" s="10" t="n"/>
      <c r="E37" s="10" t="n"/>
      <c r="F37" s="10" t="n"/>
      <c r="G37" s="10" t="n"/>
    </row>
    <row r="38">
      <c r="A38" s="11" t="n"/>
      <c r="B38" s="11" t="n"/>
      <c r="C38" s="11" t="n"/>
      <c r="D38" s="11" t="n"/>
      <c r="E38" s="11" t="n"/>
      <c r="F38" s="11" t="n"/>
      <c r="G38" s="11" t="n"/>
    </row>
    <row r="39">
      <c r="A39" s="10" t="n"/>
      <c r="B39" s="10" t="n"/>
      <c r="C39" s="10" t="n"/>
      <c r="D39" s="10" t="n"/>
      <c r="E39" s="10" t="n"/>
      <c r="F39" s="10" t="n"/>
      <c r="G39" s="10" t="n"/>
    </row>
    <row r="40">
      <c r="A40" s="11" t="n"/>
      <c r="B40" s="11" t="n"/>
      <c r="C40" s="11" t="n"/>
      <c r="D40" s="11" t="n"/>
      <c r="E40" s="11" t="n"/>
      <c r="F40" s="11" t="n"/>
      <c r="G40" s="11" t="n"/>
    </row>
    <row r="41">
      <c r="A41" s="10" t="n"/>
      <c r="B41" s="10" t="n"/>
      <c r="C41" s="10" t="n"/>
      <c r="D41" s="10" t="n"/>
      <c r="E41" s="10" t="n"/>
      <c r="F41" s="10" t="n"/>
      <c r="G41" s="10" t="n"/>
    </row>
    <row r="42">
      <c r="A42" s="11" t="n"/>
      <c r="B42" s="11" t="n"/>
      <c r="C42" s="11" t="n"/>
      <c r="D42" s="11" t="n"/>
      <c r="E42" s="11" t="n"/>
      <c r="F42" s="11" t="n"/>
      <c r="G42" s="11" t="n"/>
    </row>
    <row r="43">
      <c r="A43" s="10" t="n"/>
      <c r="B43" s="10" t="n"/>
      <c r="C43" s="10" t="n"/>
      <c r="D43" s="10" t="n"/>
      <c r="E43" s="10" t="n"/>
      <c r="F43" s="10" t="n"/>
      <c r="G43" s="10" t="n"/>
    </row>
    <row r="44">
      <c r="A44" s="11" t="n"/>
      <c r="B44" s="11" t="n"/>
      <c r="C44" s="11" t="n"/>
      <c r="D44" s="11" t="n"/>
      <c r="E44" s="11" t="n"/>
      <c r="F44" s="11" t="n"/>
      <c r="G44" s="11" t="n"/>
    </row>
    <row r="46">
      <c r="A46" s="8" t="inlineStr">
        <is>
          <t>EXAM SCHEDULE</t>
        </is>
      </c>
    </row>
    <row r="47">
      <c r="A47" s="9" t="inlineStr">
        <is>
          <t>Class</t>
        </is>
      </c>
      <c r="B47" s="9" t="inlineStr">
        <is>
          <t>Exam Type</t>
        </is>
      </c>
      <c r="C47" s="9" t="inlineStr">
        <is>
          <t>Date</t>
        </is>
      </c>
      <c r="D47" s="9" t="inlineStr">
        <is>
          <t>Time</t>
        </is>
      </c>
      <c r="E47" s="9" t="inlineStr">
        <is>
          <t>Location</t>
        </is>
      </c>
      <c r="F47" s="9" t="inlineStr">
        <is>
          <t>Study Plan</t>
        </is>
      </c>
      <c r="G47" s="9" t="inlineStr">
        <is>
          <t>Materials Needed</t>
        </is>
      </c>
    </row>
    <row r="48">
      <c r="A48" s="10" t="inlineStr">
        <is>
          <t>BIO 150</t>
        </is>
      </c>
      <c r="B48" s="10" t="inlineStr">
        <is>
          <t>Midterm</t>
        </is>
      </c>
      <c r="C48" s="10" t="inlineStr">
        <is>
          <t>2026-02-25</t>
        </is>
      </c>
      <c r="D48" s="10" t="inlineStr">
        <is>
          <t>2:00 PM</t>
        </is>
      </c>
      <c r="E48" s="10" t="inlineStr">
        <is>
          <t>Bio 210</t>
        </is>
      </c>
      <c r="F48" s="10" t="inlineStr">
        <is>
          <t>Study guide + flashcards</t>
        </is>
      </c>
      <c r="G48" s="10" t="inlineStr">
        <is>
          <t>Calculator, pencils</t>
        </is>
      </c>
    </row>
    <row r="49">
      <c r="A49" s="11" t="inlineStr">
        <is>
          <t>PSY 101</t>
        </is>
      </c>
      <c r="B49" s="11" t="inlineStr">
        <is>
          <t>Midterm</t>
        </is>
      </c>
      <c r="C49" s="11" t="inlineStr">
        <is>
          <t>2026-03-05</t>
        </is>
      </c>
      <c r="D49" s="11" t="inlineStr">
        <is>
          <t>9:00 AM</t>
        </is>
      </c>
      <c r="E49" s="11" t="inlineStr">
        <is>
          <t>Hall 204</t>
        </is>
      </c>
      <c r="F49" s="11" t="inlineStr">
        <is>
          <t>Review notes Ch 1-6</t>
        </is>
      </c>
      <c r="G49" s="11" t="inlineStr">
        <is>
          <t>Blue book, pen</t>
        </is>
      </c>
    </row>
    <row r="50">
      <c r="A50" s="10" t="inlineStr">
        <is>
          <t>MATH 202</t>
        </is>
      </c>
      <c r="B50" s="10" t="inlineStr">
        <is>
          <t>Midterm</t>
        </is>
      </c>
      <c r="C50" s="10" t="inlineStr">
        <is>
          <t>2026-03-10</t>
        </is>
      </c>
      <c r="D50" s="10" t="inlineStr">
        <is>
          <t>10:30 AM</t>
        </is>
      </c>
      <c r="E50" s="10" t="inlineStr">
        <is>
          <t>Sci 301</t>
        </is>
      </c>
      <c r="F50" s="10" t="inlineStr">
        <is>
          <t>Practice problems</t>
        </is>
      </c>
      <c r="G50" s="10" t="inlineStr">
        <is>
          <t>Graphing calculator</t>
        </is>
      </c>
    </row>
    <row r="51">
      <c r="A51" s="11" t="inlineStr">
        <is>
          <t>ENG 110</t>
        </is>
      </c>
      <c r="B51" s="11" t="inlineStr">
        <is>
          <t>Midterm Essay</t>
        </is>
      </c>
      <c r="C51" s="11" t="inlineStr">
        <is>
          <t>2026-03-12</t>
        </is>
      </c>
      <c r="D51" s="11" t="inlineStr">
        <is>
          <t>1:00 PM</t>
        </is>
      </c>
      <c r="E51" s="11" t="inlineStr">
        <is>
          <t>Lib 105</t>
        </is>
      </c>
      <c r="F51" s="11" t="inlineStr">
        <is>
          <t>Review essay structure</t>
        </is>
      </c>
      <c r="G51" s="11" t="inlineStr">
        <is>
          <t>Laptop</t>
        </is>
      </c>
    </row>
    <row r="52">
      <c r="A52" s="10" t="inlineStr">
        <is>
          <t>ART 201</t>
        </is>
      </c>
      <c r="B52" s="10" t="inlineStr">
        <is>
          <t>Midterm</t>
        </is>
      </c>
      <c r="C52" s="10" t="inlineStr">
        <is>
          <t>2026-03-15</t>
        </is>
      </c>
      <c r="D52" s="10" t="inlineStr">
        <is>
          <t>4:00 PM</t>
        </is>
      </c>
      <c r="E52" s="10" t="inlineStr">
        <is>
          <t>Art 102</t>
        </is>
      </c>
      <c r="F52" s="10" t="inlineStr">
        <is>
          <t>Memorize artworks</t>
        </is>
      </c>
      <c r="G52" s="10" t="inlineStr">
        <is>
          <t>Printed study guide</t>
        </is>
      </c>
    </row>
    <row r="53">
      <c r="A53" s="11" t="n"/>
      <c r="B53" s="11" t="n"/>
      <c r="C53" s="11" t="n"/>
      <c r="D53" s="11" t="n"/>
      <c r="E53" s="11" t="n"/>
      <c r="F53" s="11" t="n"/>
      <c r="G53" s="11" t="n"/>
    </row>
    <row r="54">
      <c r="A54" s="10" t="n"/>
      <c r="B54" s="10" t="n"/>
      <c r="C54" s="10" t="n"/>
      <c r="D54" s="10" t="n"/>
      <c r="E54" s="10" t="n"/>
      <c r="F54" s="10" t="n"/>
      <c r="G54" s="10" t="n"/>
    </row>
    <row r="55">
      <c r="A55" s="11" t="n"/>
      <c r="B55" s="11" t="n"/>
      <c r="C55" s="11" t="n"/>
      <c r="D55" s="11" t="n"/>
      <c r="E55" s="11" t="n"/>
      <c r="F55" s="11" t="n"/>
      <c r="G55" s="11" t="n"/>
    </row>
  </sheetData>
  <mergeCells count="2">
    <mergeCell ref="A1:G1"/>
    <mergeCell ref="A46:G46"/>
  </mergeCells>
  <dataValidations count="3">
    <dataValidation sqref="A3 A4 A5 A6 A7 A8 A9 A10 A11 A12 A13 A14 A15 A16 A17 A18 A19 A20 A21 A22 A23 A24 A25 A26 A27 A28 A29 A30 A31 A32 A33 A34 A35 A36 A37 A38 A39 A40 A41 A42 A43 A44" showDropDown="0" showInputMessage="0" showErrorMessage="0" allowBlank="1" type="list">
      <formula1>"Monday,Tuesday,Wednesday,Thursday,Friday,Saturday,Sunday"</formula1>
    </dataValidation>
    <dataValidation sqref="B3 B4 B5 B6 B7 B8 B9 B10 B11 B12 B13 B14 B15 B16 B17 B18 B19 B20 B21 B22 B23 B24 B25 B26 B27 B28 B29 B30 B31 B32 B33 B34 B35 B36 B37 B38 B39 B40 B41 B42 B43 B44" showDropDown="0" showInputMessage="0" showErrorMessage="0" allowBlank="1" type="list">
      <formula1>"Morning,Afternoon,Evening"</formula1>
    </dataValidation>
    <dataValidation sqref="G3 G4 G5 G6 G7 G8 G9 G10 G11 G12 G13 G14 G15 G16 G17 G18 G19 G20 G21 G22 G23 G24 G25 G26 G27 G28 G29 G30 G31 G32 G33 G34 G35 G36 G37 G38 G39 G40 G41 G42 G43 G4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00319795"/>
    <outlinePr summaryBelow="1" summaryRight="1"/>
    <pageSetUpPr/>
  </sheetPr>
  <dimension ref="A1:F105"/>
  <sheetViews>
    <sheetView workbookViewId="0">
      <pane ySplit="2" topLeftCell="A3" activePane="bottomLeft" state="frozen"/>
      <selection pane="bottomLeft" activeCell="A1" sqref="A1"/>
    </sheetView>
  </sheetViews>
  <sheetFormatPr baseColWidth="8" defaultRowHeight="15"/>
  <cols>
    <col width="14" customWidth="1" min="1" max="1"/>
    <col width="28" customWidth="1" min="2" max="2"/>
    <col width="18" customWidth="1" min="3" max="3"/>
    <col width="12" customWidth="1" min="4" max="4"/>
    <col width="16" customWidth="1" min="5" max="5"/>
    <col width="22" customWidth="1" min="6" max="6"/>
  </cols>
  <sheetData>
    <row r="1" ht="40" customHeight="1">
      <c r="A1" s="12" t="inlineStr">
        <is>
          <t>STUDENT EXPENSE TRACKER</t>
        </is>
      </c>
    </row>
    <row r="2">
      <c r="A2" s="9" t="inlineStr">
        <is>
          <t>Date</t>
        </is>
      </c>
      <c r="B2" s="9" t="inlineStr">
        <is>
          <t>Description</t>
        </is>
      </c>
      <c r="C2" s="9" t="inlineStr">
        <is>
          <t>Category</t>
        </is>
      </c>
      <c r="D2" s="9" t="inlineStr">
        <is>
          <t>Amount</t>
        </is>
      </c>
      <c r="E2" s="9" t="inlineStr">
        <is>
          <t>Payment Method</t>
        </is>
      </c>
      <c r="F2" s="9" t="inlineStr">
        <is>
          <t>Notes</t>
        </is>
      </c>
    </row>
    <row r="3">
      <c r="A3" s="10" t="inlineStr">
        <is>
          <t>2026-02-01</t>
        </is>
      </c>
      <c r="B3" s="10" t="inlineStr">
        <is>
          <t>Psychology Textbook (used)</t>
        </is>
      </c>
      <c r="C3" s="10" t="inlineStr">
        <is>
          <t>Textbooks</t>
        </is>
      </c>
      <c r="D3" s="24" t="n">
        <v>45.99</v>
      </c>
      <c r="E3" s="10" t="inlineStr">
        <is>
          <t>Debit Card</t>
        </is>
      </c>
      <c r="F3" s="10" t="inlineStr">
        <is>
          <t>Found on eBay</t>
        </is>
      </c>
    </row>
    <row r="4">
      <c r="A4" s="11" t="inlineStr">
        <is>
          <t>2026-02-01</t>
        </is>
      </c>
      <c r="B4" s="11" t="inlineStr">
        <is>
          <t>Notebook + pens bundle</t>
        </is>
      </c>
      <c r="C4" s="11" t="inlineStr">
        <is>
          <t>Supplies</t>
        </is>
      </c>
      <c r="D4" s="25" t="n">
        <v>12.5</v>
      </c>
      <c r="E4" s="11" t="inlineStr">
        <is>
          <t>Cash</t>
        </is>
      </c>
      <c r="F4" s="11" t="inlineStr"/>
    </row>
    <row r="5">
      <c r="A5" s="10" t="inlineStr">
        <is>
          <t>2026-02-02</t>
        </is>
      </c>
      <c r="B5" s="10" t="inlineStr">
        <is>
          <t>Campus meal plan top-up</t>
        </is>
      </c>
      <c r="C5" s="10" t="inlineStr">
        <is>
          <t>Food</t>
        </is>
      </c>
      <c r="D5" s="24" t="n">
        <v>150</v>
      </c>
      <c r="E5" s="10" t="inlineStr">
        <is>
          <t>Debit Card</t>
        </is>
      </c>
      <c r="F5" s="10" t="inlineStr">
        <is>
          <t>February allocation</t>
        </is>
      </c>
    </row>
    <row r="6">
      <c r="A6" s="11" t="inlineStr">
        <is>
          <t>2026-02-03</t>
        </is>
      </c>
      <c r="B6" s="11" t="inlineStr">
        <is>
          <t>Bus pass (monthly)</t>
        </is>
      </c>
      <c r="C6" s="11" t="inlineStr">
        <is>
          <t>Transportation</t>
        </is>
      </c>
      <c r="D6" s="25" t="n">
        <v>35</v>
      </c>
      <c r="E6" s="11" t="inlineStr">
        <is>
          <t>Debit Card</t>
        </is>
      </c>
      <c r="F6" s="11" t="inlineStr">
        <is>
          <t>Student discount</t>
        </is>
      </c>
    </row>
    <row r="7">
      <c r="A7" s="10" t="inlineStr">
        <is>
          <t>2026-02-05</t>
        </is>
      </c>
      <c r="B7" s="10" t="inlineStr">
        <is>
          <t>Graphing calculator</t>
        </is>
      </c>
      <c r="C7" s="10" t="inlineStr">
        <is>
          <t>Supplies</t>
        </is>
      </c>
      <c r="D7" s="24" t="n">
        <v>89.98999999999999</v>
      </c>
      <c r="E7" s="10" t="inlineStr">
        <is>
          <t>Credit Card</t>
        </is>
      </c>
      <c r="F7" s="10" t="inlineStr">
        <is>
          <t>For MATH 202</t>
        </is>
      </c>
    </row>
    <row r="8">
      <c r="A8" s="11" t="inlineStr">
        <is>
          <t>2026-02-07</t>
        </is>
      </c>
      <c r="B8" s="11" t="inlineStr">
        <is>
          <t>Coffee shop study snacks</t>
        </is>
      </c>
      <c r="C8" s="11" t="inlineStr">
        <is>
          <t>Food</t>
        </is>
      </c>
      <c r="D8" s="25" t="n">
        <v>8.75</v>
      </c>
      <c r="E8" s="11" t="inlineStr">
        <is>
          <t>Cash</t>
        </is>
      </c>
      <c r="F8" s="11" t="inlineStr"/>
    </row>
    <row r="9">
      <c r="A9" s="10" t="inlineStr">
        <is>
          <t>2026-02-08</t>
        </is>
      </c>
      <c r="B9" s="10" t="inlineStr">
        <is>
          <t>Movie night with friends</t>
        </is>
      </c>
      <c r="C9" s="10" t="inlineStr">
        <is>
          <t>Entertainment</t>
        </is>
      </c>
      <c r="D9" s="24" t="n">
        <v>14</v>
      </c>
      <c r="E9" s="10" t="inlineStr">
        <is>
          <t>Venmo</t>
        </is>
      </c>
      <c r="F9" s="10" t="inlineStr"/>
    </row>
    <row r="10">
      <c r="A10" s="11" t="inlineStr">
        <is>
          <t>2026-02-09</t>
        </is>
      </c>
      <c r="B10" s="11" t="inlineStr">
        <is>
          <t>Spotify Student</t>
        </is>
      </c>
      <c r="C10" s="11" t="inlineStr">
        <is>
          <t>Subscriptions</t>
        </is>
      </c>
      <c r="D10" s="25" t="n">
        <v>5.99</v>
      </c>
      <c r="E10" s="11" t="inlineStr">
        <is>
          <t>Credit Card</t>
        </is>
      </c>
      <c r="F10" s="11" t="inlineStr">
        <is>
          <t>Monthly</t>
        </is>
      </c>
    </row>
    <row r="11">
      <c r="A11" s="10" t="inlineStr">
        <is>
          <t>2026-02-10</t>
        </is>
      </c>
      <c r="B11" s="10" t="inlineStr">
        <is>
          <t>Lab coat for Bio</t>
        </is>
      </c>
      <c r="C11" s="10" t="inlineStr">
        <is>
          <t>Supplies</t>
        </is>
      </c>
      <c r="D11" s="24" t="n">
        <v>22</v>
      </c>
      <c r="E11" s="10" t="inlineStr">
        <is>
          <t>Debit Card</t>
        </is>
      </c>
      <c r="F11" s="10" t="inlineStr"/>
    </row>
    <row r="12">
      <c r="A12" s="11" t="inlineStr">
        <is>
          <t>2026-02-12</t>
        </is>
      </c>
      <c r="B12" s="11" t="inlineStr">
        <is>
          <t>Uber to museum</t>
        </is>
      </c>
      <c r="C12" s="11" t="inlineStr">
        <is>
          <t>Transportation</t>
        </is>
      </c>
      <c r="D12" s="25" t="n">
        <v>12.5</v>
      </c>
      <c r="E12" s="11" t="inlineStr">
        <is>
          <t>Venmo</t>
        </is>
      </c>
      <c r="F12" s="11" t="inlineStr">
        <is>
          <t>ART 201 field trip</t>
        </is>
      </c>
    </row>
    <row r="13">
      <c r="A13" s="10" t="n"/>
      <c r="B13" s="10" t="n"/>
      <c r="C13" s="10" t="n"/>
      <c r="D13" s="10" t="n"/>
      <c r="E13" s="10" t="n"/>
      <c r="F13" s="10" t="n"/>
    </row>
    <row r="14">
      <c r="A14" s="11" t="n"/>
      <c r="B14" s="11" t="n"/>
      <c r="C14" s="11" t="n"/>
      <c r="D14" s="11" t="n"/>
      <c r="E14" s="11" t="n"/>
      <c r="F14" s="11" t="n"/>
    </row>
    <row r="15">
      <c r="A15" s="10" t="n"/>
      <c r="B15" s="10" t="n"/>
      <c r="C15" s="10" t="n"/>
      <c r="D15" s="10" t="n"/>
      <c r="E15" s="10" t="n"/>
      <c r="F15" s="10" t="n"/>
    </row>
    <row r="16">
      <c r="A16" s="11" t="n"/>
      <c r="B16" s="11" t="n"/>
      <c r="C16" s="11" t="n"/>
      <c r="D16" s="11" t="n"/>
      <c r="E16" s="11" t="n"/>
      <c r="F16" s="11" t="n"/>
    </row>
    <row r="17">
      <c r="A17" s="10" t="n"/>
      <c r="B17" s="10" t="n"/>
      <c r="C17" s="10" t="n"/>
      <c r="D17" s="10" t="n"/>
      <c r="E17" s="10" t="n"/>
      <c r="F17" s="10" t="n"/>
    </row>
    <row r="18">
      <c r="A18" s="11" t="n"/>
      <c r="B18" s="11" t="n"/>
      <c r="C18" s="11" t="n"/>
      <c r="D18" s="11" t="n"/>
      <c r="E18" s="11" t="n"/>
      <c r="F18" s="11" t="n"/>
    </row>
    <row r="19">
      <c r="A19" s="10" t="n"/>
      <c r="B19" s="10" t="n"/>
      <c r="C19" s="10" t="n"/>
      <c r="D19" s="10" t="n"/>
      <c r="E19" s="10" t="n"/>
      <c r="F19" s="10" t="n"/>
    </row>
    <row r="20">
      <c r="A20" s="11" t="n"/>
      <c r="B20" s="11" t="n"/>
      <c r="C20" s="11" t="n"/>
      <c r="D20" s="11" t="n"/>
      <c r="E20" s="11" t="n"/>
      <c r="F20" s="11" t="n"/>
    </row>
    <row r="21">
      <c r="A21" s="10" t="n"/>
      <c r="B21" s="10" t="n"/>
      <c r="C21" s="10" t="n"/>
      <c r="D21" s="10" t="n"/>
      <c r="E21" s="10" t="n"/>
      <c r="F21" s="10" t="n"/>
    </row>
    <row r="22">
      <c r="A22" s="11" t="n"/>
      <c r="B22" s="11" t="n"/>
      <c r="C22" s="11" t="n"/>
      <c r="D22" s="11" t="n"/>
      <c r="E22" s="11" t="n"/>
      <c r="F22" s="11" t="n"/>
    </row>
    <row r="23">
      <c r="A23" s="10" t="n"/>
      <c r="B23" s="10" t="n"/>
      <c r="C23" s="10" t="n"/>
      <c r="D23" s="10" t="n"/>
      <c r="E23" s="10" t="n"/>
      <c r="F23" s="10" t="n"/>
    </row>
    <row r="24">
      <c r="A24" s="11" t="n"/>
      <c r="B24" s="11" t="n"/>
      <c r="C24" s="11" t="n"/>
      <c r="D24" s="11" t="n"/>
      <c r="E24" s="11" t="n"/>
      <c r="F24" s="11" t="n"/>
    </row>
    <row r="25">
      <c r="A25" s="10" t="n"/>
      <c r="B25" s="10" t="n"/>
      <c r="C25" s="10" t="n"/>
      <c r="D25" s="10" t="n"/>
      <c r="E25" s="10" t="n"/>
      <c r="F25" s="10" t="n"/>
    </row>
    <row r="26">
      <c r="A26" s="11" t="n"/>
      <c r="B26" s="11" t="n"/>
      <c r="C26" s="11" t="n"/>
      <c r="D26" s="11" t="n"/>
      <c r="E26" s="11" t="n"/>
      <c r="F26" s="11" t="n"/>
    </row>
    <row r="27">
      <c r="A27" s="10" t="n"/>
      <c r="B27" s="10" t="n"/>
      <c r="C27" s="10" t="n"/>
      <c r="D27" s="10" t="n"/>
      <c r="E27" s="10" t="n"/>
      <c r="F27" s="10" t="n"/>
    </row>
    <row r="28">
      <c r="A28" s="11" t="n"/>
      <c r="B28" s="11" t="n"/>
      <c r="C28" s="11" t="n"/>
      <c r="D28" s="11" t="n"/>
      <c r="E28" s="11" t="n"/>
      <c r="F28" s="11" t="n"/>
    </row>
    <row r="29">
      <c r="A29" s="10" t="n"/>
      <c r="B29" s="10" t="n"/>
      <c r="C29" s="10" t="n"/>
      <c r="D29" s="10" t="n"/>
      <c r="E29" s="10" t="n"/>
      <c r="F29" s="10" t="n"/>
    </row>
    <row r="30">
      <c r="A30" s="11" t="n"/>
      <c r="B30" s="11" t="n"/>
      <c r="C30" s="11" t="n"/>
      <c r="D30" s="11" t="n"/>
      <c r="E30" s="11" t="n"/>
      <c r="F30" s="11" t="n"/>
    </row>
    <row r="31">
      <c r="A31" s="10" t="n"/>
      <c r="B31" s="10" t="n"/>
      <c r="C31" s="10" t="n"/>
      <c r="D31" s="10" t="n"/>
      <c r="E31" s="10" t="n"/>
      <c r="F31" s="10" t="n"/>
    </row>
    <row r="32">
      <c r="A32" s="11" t="n"/>
      <c r="B32" s="11" t="n"/>
      <c r="C32" s="11" t="n"/>
      <c r="D32" s="11" t="n"/>
      <c r="E32" s="11" t="n"/>
      <c r="F32" s="11" t="n"/>
    </row>
    <row r="33">
      <c r="A33" s="10" t="n"/>
      <c r="B33" s="10" t="n"/>
      <c r="C33" s="10" t="n"/>
      <c r="D33" s="10" t="n"/>
      <c r="E33" s="10" t="n"/>
      <c r="F33" s="10" t="n"/>
    </row>
    <row r="34">
      <c r="A34" s="11" t="n"/>
      <c r="B34" s="11" t="n"/>
      <c r="C34" s="11" t="n"/>
      <c r="D34" s="11" t="n"/>
      <c r="E34" s="11" t="n"/>
      <c r="F34" s="11" t="n"/>
    </row>
    <row r="35">
      <c r="A35" s="10" t="n"/>
      <c r="B35" s="10" t="n"/>
      <c r="C35" s="10" t="n"/>
      <c r="D35" s="10" t="n"/>
      <c r="E35" s="10" t="n"/>
      <c r="F35" s="10" t="n"/>
    </row>
    <row r="36">
      <c r="A36" s="11" t="n"/>
      <c r="B36" s="11" t="n"/>
      <c r="C36" s="11" t="n"/>
      <c r="D36" s="11" t="n"/>
      <c r="E36" s="11" t="n"/>
      <c r="F36" s="11" t="n"/>
    </row>
    <row r="37">
      <c r="A37" s="10" t="n"/>
      <c r="B37" s="10" t="n"/>
      <c r="C37" s="10" t="n"/>
      <c r="D37" s="10" t="n"/>
      <c r="E37" s="10" t="n"/>
      <c r="F37" s="10" t="n"/>
    </row>
    <row r="38">
      <c r="A38" s="11" t="n"/>
      <c r="B38" s="11" t="n"/>
      <c r="C38" s="11" t="n"/>
      <c r="D38" s="11" t="n"/>
      <c r="E38" s="11" t="n"/>
      <c r="F38" s="11" t="n"/>
    </row>
    <row r="39">
      <c r="A39" s="10" t="n"/>
      <c r="B39" s="10" t="n"/>
      <c r="C39" s="10" t="n"/>
      <c r="D39" s="10" t="n"/>
      <c r="E39" s="10" t="n"/>
      <c r="F39" s="10" t="n"/>
    </row>
    <row r="40">
      <c r="A40" s="11" t="n"/>
      <c r="B40" s="11" t="n"/>
      <c r="C40" s="11" t="n"/>
      <c r="D40" s="11" t="n"/>
      <c r="E40" s="11" t="n"/>
      <c r="F40" s="11" t="n"/>
    </row>
    <row r="41">
      <c r="A41" s="10" t="n"/>
      <c r="B41" s="10" t="n"/>
      <c r="C41" s="10" t="n"/>
      <c r="D41" s="10" t="n"/>
      <c r="E41" s="10" t="n"/>
      <c r="F41" s="10" t="n"/>
    </row>
    <row r="42">
      <c r="A42" s="11" t="n"/>
      <c r="B42" s="11" t="n"/>
      <c r="C42" s="11" t="n"/>
      <c r="D42" s="11" t="n"/>
      <c r="E42" s="11" t="n"/>
      <c r="F42" s="11" t="n"/>
    </row>
    <row r="43">
      <c r="A43" s="10" t="n"/>
      <c r="B43" s="10" t="n"/>
      <c r="C43" s="10" t="n"/>
      <c r="D43" s="10" t="n"/>
      <c r="E43" s="10" t="n"/>
      <c r="F43" s="10" t="n"/>
    </row>
    <row r="44">
      <c r="A44" s="11" t="n"/>
      <c r="B44" s="11" t="n"/>
      <c r="C44" s="11" t="n"/>
      <c r="D44" s="11" t="n"/>
      <c r="E44" s="11" t="n"/>
      <c r="F44" s="11" t="n"/>
    </row>
    <row r="45">
      <c r="A45" s="10" t="n"/>
      <c r="B45" s="10" t="n"/>
      <c r="C45" s="10" t="n"/>
      <c r="D45" s="10" t="n"/>
      <c r="E45" s="10" t="n"/>
      <c r="F45" s="10" t="n"/>
    </row>
    <row r="46">
      <c r="A46" s="11" t="n"/>
      <c r="B46" s="11" t="n"/>
      <c r="C46" s="11" t="n"/>
      <c r="D46" s="11" t="n"/>
      <c r="E46" s="11" t="n"/>
      <c r="F46" s="11" t="n"/>
    </row>
    <row r="47">
      <c r="A47" s="10" t="n"/>
      <c r="B47" s="10" t="n"/>
      <c r="C47" s="10" t="n"/>
      <c r="D47" s="10" t="n"/>
      <c r="E47" s="10" t="n"/>
      <c r="F47" s="10" t="n"/>
    </row>
    <row r="48">
      <c r="A48" s="11" t="n"/>
      <c r="B48" s="11" t="n"/>
      <c r="C48" s="11" t="n"/>
      <c r="D48" s="11" t="n"/>
      <c r="E48" s="11" t="n"/>
      <c r="F48" s="11" t="n"/>
    </row>
    <row r="49">
      <c r="A49" s="10" t="n"/>
      <c r="B49" s="10" t="n"/>
      <c r="C49" s="10" t="n"/>
      <c r="D49" s="10" t="n"/>
      <c r="E49" s="10" t="n"/>
      <c r="F49" s="10" t="n"/>
    </row>
    <row r="50">
      <c r="A50" s="11" t="n"/>
      <c r="B50" s="11" t="n"/>
      <c r="C50" s="11" t="n"/>
      <c r="D50" s="11" t="n"/>
      <c r="E50" s="11" t="n"/>
      <c r="F50" s="11" t="n"/>
    </row>
    <row r="51">
      <c r="A51" s="10" t="n"/>
      <c r="B51" s="10" t="n"/>
      <c r="C51" s="10" t="n"/>
      <c r="D51" s="10" t="n"/>
      <c r="E51" s="10" t="n"/>
      <c r="F51" s="10" t="n"/>
    </row>
    <row r="52">
      <c r="A52" s="11" t="n"/>
      <c r="B52" s="11" t="n"/>
      <c r="C52" s="11" t="n"/>
      <c r="D52" s="11" t="n"/>
      <c r="E52" s="11" t="n"/>
      <c r="F52" s="11" t="n"/>
    </row>
    <row r="53">
      <c r="A53" s="10" t="n"/>
      <c r="B53" s="10" t="n"/>
      <c r="C53" s="10" t="n"/>
      <c r="D53" s="10" t="n"/>
      <c r="E53" s="10" t="n"/>
      <c r="F53" s="10" t="n"/>
    </row>
    <row r="54">
      <c r="A54" s="11" t="n"/>
      <c r="B54" s="11" t="n"/>
      <c r="C54" s="11" t="n"/>
      <c r="D54" s="11" t="n"/>
      <c r="E54" s="11" t="n"/>
      <c r="F54" s="11" t="n"/>
    </row>
    <row r="55">
      <c r="A55" s="10" t="n"/>
      <c r="B55" s="10" t="n"/>
      <c r="C55" s="10" t="n"/>
      <c r="D55" s="10" t="n"/>
      <c r="E55" s="10" t="n"/>
      <c r="F55" s="10" t="n"/>
    </row>
    <row r="56">
      <c r="A56" s="11" t="n"/>
      <c r="B56" s="11" t="n"/>
      <c r="C56" s="11" t="n"/>
      <c r="D56" s="11" t="n"/>
      <c r="E56" s="11" t="n"/>
      <c r="F56" s="11" t="n"/>
    </row>
    <row r="57">
      <c r="A57" s="10" t="n"/>
      <c r="B57" s="10" t="n"/>
      <c r="C57" s="10" t="n"/>
      <c r="D57" s="10" t="n"/>
      <c r="E57" s="10" t="n"/>
      <c r="F57" s="10" t="n"/>
    </row>
    <row r="58">
      <c r="A58" s="11" t="n"/>
      <c r="B58" s="11" t="n"/>
      <c r="C58" s="11" t="n"/>
      <c r="D58" s="11" t="n"/>
      <c r="E58" s="11" t="n"/>
      <c r="F58" s="11" t="n"/>
    </row>
    <row r="59">
      <c r="A59" s="10" t="n"/>
      <c r="B59" s="10" t="n"/>
      <c r="C59" s="10" t="n"/>
      <c r="D59" s="10" t="n"/>
      <c r="E59" s="10" t="n"/>
      <c r="F59" s="10" t="n"/>
    </row>
    <row r="60">
      <c r="A60" s="11" t="n"/>
      <c r="B60" s="11" t="n"/>
      <c r="C60" s="11" t="n"/>
      <c r="D60" s="11" t="n"/>
      <c r="E60" s="11" t="n"/>
      <c r="F60" s="11" t="n"/>
    </row>
    <row r="61">
      <c r="A61" s="10" t="n"/>
      <c r="B61" s="10" t="n"/>
      <c r="C61" s="10" t="n"/>
      <c r="D61" s="10" t="n"/>
      <c r="E61" s="10" t="n"/>
      <c r="F61" s="10" t="n"/>
    </row>
    <row r="62">
      <c r="A62" s="11" t="n"/>
      <c r="B62" s="11" t="n"/>
      <c r="C62" s="11" t="n"/>
      <c r="D62" s="11" t="n"/>
      <c r="E62" s="11" t="n"/>
      <c r="F62" s="11" t="n"/>
    </row>
    <row r="63">
      <c r="A63" s="10" t="n"/>
      <c r="B63" s="10" t="n"/>
      <c r="C63" s="10" t="n"/>
      <c r="D63" s="10" t="n"/>
      <c r="E63" s="10" t="n"/>
      <c r="F63" s="10" t="n"/>
    </row>
    <row r="64">
      <c r="A64" s="11" t="n"/>
      <c r="B64" s="11" t="n"/>
      <c r="C64" s="11" t="n"/>
      <c r="D64" s="11" t="n"/>
      <c r="E64" s="11" t="n"/>
      <c r="F64" s="11" t="n"/>
    </row>
    <row r="65">
      <c r="A65" s="10" t="n"/>
      <c r="B65" s="10" t="n"/>
      <c r="C65" s="10" t="n"/>
      <c r="D65" s="10" t="n"/>
      <c r="E65" s="10" t="n"/>
      <c r="F65" s="10" t="n"/>
    </row>
    <row r="66">
      <c r="A66" s="11" t="n"/>
      <c r="B66" s="11" t="n"/>
      <c r="C66" s="11" t="n"/>
      <c r="D66" s="11" t="n"/>
      <c r="E66" s="11" t="n"/>
      <c r="F66" s="11" t="n"/>
    </row>
    <row r="67">
      <c r="A67" s="10" t="n"/>
      <c r="B67" s="10" t="n"/>
      <c r="C67" s="10" t="n"/>
      <c r="D67" s="10" t="n"/>
      <c r="E67" s="10" t="n"/>
      <c r="F67" s="10" t="n"/>
    </row>
    <row r="68">
      <c r="A68" s="11" t="n"/>
      <c r="B68" s="11" t="n"/>
      <c r="C68" s="11" t="n"/>
      <c r="D68" s="11" t="n"/>
      <c r="E68" s="11" t="n"/>
      <c r="F68" s="11" t="n"/>
    </row>
    <row r="69">
      <c r="A69" s="10" t="n"/>
      <c r="B69" s="10" t="n"/>
      <c r="C69" s="10" t="n"/>
      <c r="D69" s="10" t="n"/>
      <c r="E69" s="10" t="n"/>
      <c r="F69" s="10" t="n"/>
    </row>
    <row r="70">
      <c r="A70" s="11" t="n"/>
      <c r="B70" s="11" t="n"/>
      <c r="C70" s="11" t="n"/>
      <c r="D70" s="11" t="n"/>
      <c r="E70" s="11" t="n"/>
      <c r="F70" s="11" t="n"/>
    </row>
    <row r="71">
      <c r="A71" s="10" t="n"/>
      <c r="B71" s="10" t="n"/>
      <c r="C71" s="10" t="n"/>
      <c r="D71" s="10" t="n"/>
      <c r="E71" s="10" t="n"/>
      <c r="F71" s="10" t="n"/>
    </row>
    <row r="72">
      <c r="A72" s="11" t="n"/>
      <c r="B72" s="11" t="n"/>
      <c r="C72" s="11" t="n"/>
      <c r="D72" s="11" t="n"/>
      <c r="E72" s="11" t="n"/>
      <c r="F72" s="11" t="n"/>
    </row>
    <row r="73">
      <c r="A73" s="10" t="n"/>
      <c r="B73" s="10" t="n"/>
      <c r="C73" s="10" t="n"/>
      <c r="D73" s="10" t="n"/>
      <c r="E73" s="10" t="n"/>
      <c r="F73" s="10" t="n"/>
    </row>
    <row r="74">
      <c r="A74" s="11" t="n"/>
      <c r="B74" s="11" t="n"/>
      <c r="C74" s="11" t="n"/>
      <c r="D74" s="11" t="n"/>
      <c r="E74" s="11" t="n"/>
      <c r="F74" s="11" t="n"/>
    </row>
    <row r="75">
      <c r="A75" s="10" t="n"/>
      <c r="B75" s="10" t="n"/>
      <c r="C75" s="10" t="n"/>
      <c r="D75" s="10" t="n"/>
      <c r="E75" s="10" t="n"/>
      <c r="F75" s="10" t="n"/>
    </row>
    <row r="76">
      <c r="A76" s="11" t="n"/>
      <c r="B76" s="11" t="n"/>
      <c r="C76" s="11" t="n"/>
      <c r="D76" s="11" t="n"/>
      <c r="E76" s="11" t="n"/>
      <c r="F76" s="11" t="n"/>
    </row>
    <row r="77">
      <c r="A77" s="10" t="n"/>
      <c r="B77" s="10" t="n"/>
      <c r="C77" s="10" t="n"/>
      <c r="D77" s="10" t="n"/>
      <c r="E77" s="10" t="n"/>
      <c r="F77" s="10" t="n"/>
    </row>
    <row r="78">
      <c r="A78" s="11" t="n"/>
      <c r="B78" s="11" t="n"/>
      <c r="C78" s="11" t="n"/>
      <c r="D78" s="11" t="n"/>
      <c r="E78" s="11" t="n"/>
      <c r="F78" s="11" t="n"/>
    </row>
    <row r="79">
      <c r="A79" s="10" t="n"/>
      <c r="B79" s="10" t="n"/>
      <c r="C79" s="10" t="n"/>
      <c r="D79" s="10" t="n"/>
      <c r="E79" s="10" t="n"/>
      <c r="F79" s="10" t="n"/>
    </row>
    <row r="80">
      <c r="A80" s="11" t="n"/>
      <c r="B80" s="11" t="n"/>
      <c r="C80" s="11" t="n"/>
      <c r="D80" s="11" t="n"/>
      <c r="E80" s="11" t="n"/>
      <c r="F80" s="11" t="n"/>
    </row>
    <row r="81">
      <c r="A81" s="10" t="n"/>
      <c r="B81" s="10" t="n"/>
      <c r="C81" s="10" t="n"/>
      <c r="D81" s="10" t="n"/>
      <c r="E81" s="10" t="n"/>
      <c r="F81" s="10" t="n"/>
    </row>
    <row r="82">
      <c r="A82" s="11" t="n"/>
      <c r="B82" s="11" t="n"/>
      <c r="C82" s="11" t="n"/>
      <c r="D82" s="11" t="n"/>
      <c r="E82" s="11" t="n"/>
      <c r="F82" s="11" t="n"/>
    </row>
    <row r="83">
      <c r="A83" s="10" t="n"/>
      <c r="B83" s="10" t="n"/>
      <c r="C83" s="10" t="n"/>
      <c r="D83" s="10" t="n"/>
      <c r="E83" s="10" t="n"/>
      <c r="F83" s="10" t="n"/>
    </row>
    <row r="84">
      <c r="A84" s="11" t="n"/>
      <c r="B84" s="11" t="n"/>
      <c r="C84" s="11" t="n"/>
      <c r="D84" s="11" t="n"/>
      <c r="E84" s="11" t="n"/>
      <c r="F84" s="11" t="n"/>
    </row>
    <row r="85">
      <c r="A85" s="10" t="n"/>
      <c r="B85" s="10" t="n"/>
      <c r="C85" s="10" t="n"/>
      <c r="D85" s="10" t="n"/>
      <c r="E85" s="10" t="n"/>
      <c r="F85" s="10" t="n"/>
    </row>
    <row r="86">
      <c r="A86" s="11" t="n"/>
      <c r="B86" s="11" t="n"/>
      <c r="C86" s="11" t="n"/>
      <c r="D86" s="11" t="n"/>
      <c r="E86" s="11" t="n"/>
      <c r="F86" s="11" t="n"/>
    </row>
    <row r="87">
      <c r="A87" s="10" t="n"/>
      <c r="B87" s="10" t="n"/>
      <c r="C87" s="10" t="n"/>
      <c r="D87" s="10" t="n"/>
      <c r="E87" s="10" t="n"/>
      <c r="F87" s="10" t="n"/>
    </row>
    <row r="88">
      <c r="A88" s="11" t="n"/>
      <c r="B88" s="11" t="n"/>
      <c r="C88" s="11" t="n"/>
      <c r="D88" s="11" t="n"/>
      <c r="E88" s="11" t="n"/>
      <c r="F88" s="11" t="n"/>
    </row>
    <row r="89">
      <c r="A89" s="10" t="n"/>
      <c r="B89" s="10" t="n"/>
      <c r="C89" s="10" t="n"/>
      <c r="D89" s="10" t="n"/>
      <c r="E89" s="10" t="n"/>
      <c r="F89" s="10" t="n"/>
    </row>
    <row r="90">
      <c r="A90" s="11" t="n"/>
      <c r="B90" s="11" t="n"/>
      <c r="C90" s="11" t="n"/>
      <c r="D90" s="11" t="n"/>
      <c r="E90" s="11" t="n"/>
      <c r="F90" s="11" t="n"/>
    </row>
    <row r="91">
      <c r="A91" s="10" t="n"/>
      <c r="B91" s="10" t="n"/>
      <c r="C91" s="10" t="n"/>
      <c r="D91" s="10" t="n"/>
      <c r="E91" s="10" t="n"/>
      <c r="F91" s="10" t="n"/>
    </row>
    <row r="92">
      <c r="A92" s="11" t="n"/>
      <c r="B92" s="11" t="n"/>
      <c r="C92" s="11" t="n"/>
      <c r="D92" s="11" t="n"/>
      <c r="E92" s="11" t="n"/>
      <c r="F92" s="11" t="n"/>
    </row>
    <row r="93">
      <c r="A93" s="10" t="n"/>
      <c r="B93" s="10" t="n"/>
      <c r="C93" s="10" t="n"/>
      <c r="D93" s="10" t="n"/>
      <c r="E93" s="10" t="n"/>
      <c r="F93" s="10" t="n"/>
    </row>
    <row r="94">
      <c r="A94" s="11" t="n"/>
      <c r="B94" s="11" t="n"/>
      <c r="C94" s="11" t="n"/>
      <c r="D94" s="11" t="n"/>
      <c r="E94" s="11" t="n"/>
      <c r="F94" s="11" t="n"/>
    </row>
    <row r="95">
      <c r="A95" s="10" t="n"/>
      <c r="B95" s="10" t="n"/>
      <c r="C95" s="10" t="n"/>
      <c r="D95" s="10" t="n"/>
      <c r="E95" s="10" t="n"/>
      <c r="F95" s="10" t="n"/>
    </row>
    <row r="96">
      <c r="A96" s="11" t="n"/>
      <c r="B96" s="11" t="n"/>
      <c r="C96" s="11" t="n"/>
      <c r="D96" s="11" t="n"/>
      <c r="E96" s="11" t="n"/>
      <c r="F96" s="11" t="n"/>
    </row>
    <row r="97">
      <c r="A97" s="10" t="n"/>
      <c r="B97" s="10" t="n"/>
      <c r="C97" s="10" t="n"/>
      <c r="D97" s="10" t="n"/>
      <c r="E97" s="10" t="n"/>
      <c r="F97" s="10" t="n"/>
    </row>
    <row r="98">
      <c r="A98" s="11" t="n"/>
      <c r="B98" s="11" t="n"/>
      <c r="C98" s="11" t="n"/>
      <c r="D98" s="11" t="n"/>
      <c r="E98" s="11" t="n"/>
      <c r="F98" s="11" t="n"/>
    </row>
    <row r="99">
      <c r="A99" s="10" t="n"/>
      <c r="B99" s="10" t="n"/>
      <c r="C99" s="10" t="n"/>
      <c r="D99" s="10" t="n"/>
      <c r="E99" s="10" t="n"/>
      <c r="F99" s="10" t="n"/>
    </row>
    <row r="100">
      <c r="A100" s="11" t="n"/>
      <c r="B100" s="11" t="n"/>
      <c r="C100" s="11" t="n"/>
      <c r="D100" s="11" t="n"/>
      <c r="E100" s="11" t="n"/>
      <c r="F100" s="11" t="n"/>
    </row>
    <row r="101">
      <c r="A101" s="10" t="n"/>
      <c r="B101" s="10" t="n"/>
      <c r="C101" s="10" t="n"/>
      <c r="D101" s="10" t="n"/>
      <c r="E101" s="10" t="n"/>
      <c r="F101" s="10" t="n"/>
    </row>
    <row r="102">
      <c r="A102" s="11" t="n"/>
      <c r="B102" s="11" t="n"/>
      <c r="C102" s="11" t="n"/>
      <c r="D102" s="11" t="n"/>
      <c r="E102" s="11" t="n"/>
      <c r="F102" s="11" t="n"/>
    </row>
    <row r="104">
      <c r="A104" s="26" t="inlineStr">
        <is>
          <t>MONTHLY TOTAL</t>
        </is>
      </c>
      <c r="D104" s="27">
        <f>SUM(D3:D102)</f>
        <v/>
      </c>
    </row>
    <row r="105">
      <c r="A105" s="28" t="inlineStr">
        <is>
          <t>SEMESTER TOTAL</t>
        </is>
      </c>
      <c r="D105" s="29">
        <f>D104</f>
        <v/>
      </c>
    </row>
  </sheetData>
  <mergeCells count="3">
    <mergeCell ref="A1:F1"/>
    <mergeCell ref="A105:C105"/>
    <mergeCell ref="A104:C104"/>
  </mergeCells>
  <dataValidations count="1">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showDropDown="0" showInputMessage="0" showErrorMessage="0" allowBlank="1" type="list">
      <formula1>"Textbooks,Supplies,Food,Transportation,Housing,Entertainment,Subscriptions,Other"</formula1>
    </dataValidation>
  </dataValidations>
  <pageMargins left="0.75" right="0.75" top="1" bottom="1" header="0.5" footer="0.5"/>
</worksheet>
</file>

<file path=xl/worksheets/sheet7.xml><?xml version="1.0" encoding="utf-8"?>
<worksheet xmlns="http://schemas.openxmlformats.org/spreadsheetml/2006/main">
  <sheetPr>
    <tabColor rgb="00F56565"/>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28" customWidth="1" min="5" max="5"/>
    <col width="28" customWidth="1" min="6" max="6"/>
  </cols>
  <sheetData>
    <row r="1" ht="40" customHeight="1">
      <c r="A1" s="12" t="inlineStr">
        <is>
          <t>SEMESTER GOALS</t>
        </is>
      </c>
    </row>
    <row r="2">
      <c r="A2" s="9" t="inlineStr">
        <is>
          <t>Goal</t>
        </is>
      </c>
      <c r="B2" s="9" t="inlineStr">
        <is>
          <t>Category</t>
        </is>
      </c>
      <c r="C2" s="9" t="inlineStr">
        <is>
          <t>Deadline</t>
        </is>
      </c>
      <c r="D2" s="9" t="inlineStr">
        <is>
          <t>Status</t>
        </is>
      </c>
      <c r="E2" s="9" t="inlineStr">
        <is>
          <t>Action Steps</t>
        </is>
      </c>
      <c r="F2" s="9" t="inlineStr">
        <is>
          <t>Progress Notes</t>
        </is>
      </c>
    </row>
    <row r="3">
      <c r="A3" s="10" t="inlineStr">
        <is>
          <t>Achieve 3.5+ semester GPA</t>
        </is>
      </c>
      <c r="B3" s="10" t="inlineStr">
        <is>
          <t>Academic</t>
        </is>
      </c>
      <c r="C3" s="10" t="inlineStr">
        <is>
          <t>2026-05-15</t>
        </is>
      </c>
      <c r="D3" s="10" t="inlineStr">
        <is>
          <t>In Progress</t>
        </is>
      </c>
      <c r="E3" s="10" t="inlineStr">
        <is>
          <t>Attend all classes, use tutoring</t>
        </is>
      </c>
      <c r="F3" s="10" t="inlineStr">
        <is>
          <t>Currently at 3.4</t>
        </is>
      </c>
    </row>
    <row r="4">
      <c r="A4" s="11" t="inlineStr">
        <is>
          <t>Land summer internship</t>
        </is>
      </c>
      <c r="B4" s="11" t="inlineStr">
        <is>
          <t>Career</t>
        </is>
      </c>
      <c r="C4" s="11" t="inlineStr">
        <is>
          <t>2026-04-01</t>
        </is>
      </c>
      <c r="D4" s="11" t="inlineStr">
        <is>
          <t>In Progress</t>
        </is>
      </c>
      <c r="E4" s="11" t="inlineStr">
        <is>
          <t>Apply to 10+ companies, update resume</t>
        </is>
      </c>
      <c r="F4" s="11" t="inlineStr">
        <is>
          <t>3 applications sent</t>
        </is>
      </c>
    </row>
    <row r="5">
      <c r="A5" s="10" t="inlineStr">
        <is>
          <t>Exercise 3x per week</t>
        </is>
      </c>
      <c r="B5" s="10" t="inlineStr">
        <is>
          <t>Health</t>
        </is>
      </c>
      <c r="C5" s="10" t="inlineStr">
        <is>
          <t>2026-05-15</t>
        </is>
      </c>
      <c r="D5" s="10" t="inlineStr">
        <is>
          <t>On Track</t>
        </is>
      </c>
      <c r="E5" s="10" t="inlineStr">
        <is>
          <t>Gym MWF mornings, join intramural team</t>
        </is>
      </c>
      <c r="F5" s="10" t="inlineStr">
        <is>
          <t>Week 3 consistent</t>
        </is>
      </c>
    </row>
    <row r="6">
      <c r="A6" s="11" t="inlineStr">
        <is>
          <t>Join 2 student clubs</t>
        </is>
      </c>
      <c r="B6" s="11" t="inlineStr">
        <is>
          <t>Social</t>
        </is>
      </c>
      <c r="C6" s="11" t="inlineStr">
        <is>
          <t>2026-03-01</t>
        </is>
      </c>
      <c r="D6" s="11" t="inlineStr">
        <is>
          <t>In Progress</t>
        </is>
      </c>
      <c r="E6" s="11" t="inlineStr">
        <is>
          <t>Research clubs, attend info sessions</t>
        </is>
      </c>
      <c r="F6" s="11" t="inlineStr">
        <is>
          <t>Joined debate club</t>
        </is>
      </c>
    </row>
    <row r="7">
      <c r="A7" s="10" t="inlineStr">
        <is>
          <t>Save $500 by semester end</t>
        </is>
      </c>
      <c r="B7" s="10" t="inlineStr">
        <is>
          <t>Financial</t>
        </is>
      </c>
      <c r="C7" s="10" t="inlineStr">
        <is>
          <t>2026-05-15</t>
        </is>
      </c>
      <c r="D7" s="10" t="inlineStr">
        <is>
          <t>In Progress</t>
        </is>
      </c>
      <c r="E7" s="10" t="inlineStr">
        <is>
          <t>Budget $50/wk spending, tutoring job</t>
        </is>
      </c>
      <c r="F7" s="10" t="inlineStr">
        <is>
          <t>Saved $120 so far</t>
        </is>
      </c>
    </row>
    <row r="8">
      <c r="A8" s="11" t="inlineStr">
        <is>
          <t>Read 5 books for pleasure</t>
        </is>
      </c>
      <c r="B8" s="11" t="inlineStr">
        <is>
          <t>Personal</t>
        </is>
      </c>
      <c r="C8" s="11" t="inlineStr">
        <is>
          <t>2026-05-15</t>
        </is>
      </c>
      <c r="D8" s="11" t="inlineStr">
        <is>
          <t>Not Started</t>
        </is>
      </c>
      <c r="E8" s="11" t="inlineStr">
        <is>
          <t>30 min reading before bed</t>
        </is>
      </c>
      <c r="F8" s="11" t="inlineStr">
        <is>
          <t>Book list created</t>
        </is>
      </c>
    </row>
    <row r="9">
      <c r="A9" s="10" t="inlineStr">
        <is>
          <t>Improve public speaking</t>
        </is>
      </c>
      <c r="B9" s="10" t="inlineStr">
        <is>
          <t>Career</t>
        </is>
      </c>
      <c r="C9" s="10" t="inlineStr">
        <is>
          <t>2026-05-15</t>
        </is>
      </c>
      <c r="D9" s="10" t="inlineStr">
        <is>
          <t>In Progress</t>
        </is>
      </c>
      <c r="E9" s="10" t="inlineStr">
        <is>
          <t>Toastmasters, class presentations</t>
        </is>
      </c>
      <c r="F9" s="10" t="inlineStr">
        <is>
          <t>First speech done</t>
        </is>
      </c>
    </row>
    <row r="10">
      <c r="A10" s="11" t="inlineStr">
        <is>
          <t>Maintain healthy sleep schedule</t>
        </is>
      </c>
      <c r="B10" s="11" t="inlineStr">
        <is>
          <t>Health</t>
        </is>
      </c>
      <c r="C10" s="11" t="inlineStr">
        <is>
          <t>2026-05-15</t>
        </is>
      </c>
      <c r="D10" s="11" t="inlineStr">
        <is>
          <t>At Risk</t>
        </is>
      </c>
      <c r="E10" s="11" t="inlineStr">
        <is>
          <t>Bed by 11 PM, no screens after 10</t>
        </is>
      </c>
      <c r="F10" s="11" t="inlineStr">
        <is>
          <t>Struggling on weekends</t>
        </is>
      </c>
    </row>
    <row r="11">
      <c r="A11" s="10" t="n"/>
      <c r="B11" s="10" t="n"/>
      <c r="C11" s="10" t="n"/>
      <c r="D11" s="10" t="n"/>
      <c r="E11" s="10" t="n"/>
      <c r="F11" s="10" t="n"/>
    </row>
    <row r="12">
      <c r="A12" s="11" t="n"/>
      <c r="B12" s="11" t="n"/>
      <c r="C12" s="11" t="n"/>
      <c r="D12" s="11" t="n"/>
      <c r="E12" s="11" t="n"/>
      <c r="F12" s="11" t="n"/>
    </row>
    <row r="13">
      <c r="A13" s="10" t="n"/>
      <c r="B13" s="10" t="n"/>
      <c r="C13" s="10" t="n"/>
      <c r="D13" s="10" t="n"/>
      <c r="E13" s="10" t="n"/>
      <c r="F13" s="10" t="n"/>
    </row>
    <row r="14">
      <c r="A14" s="11" t="n"/>
      <c r="B14" s="11" t="n"/>
      <c r="C14" s="11" t="n"/>
      <c r="D14" s="11" t="n"/>
      <c r="E14" s="11" t="n"/>
      <c r="F14" s="11" t="n"/>
    </row>
    <row r="15">
      <c r="A15" s="10" t="n"/>
      <c r="B15" s="10" t="n"/>
      <c r="C15" s="10" t="n"/>
      <c r="D15" s="10" t="n"/>
      <c r="E15" s="10" t="n"/>
      <c r="F15" s="10" t="n"/>
    </row>
    <row r="16">
      <c r="A16" s="11" t="n"/>
      <c r="B16" s="11" t="n"/>
      <c r="C16" s="11" t="n"/>
      <c r="D16" s="11" t="n"/>
      <c r="E16" s="11" t="n"/>
      <c r="F16" s="11" t="n"/>
    </row>
    <row r="17">
      <c r="A17" s="10" t="n"/>
      <c r="B17" s="10" t="n"/>
      <c r="C17" s="10" t="n"/>
      <c r="D17" s="10" t="n"/>
      <c r="E17" s="10" t="n"/>
      <c r="F17" s="10" t="n"/>
    </row>
    <row r="18">
      <c r="A18" s="11" t="n"/>
      <c r="B18" s="11" t="n"/>
      <c r="C18" s="11" t="n"/>
      <c r="D18" s="11" t="n"/>
      <c r="E18" s="11" t="n"/>
      <c r="F18" s="11" t="n"/>
    </row>
    <row r="19">
      <c r="A19" s="10" t="n"/>
      <c r="B19" s="10" t="n"/>
      <c r="C19" s="10" t="n"/>
      <c r="D19" s="10" t="n"/>
      <c r="E19" s="10" t="n"/>
      <c r="F19" s="10" t="n"/>
    </row>
    <row r="20">
      <c r="A20" s="11" t="n"/>
      <c r="B20" s="11" t="n"/>
      <c r="C20" s="11" t="n"/>
      <c r="D20" s="11" t="n"/>
      <c r="E20" s="11" t="n"/>
      <c r="F20" s="11" t="n"/>
    </row>
    <row r="21">
      <c r="A21" s="10" t="n"/>
      <c r="B21" s="10" t="n"/>
      <c r="C21" s="10" t="n"/>
      <c r="D21" s="10" t="n"/>
      <c r="E21" s="10" t="n"/>
      <c r="F21" s="10" t="n"/>
    </row>
    <row r="22">
      <c r="A22" s="11" t="n"/>
      <c r="B22" s="11" t="n"/>
      <c r="C22" s="11" t="n"/>
      <c r="D22" s="11" t="n"/>
      <c r="E22" s="11" t="n"/>
      <c r="F22" s="11" t="n"/>
    </row>
  </sheetData>
  <mergeCells count="1">
    <mergeCell ref="A1:F1"/>
  </mergeCells>
  <conditionalFormatting sqref="D3:D22">
    <cfRule type="cellIs" priority="1" operator="equal" dxfId="3">
      <formula>"Completed"</formula>
    </cfRule>
    <cfRule type="cellIs" priority="2" operator="equal" dxfId="1">
      <formula>"At Risk"</formula>
    </cfRule>
  </conditionalFormatting>
  <dataValidations count="2">
    <dataValidation sqref="B3 B4 B5 B6 B7 B8 B9 B10 B11 B12 B13 B14 B15 B16 B17 B18 B19 B20 B21 B22" showDropDown="0" showInputMessage="0" showErrorMessage="0" allowBlank="1" type="list">
      <formula1>"Academic,Career,Health,Social,Financial,Personal"</formula1>
    </dataValidation>
    <dataValidation sqref="D3 D4 D5 D6 D7 D8 D9 D10 D11 D12 D13 D14 D15 D16 D17 D18 D19 D20 D21 D22" showDropDown="0" showInputMessage="0" showErrorMessage="0" allowBlank="1" type="list">
      <formula1>"Not Started,In Progress,On Track,At Risk,Completed"</formula1>
    </dataValidation>
  </dataValidations>
  <pageMargins left="0.75" right="0.75" top="1" bottom="1" header="0.5" footer="0.5"/>
</worksheet>
</file>

<file path=xl/worksheets/sheet8.xml><?xml version="1.0" encoding="utf-8"?>
<worksheet xmlns="http://schemas.openxmlformats.org/spreadsheetml/2006/main">
  <sheetPr>
    <tabColor rgb="00E8E3F3"/>
    <outlinePr summaryBelow="1" summaryRight="1"/>
    <pageSetUpPr/>
  </sheetPr>
  <dimension ref="A1:C38"/>
  <sheetViews>
    <sheetView workbookViewId="0">
      <selection activeCell="A1" sqref="A1"/>
    </sheetView>
  </sheetViews>
  <sheetFormatPr baseColWidth="8" defaultRowHeight="15"/>
  <cols>
    <col width="5" customWidth="1" min="1" max="1"/>
    <col width="60" customWidth="1" min="2" max="2"/>
    <col width="5" customWidth="1" min="3" max="3"/>
  </cols>
  <sheetData>
    <row r="1" ht="45" customHeight="1">
      <c r="A1" s="12" t="inlineStr">
        <is>
          <t>HOW TO USE YOUR STUDENT ACADEMIC PLANNER</t>
        </is>
      </c>
    </row>
    <row r="3" ht="28" customHeight="1">
      <c r="B3" s="30" t="inlineStr">
        <is>
          <t>GETTING STARTED</t>
        </is>
      </c>
    </row>
    <row r="4" ht="22" customHeight="1">
      <c r="B4" s="31" t="inlineStr">
        <is>
          <t>1. Start with the CLASS SCHEDULE tab — enter all your classes for the semester.</t>
        </is>
      </c>
    </row>
    <row r="5" ht="22" customHeight="1">
      <c r="B5" s="31" t="inlineStr">
        <is>
          <t>2. Fill in the SEMESTER DASHBOARD with your semester name, GPA goal, and credits.</t>
        </is>
      </c>
    </row>
    <row r="6" ht="22" customHeight="1">
      <c r="B6" s="31" t="inlineStr">
        <is>
          <t>3. The Current GPA will auto-calculate from your Grade Calculator entries.</t>
        </is>
      </c>
    </row>
    <row r="8" ht="28" customHeight="1">
      <c r="B8" s="30" t="inlineStr">
        <is>
          <t>TRACKING ASSIGNMENTS</t>
        </is>
      </c>
    </row>
    <row r="9" ht="22" customHeight="1">
      <c r="B9" s="31" t="inlineStr">
        <is>
          <t>1. Use the ASSIGNMENT TRACKER for every assignment, quiz, and exam.</t>
        </is>
      </c>
    </row>
    <row r="10" ht="22" customHeight="1">
      <c r="B10" s="31" t="inlineStr">
        <is>
          <t>2. The 'Days Left' column auto-calculates — watch for red (urgent!) items.</t>
        </is>
      </c>
    </row>
    <row r="11" ht="22" customHeight="1">
      <c r="B11" s="31" t="inlineStr">
        <is>
          <t>3. Use dropdown menus for Type, Status, and Priority for easy filtering.</t>
        </is>
      </c>
    </row>
    <row r="12" ht="22" customHeight="1">
      <c r="B12" s="31" t="inlineStr">
        <is>
          <t>4. Update the Status as you progress through each assignment.</t>
        </is>
      </c>
    </row>
    <row r="14" ht="28" customHeight="1">
      <c r="B14" s="30" t="inlineStr">
        <is>
          <t>CALCULATING GRADES</t>
        </is>
      </c>
    </row>
    <row r="15" ht="22" customHeight="1">
      <c r="B15" s="31" t="inlineStr">
        <is>
          <t>1. Enter your grades in the GRADE CALCULATOR as you receive them.</t>
        </is>
      </c>
    </row>
    <row r="16" ht="22" customHeight="1">
      <c r="B16" s="31" t="inlineStr">
        <is>
          <t>2. Weighted averages calculate automatically based on standard weights.</t>
        </is>
      </c>
    </row>
    <row r="17" ht="22" customHeight="1">
      <c r="B17" s="31" t="inlineStr">
        <is>
          <t>3. Letter grades and GPA points update in real-time.</t>
        </is>
      </c>
    </row>
    <row r="18" ht="22" customHeight="1">
      <c r="B18" s="31" t="inlineStr">
        <is>
          <t>4. Your Semester GPA is shown at the bottom of the calculator.</t>
        </is>
      </c>
    </row>
    <row r="20" ht="28" customHeight="1">
      <c r="B20" s="30" t="inlineStr">
        <is>
          <t>STUDY PLANNING</t>
        </is>
      </c>
    </row>
    <row r="21" ht="22" customHeight="1">
      <c r="B21" s="31" t="inlineStr">
        <is>
          <t>1. Plan your week in the STUDY PLANNER — block out dedicated study time.</t>
        </is>
      </c>
    </row>
    <row r="22" ht="22" customHeight="1">
      <c r="B22" s="31" t="inlineStr">
        <is>
          <t>2. Use the Exam Schedule section to prepare well in advance.</t>
        </is>
      </c>
    </row>
    <row r="23" ht="22" customHeight="1">
      <c r="B23" s="31" t="inlineStr">
        <is>
          <t>3. Mark tasks as completed to track your consistency.</t>
        </is>
      </c>
    </row>
    <row r="25" ht="28" customHeight="1">
      <c r="B25" s="30" t="inlineStr">
        <is>
          <t>MANAGING EXPENSES</t>
        </is>
      </c>
    </row>
    <row r="26" ht="22" customHeight="1">
      <c r="B26" s="31" t="inlineStr">
        <is>
          <t>1. Log every purchase in the EXPENSE TRACKER.</t>
        </is>
      </c>
    </row>
    <row r="27" ht="22" customHeight="1">
      <c r="B27" s="31" t="inlineStr">
        <is>
          <t>2. Use categories to see where your money goes.</t>
        </is>
      </c>
    </row>
    <row r="28" ht="22" customHeight="1">
      <c r="B28" s="31" t="inlineStr">
        <is>
          <t>3. Monthly and semester totals help you stay on budget.</t>
        </is>
      </c>
    </row>
    <row r="30" ht="28" customHeight="1">
      <c r="B30" s="30" t="inlineStr">
        <is>
          <t>STUDY TIPS FOR SUCCESS</t>
        </is>
      </c>
    </row>
    <row r="31" ht="22" customHeight="1">
      <c r="B31" s="31" t="inlineStr">
        <is>
          <t>Use the Pomodoro Technique: 25 min study, 5 min break.</t>
        </is>
      </c>
    </row>
    <row r="32" ht="22" customHeight="1">
      <c r="B32" s="31" t="inlineStr">
        <is>
          <t>Review notes within 24 hours of each class.</t>
        </is>
      </c>
    </row>
    <row r="33" ht="22" customHeight="1">
      <c r="B33" s="31" t="inlineStr">
        <is>
          <t>Form study groups for difficult subjects.</t>
        </is>
      </c>
    </row>
    <row r="34" ht="22" customHeight="1">
      <c r="B34" s="31" t="inlineStr">
        <is>
          <t>Visit office hours at least once per month.</t>
        </is>
      </c>
    </row>
    <row r="35" ht="22" customHeight="1">
      <c r="B35" s="31" t="inlineStr">
        <is>
          <t>Start assignments the day they're assigned, even if just an outline.</t>
        </is>
      </c>
    </row>
    <row r="36" ht="22" customHeight="1">
      <c r="B36" s="31" t="inlineStr">
        <is>
          <t>Sleep 7-8 hours — your brain consolidates learning during sleep!</t>
        </is>
      </c>
    </row>
    <row r="37" ht="22" customHeight="1">
      <c r="B37" s="31" t="inlineStr">
        <is>
          <t>Use active recall (flashcards) over passive re-reading.</t>
        </is>
      </c>
    </row>
    <row r="38" ht="22" customHeight="1">
      <c r="B38" s="31" t="inlineStr">
        <is>
          <t>Take breaks between subjects to avoid mental fatigue.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2026-02-09T03:03:32Z</dcterms:created>
  <dcterms:modified xsi:type="dcterms:W3CDTF">2026-02-09T03:03:32Z</dcterms:modified>
</cp:coreProperties>
</file>