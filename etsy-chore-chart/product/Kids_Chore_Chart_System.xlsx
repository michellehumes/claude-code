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ore Chart" sheetId="1" state="visible" r:id="rId1"/>
    <sheet name="Weekly Summary" sheetId="2" state="visible" r:id="rId2"/>
    <sheet name="Reward Tracker" sheetId="3" state="visible" r:id="rId3"/>
    <sheet name="Instructions" sheetId="4" state="visible" r:id="rId4"/>
  </sheets>
  <definedNames>
    <definedName name="_xlnm.Print_Area" localSheetId="0">'Chore Chart'!$A$1:$K$35</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FFFFFF"/>
      <sz val="20"/>
    </font>
    <font>
      <name val="Calibri"/>
      <b val="1"/>
      <color rgb="002C3E50"/>
      <sz val="11"/>
    </font>
    <font>
      <name val="Calibri"/>
      <b val="1"/>
      <color rgb="002C3E50"/>
      <sz val="12"/>
    </font>
    <font>
      <name val="Calibri"/>
      <b val="1"/>
      <color rgb="00F5A623"/>
      <sz val="14"/>
    </font>
    <font>
      <name val="Calibri"/>
      <b val="1"/>
      <color rgb="00FFFFFF"/>
      <sz val="13"/>
    </font>
    <font>
      <name val="Calibri"/>
      <b val="1"/>
      <color rgb="00FFFFFF"/>
      <sz val="10"/>
    </font>
    <font>
      <name val="Calibri"/>
      <color rgb="00999999"/>
      <sz val="10"/>
    </font>
    <font>
      <name val="Calibri"/>
      <color rgb="002C3E50"/>
      <sz val="11"/>
    </font>
    <font>
      <name val="Calibri"/>
      <b val="1"/>
      <color rgb="0027AE60"/>
      <sz val="14"/>
    </font>
    <font>
      <name val="Calibri"/>
      <b val="1"/>
      <color rgb="004A90D9"/>
      <sz val="11"/>
    </font>
    <font>
      <name val="Calibri"/>
      <b val="1"/>
      <color rgb="00F5A623"/>
      <sz val="11"/>
    </font>
    <font>
      <name val="Calibri"/>
      <b val="1"/>
      <color rgb="004A90D9"/>
      <sz val="14"/>
    </font>
    <font>
      <name val="Calibri"/>
      <b val="1"/>
      <color rgb="002C3E50"/>
      <sz val="14"/>
    </font>
    <font>
      <name val="Calibri"/>
      <color rgb="00FFFFFF"/>
      <sz val="1"/>
    </font>
    <font>
      <name val="Calibri"/>
      <b val="1"/>
      <color rgb="00FFFFFF"/>
      <sz val="11"/>
    </font>
    <font>
      <name val="Calibri"/>
      <b val="1"/>
      <color rgb="00FFFFFF"/>
      <sz val="18"/>
    </font>
    <font>
      <name val="Calibri"/>
      <b val="1"/>
      <color rgb="00FFFFFF"/>
      <sz val="12"/>
    </font>
    <font>
      <name val="Calibri"/>
      <b val="1"/>
      <color rgb="00FFFFFF"/>
      <sz val="9"/>
    </font>
    <font>
      <name val="Calibri"/>
      <b val="1"/>
      <color rgb="002C3E50"/>
      <sz val="10"/>
    </font>
    <font>
      <name val="Calibri"/>
      <b val="1"/>
      <color rgb="004A90D9"/>
      <sz val="22"/>
    </font>
    <font>
      <name val="Calibri"/>
      <color rgb="002C3E50"/>
      <sz val="12"/>
    </font>
    <font>
      <name val="Calibri"/>
      <b val="1"/>
      <color rgb="00F5A623"/>
      <sz val="22"/>
    </font>
    <font>
      <name val="Calibri"/>
      <b val="1"/>
      <color rgb="0027AE60"/>
      <sz val="11"/>
    </font>
    <font>
      <name val="Calibri"/>
      <color rgb="002C3E50"/>
      <sz val="10"/>
    </font>
    <font>
      <name val="Calibri"/>
      <b val="1"/>
      <color rgb="00FFFFFF"/>
      <sz val="16"/>
    </font>
  </fonts>
  <fills count="10">
    <fill>
      <patternFill/>
    </fill>
    <fill>
      <patternFill patternType="gray125"/>
    </fill>
    <fill>
      <patternFill patternType="solid">
        <fgColor rgb="002C3E50"/>
        <bgColor rgb="002C3E50"/>
      </patternFill>
    </fill>
    <fill>
      <patternFill patternType="solid">
        <fgColor rgb="00D6E4F0"/>
        <bgColor rgb="00D6E4F0"/>
      </patternFill>
    </fill>
    <fill>
      <patternFill patternType="solid">
        <fgColor rgb="00FFFFF0"/>
        <bgColor rgb="00FFFFF0"/>
      </patternFill>
    </fill>
    <fill>
      <patternFill patternType="solid">
        <fgColor rgb="004A90D9"/>
        <bgColor rgb="004A90D9"/>
      </patternFill>
    </fill>
    <fill>
      <patternFill patternType="solid">
        <fgColor rgb="0034495E"/>
        <bgColor rgb="0034495E"/>
      </patternFill>
    </fill>
    <fill>
      <patternFill patternType="solid">
        <fgColor rgb="00FFFFFF"/>
        <bgColor rgb="00FFFFFF"/>
      </patternFill>
    </fill>
    <fill>
      <patternFill patternType="solid">
        <fgColor rgb="00FFF3D6"/>
        <bgColor rgb="00FFF3D6"/>
      </patternFill>
    </fill>
    <fill>
      <patternFill patternType="solid">
        <fgColor rgb="00F5A623"/>
        <bgColor rgb="00F5A623"/>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0">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applyAlignment="1" pivotButton="0" quotePrefix="0" xfId="0">
      <alignment horizontal="right"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4" borderId="1" applyAlignment="1" pivotButton="0" quotePrefix="0" xfId="0">
      <alignment horizontal="left" vertical="center" indent="1"/>
    </xf>
    <xf numFmtId="0" fontId="9" fillId="7" borderId="1" applyAlignment="1" pivotButton="0" quotePrefix="0" xfId="0">
      <alignment horizontal="center" vertical="center"/>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7" fillId="3" borderId="1" applyAlignment="1" pivotButton="0" quotePrefix="0" xfId="0">
      <alignment horizontal="center" vertical="center"/>
    </xf>
    <xf numFmtId="0" fontId="9" fillId="3" borderId="1" applyAlignment="1" pivotButton="0" quotePrefix="0" xfId="0">
      <alignment horizontal="center" vertical="center"/>
    </xf>
    <xf numFmtId="0" fontId="10" fillId="3" borderId="1" applyAlignment="1" pivotButton="0" quotePrefix="0" xfId="0">
      <alignment horizontal="center" vertical="center"/>
    </xf>
    <xf numFmtId="0" fontId="11" fillId="3" borderId="1" applyAlignment="1" pivotButton="0" quotePrefix="0" xfId="0">
      <alignment horizontal="center" vertical="center"/>
    </xf>
    <xf numFmtId="0" fontId="5" fillId="2" borderId="1" applyAlignment="1" pivotButton="0" quotePrefix="0" xfId="0">
      <alignment horizontal="center" vertical="center"/>
    </xf>
    <xf numFmtId="0" fontId="12" fillId="7" borderId="1" applyAlignment="1" pivotButton="0" quotePrefix="0" xfId="0">
      <alignment horizontal="center" vertical="center"/>
    </xf>
    <xf numFmtId="0" fontId="2" fillId="8" borderId="1" applyAlignment="1" pivotButton="0" quotePrefix="0" xfId="0">
      <alignment horizontal="right" vertical="center"/>
    </xf>
    <xf numFmtId="0" fontId="4" fillId="7" borderId="1" applyAlignment="1" pivotButton="0" quotePrefix="0" xfId="0">
      <alignment horizontal="center" vertical="center"/>
    </xf>
    <xf numFmtId="9" fontId="12" fillId="7" borderId="1" applyAlignment="1" pivotButton="0" quotePrefix="0" xfId="0">
      <alignment horizontal="center" vertical="center"/>
    </xf>
    <xf numFmtId="0" fontId="13" fillId="7" borderId="1" applyAlignment="1" pivotButton="0" quotePrefix="0" xfId="0">
      <alignment horizontal="center" vertical="center"/>
    </xf>
    <xf numFmtId="9" fontId="14" fillId="7" borderId="1" applyAlignment="1" pivotButton="0" quotePrefix="0" xfId="0">
      <alignment horizontal="center" vertical="center"/>
    </xf>
    <xf numFmtId="0" fontId="15" fillId="6" borderId="1" applyAlignment="1" pivotButton="0" quotePrefix="0" xfId="0">
      <alignment horizontal="center" vertical="center"/>
    </xf>
    <xf numFmtId="0" fontId="8" fillId="4" borderId="1" applyAlignment="1" pivotButton="0" quotePrefix="0" xfId="0">
      <alignment horizontal="left" vertical="top" wrapText="1" indent="1"/>
    </xf>
    <xf numFmtId="0" fontId="16" fillId="2" borderId="1" applyAlignment="1" pivotButton="0" quotePrefix="0" xfId="0">
      <alignment horizontal="center" vertical="center"/>
    </xf>
    <xf numFmtId="0" fontId="17" fillId="5" borderId="1" applyAlignment="1" pivotButton="0" quotePrefix="0" xfId="0">
      <alignment horizontal="center" vertical="center"/>
    </xf>
    <xf numFmtId="0" fontId="18" fillId="6" borderId="1" applyAlignment="1" pivotButton="0" quotePrefix="0" xfId="0">
      <alignment horizontal="center" vertical="center"/>
    </xf>
    <xf numFmtId="0" fontId="2" fillId="7" borderId="1" applyAlignment="1" pivotButton="0" quotePrefix="0" xfId="0">
      <alignment horizontal="left" vertical="center" indent="1"/>
    </xf>
    <xf numFmtId="0" fontId="8" fillId="7" borderId="1" applyAlignment="1" pivotButton="0" quotePrefix="0" xfId="0">
      <alignment horizontal="center" vertical="center"/>
    </xf>
    <xf numFmtId="9" fontId="10" fillId="7" borderId="1" applyAlignment="1" pivotButton="0" quotePrefix="0" xfId="0">
      <alignment horizontal="center" vertical="center"/>
    </xf>
    <xf numFmtId="0" fontId="19" fillId="7" borderId="1" applyAlignment="1" pivotButton="0" quotePrefix="0" xfId="0">
      <alignment horizontal="center" vertical="center"/>
    </xf>
    <xf numFmtId="0" fontId="2" fillId="3" borderId="1" applyAlignment="1" pivotButton="0" quotePrefix="0" xfId="0">
      <alignment horizontal="left" vertical="center" indent="1"/>
    </xf>
    <xf numFmtId="0" fontId="8" fillId="3" borderId="1" applyAlignment="1" pivotButton="0" quotePrefix="0" xfId="0">
      <alignment horizontal="center" vertical="center"/>
    </xf>
    <xf numFmtId="9" fontId="10" fillId="3" borderId="1" applyAlignment="1" pivotButton="0" quotePrefix="0" xfId="0">
      <alignment horizontal="center" vertical="center"/>
    </xf>
    <xf numFmtId="0" fontId="19" fillId="3" borderId="1" applyAlignment="1" pivotButton="0" quotePrefix="0" xfId="0">
      <alignment horizontal="center" vertical="center"/>
    </xf>
    <xf numFmtId="0" fontId="17" fillId="2" borderId="1" applyAlignment="1" pivotButton="0" quotePrefix="0" xfId="0">
      <alignment horizontal="center" vertical="center"/>
    </xf>
    <xf numFmtId="0" fontId="2" fillId="7" borderId="1" applyAlignment="1" pivotButton="0" quotePrefix="0" xfId="0">
      <alignment horizontal="right" vertical="center" indent="1"/>
    </xf>
    <xf numFmtId="0" fontId="2" fillId="8" borderId="1" applyAlignment="1" pivotButton="0" quotePrefix="0" xfId="0">
      <alignment horizontal="right" vertical="center" indent="1"/>
    </xf>
    <xf numFmtId="0" fontId="12" fillId="8" borderId="1" applyAlignment="1" pivotButton="0" quotePrefix="0" xfId="0">
      <alignment horizontal="center" vertical="center"/>
    </xf>
    <xf numFmtId="9" fontId="12" fillId="8" borderId="1" applyAlignment="1" pivotButton="0" quotePrefix="0" xfId="0">
      <alignment horizontal="center" vertical="center"/>
    </xf>
    <xf numFmtId="0" fontId="17" fillId="9" borderId="1" applyAlignment="1" pivotButton="0" quotePrefix="0" xfId="0">
      <alignment horizontal="center" vertical="center"/>
    </xf>
    <xf numFmtId="0" fontId="3" fillId="8" borderId="1" applyAlignment="1" pivotButton="0" quotePrefix="0" xfId="0">
      <alignment horizontal="right" vertical="center" indent="1"/>
    </xf>
    <xf numFmtId="0" fontId="20" fillId="7" borderId="1" applyAlignment="1" pivotButton="0" quotePrefix="0" xfId="0">
      <alignment horizontal="center" vertical="center"/>
    </xf>
    <xf numFmtId="0" fontId="21" fillId="8" borderId="1" applyAlignment="1" pivotButton="0" quotePrefix="0" xfId="0">
      <alignment horizontal="center" vertical="center"/>
    </xf>
    <xf numFmtId="0" fontId="22" fillId="7" borderId="1" applyAlignment="1" pivotButton="0" quotePrefix="0" xfId="0">
      <alignment horizontal="center" vertical="center"/>
    </xf>
    <xf numFmtId="9" fontId="20" fillId="7" borderId="1" applyAlignment="1" pivotButton="0" quotePrefix="0" xfId="0">
      <alignment horizontal="center" vertical="center"/>
    </xf>
    <xf numFmtId="0" fontId="8" fillId="4" borderId="1" applyAlignment="1" pivotButton="0" quotePrefix="0" xfId="0">
      <alignment horizontal="center" vertical="center"/>
    </xf>
    <xf numFmtId="0" fontId="10" fillId="4" borderId="1" applyAlignment="1" pivotButton="0" quotePrefix="0" xfId="0">
      <alignment horizontal="center" vertical="center"/>
    </xf>
    <xf numFmtId="0" fontId="2" fillId="7" borderId="1" applyAlignment="1" pivotButton="0" quotePrefix="0" xfId="0">
      <alignment horizontal="center" vertical="center"/>
    </xf>
    <xf numFmtId="0" fontId="23" fillId="4" borderId="1" applyAlignment="1" pivotButton="0" quotePrefix="0" xfId="0">
      <alignment horizontal="center" vertical="center"/>
    </xf>
    <xf numFmtId="0" fontId="24" fillId="4" borderId="1" applyAlignment="1" pivotButton="0" quotePrefix="0" xfId="0">
      <alignment horizontal="left" vertical="center" indent="1"/>
    </xf>
    <xf numFmtId="0" fontId="7" fillId="8" borderId="1" applyAlignment="1" pivotButton="0" quotePrefix="0" xfId="0">
      <alignment horizontal="center" vertical="center"/>
    </xf>
    <xf numFmtId="9" fontId="10" fillId="8" borderId="1" applyAlignment="1" pivotButton="0" quotePrefix="0" xfId="0">
      <alignment horizontal="center" vertical="center"/>
    </xf>
    <xf numFmtId="0" fontId="2" fillId="8" borderId="1" applyAlignment="1" pivotButton="0" quotePrefix="0" xfId="0">
      <alignment horizontal="center" vertical="center"/>
    </xf>
    <xf numFmtId="0" fontId="25" fillId="2" borderId="1" applyAlignment="1" pivotButton="0" quotePrefix="0" xfId="0">
      <alignment horizontal="center" vertical="center"/>
    </xf>
    <xf numFmtId="0" fontId="17" fillId="5" borderId="1" applyAlignment="1" pivotButton="0" quotePrefix="0" xfId="0">
      <alignment horizontal="left" vertical="center" indent="1"/>
    </xf>
    <xf numFmtId="0" fontId="0" fillId="7" borderId="1" pivotButton="0" quotePrefix="0" xfId="0"/>
    <xf numFmtId="0" fontId="24" fillId="7" borderId="1" applyAlignment="1" pivotButton="0" quotePrefix="0" xfId="0">
      <alignment horizontal="left" vertical="center" wrapText="1"/>
    </xf>
  </cellXfs>
  <cellStyles count="1">
    <cellStyle name="Normal" xfId="0" builtinId="0" hidden="0"/>
  </cellStyles>
  <dxfs count="4">
    <dxf>
      <font>
        <b val="1"/>
        <color rgb="0027AE60"/>
        <sz val="14"/>
      </font>
      <fill>
        <patternFill patternType="solid">
          <fgColor rgb="00D5F5E3"/>
          <bgColor rgb="00D5F5E3"/>
        </patternFill>
      </fill>
    </dxf>
    <dxf>
      <font>
        <b val="1"/>
        <color rgb="0027AE60"/>
      </font>
      <fill>
        <patternFill patternType="solid">
          <fgColor rgb="00D5F5E3"/>
          <bgColor rgb="00D5F5E3"/>
        </patternFill>
      </fill>
    </dxf>
    <dxf>
      <font>
        <b val="1"/>
        <color rgb="00E74C3C"/>
      </font>
      <fill>
        <patternFill patternType="solid">
          <fgColor rgb="00FDEDEC"/>
          <bgColor rgb="00FDEDEC"/>
        </patternFill>
      </fill>
    </dxf>
    <dxf>
      <font>
        <b val="1"/>
        <color rgb="0027AE60"/>
        <sz val="16"/>
      </font>
      <fill>
        <patternFill patternType="solid">
          <fgColor rgb="00D5F5E3"/>
          <b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Daily Completion</a:t>
            </a:r>
          </a:p>
        </rich>
      </tx>
    </title>
    <plotArea>
      <barChart>
        <barDir val="col"/>
        <grouping val="clustered"/>
        <ser>
          <idx val="0"/>
          <order val="0"/>
          <tx>
            <strRef>
              <f>'Weekly Summary'!G5</f>
            </strRef>
          </tx>
          <spPr>
            <a:solidFill>
              <a:srgbClr val="4A90D9"/>
            </a:solidFill>
            <a:ln>
              <a:prstDash val="solid"/>
            </a:ln>
          </spPr>
          <cat>
            <numRef>
              <f>'Weekly Summary'!$B$6:$B$12</f>
            </numRef>
          </cat>
          <val>
            <numRef>
              <f>'Weekly Summary'!$G$6:$G$12</f>
            </numRef>
          </val>
        </ser>
        <gapWidth val="150"/>
        <axId val="10"/>
        <axId val="100"/>
      </barChart>
      <catAx>
        <axId val="10"/>
        <scaling>
          <orientation val="minMax"/>
        </scaling>
        <axPos val="l"/>
        <title>
          <tx>
            <rich>
              <a:bodyPr/>
              <a:p>
                <a:pPr>
                  <a:defRPr/>
                </a:pPr>
                <a:r>
                  <a:t>Day</a:t>
                </a:r>
              </a:p>
            </rich>
          </tx>
        </title>
        <majorTickMark val="none"/>
        <minorTickMark val="none"/>
        <crossAx val="100"/>
        <lblOffset val="100"/>
      </catAx>
      <valAx>
        <axId val="100"/>
        <scaling>
          <orientation val="minMax"/>
          <max val="15"/>
          <min val="0"/>
        </scaling>
        <axPos val="l"/>
        <majorGridlines/>
        <title>
          <tx>
            <rich>
              <a:bodyPr/>
              <a:p>
                <a:pPr>
                  <a:defRPr/>
                </a:pPr>
                <a:r>
                  <a:t>Chores Completed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21</row>
      <rowOff>0</rowOff>
    </from>
    <ext cx="79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4A90D9"/>
    <outlinePr summaryBelow="1" summaryRight="1"/>
    <pageSetUpPr/>
  </sheetPr>
  <dimension ref="A1:K35"/>
  <sheetViews>
    <sheetView showGridLines="0" workbookViewId="0">
      <pane ySplit="8" topLeftCell="A9" activePane="bottomLeft" state="frozen"/>
      <selection pane="bottomLeft" activeCell="A1" sqref="A1"/>
    </sheetView>
  </sheetViews>
  <sheetFormatPr baseColWidth="8" defaultColWidth="14" defaultRowHeight="22"/>
  <cols>
    <col width="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6" customWidth="1" min="10" max="10"/>
    <col width="16" customWidth="1" min="11" max="11"/>
  </cols>
  <sheetData>
    <row r="1">
      <c r="A1" s="1" t="inlineStr">
        <is>
          <t>KIDS CHORE CHART SYSTEM</t>
        </is>
      </c>
      <c r="B1" s="2" t="n"/>
      <c r="C1" s="2" t="n"/>
      <c r="D1" s="2" t="n"/>
      <c r="E1" s="2" t="n"/>
      <c r="F1" s="2" t="n"/>
      <c r="G1" s="2" t="n"/>
      <c r="H1" s="2" t="n"/>
      <c r="I1" s="2" t="n"/>
      <c r="J1" s="2" t="n"/>
      <c r="K1" s="2" t="n"/>
    </row>
    <row r="2">
      <c r="A2" s="2" t="n"/>
      <c r="B2" s="2" t="n"/>
      <c r="C2" s="2" t="n"/>
      <c r="D2" s="2" t="n"/>
      <c r="E2" s="2" t="n"/>
      <c r="F2" s="2" t="n"/>
      <c r="G2" s="2" t="n"/>
      <c r="H2" s="2" t="n"/>
      <c r="I2" s="2" t="n"/>
      <c r="J2" s="2" t="n"/>
      <c r="K2" s="2" t="n"/>
    </row>
    <row r="4">
      <c r="A4" s="3" t="inlineStr">
        <is>
          <t>CHILD'S NAME:</t>
        </is>
      </c>
      <c r="B4" s="2" t="n"/>
      <c r="C4" s="4" t="inlineStr"/>
      <c r="D4" s="2" t="n"/>
      <c r="E4" s="2" t="n"/>
      <c r="F4" s="3" t="inlineStr">
        <is>
          <t>WEEK OF:</t>
        </is>
      </c>
      <c r="G4" s="2" t="n"/>
      <c r="H4" s="4" t="inlineStr"/>
      <c r="I4" s="2" t="n"/>
      <c r="J4" s="3" t="inlineStr">
        <is>
          <t>POINTS GOAL:</t>
        </is>
      </c>
      <c r="K4" s="2" t="n"/>
    </row>
    <row r="5">
      <c r="J5" s="5" t="n">
        <v>35</v>
      </c>
      <c r="K5" s="2" t="n"/>
    </row>
    <row r="6" ht="8" customHeight="1"/>
    <row r="7">
      <c r="A7" s="6" t="inlineStr">
        <is>
          <t>DAILY CHORES</t>
        </is>
      </c>
      <c r="B7" s="2" t="n"/>
      <c r="C7" s="2" t="n"/>
      <c r="D7" s="2" t="n"/>
      <c r="E7" s="2" t="n"/>
      <c r="F7" s="2" t="n"/>
      <c r="G7" s="2" t="n"/>
      <c r="H7" s="2" t="n"/>
      <c r="I7" s="2" t="n"/>
      <c r="J7" s="2" t="n"/>
      <c r="K7" s="2" t="n"/>
    </row>
    <row r="8" ht="30" customHeight="1">
      <c r="A8" s="7" t="inlineStr">
        <is>
          <t>#</t>
        </is>
      </c>
      <c r="B8" s="7" t="inlineStr">
        <is>
          <t>CHORE</t>
        </is>
      </c>
      <c r="C8" s="7" t="inlineStr">
        <is>
          <t>MON</t>
        </is>
      </c>
      <c r="D8" s="7" t="inlineStr">
        <is>
          <t>TUE</t>
        </is>
      </c>
      <c r="E8" s="7" t="inlineStr">
        <is>
          <t>WED</t>
        </is>
      </c>
      <c r="F8" s="7" t="inlineStr">
        <is>
          <t>THU</t>
        </is>
      </c>
      <c r="G8" s="7" t="inlineStr">
        <is>
          <t>FRI</t>
        </is>
      </c>
      <c r="H8" s="7" t="inlineStr">
        <is>
          <t>SAT</t>
        </is>
      </c>
      <c r="I8" s="7" t="inlineStr">
        <is>
          <t>SUN</t>
        </is>
      </c>
      <c r="J8" s="7" t="inlineStr">
        <is>
          <t>DONE</t>
        </is>
      </c>
      <c r="K8" s="7" t="inlineStr">
        <is>
          <t>POINTS</t>
        </is>
      </c>
    </row>
    <row r="9" ht="26" customHeight="1">
      <c r="A9" s="8" t="n">
        <v>1</v>
      </c>
      <c r="B9" s="9" t="inlineStr">
        <is>
          <t>Make Bed</t>
        </is>
      </c>
      <c r="C9" s="10" t="inlineStr"/>
      <c r="D9" s="10" t="inlineStr"/>
      <c r="E9" s="10" t="inlineStr"/>
      <c r="F9" s="10" t="inlineStr"/>
      <c r="G9" s="10" t="inlineStr"/>
      <c r="H9" s="10" t="inlineStr"/>
      <c r="I9" s="10" t="inlineStr"/>
      <c r="J9" s="11">
        <f>COUNTIF(C9:I9,"✓")</f>
        <v/>
      </c>
      <c r="K9" s="12">
        <f>J9</f>
        <v/>
      </c>
    </row>
    <row r="10" ht="26" customHeight="1">
      <c r="A10" s="13" t="n">
        <v>2</v>
      </c>
      <c r="B10" s="9" t="inlineStr">
        <is>
          <t>Brush Teeth (AM)</t>
        </is>
      </c>
      <c r="C10" s="14" t="inlineStr"/>
      <c r="D10" s="14" t="inlineStr"/>
      <c r="E10" s="14" t="inlineStr"/>
      <c r="F10" s="14" t="inlineStr"/>
      <c r="G10" s="14" t="inlineStr"/>
      <c r="H10" s="14" t="inlineStr"/>
      <c r="I10" s="14" t="inlineStr"/>
      <c r="J10" s="15">
        <f>COUNTIF(C10:I10,"✓")</f>
        <v/>
      </c>
      <c r="K10" s="16">
        <f>J10</f>
        <v/>
      </c>
    </row>
    <row r="11" ht="26" customHeight="1">
      <c r="A11" s="8" t="n">
        <v>3</v>
      </c>
      <c r="B11" s="9" t="inlineStr">
        <is>
          <t>Brush Teeth (PM)</t>
        </is>
      </c>
      <c r="C11" s="10" t="inlineStr"/>
      <c r="D11" s="10" t="inlineStr"/>
      <c r="E11" s="10" t="inlineStr"/>
      <c r="F11" s="10" t="inlineStr"/>
      <c r="G11" s="10" t="inlineStr"/>
      <c r="H11" s="10" t="inlineStr"/>
      <c r="I11" s="10" t="inlineStr"/>
      <c r="J11" s="11">
        <f>COUNTIF(C11:I11,"✓")</f>
        <v/>
      </c>
      <c r="K11" s="12">
        <f>J11</f>
        <v/>
      </c>
    </row>
    <row r="12" ht="26" customHeight="1">
      <c r="A12" s="13" t="n">
        <v>4</v>
      </c>
      <c r="B12" s="9" t="inlineStr">
        <is>
          <t>Pick Up Toys</t>
        </is>
      </c>
      <c r="C12" s="14" t="inlineStr"/>
      <c r="D12" s="14" t="inlineStr"/>
      <c r="E12" s="14" t="inlineStr"/>
      <c r="F12" s="14" t="inlineStr"/>
      <c r="G12" s="14" t="inlineStr"/>
      <c r="H12" s="14" t="inlineStr"/>
      <c r="I12" s="14" t="inlineStr"/>
      <c r="J12" s="15">
        <f>COUNTIF(C12:I12,"✓")</f>
        <v/>
      </c>
      <c r="K12" s="16">
        <f>J12</f>
        <v/>
      </c>
    </row>
    <row r="13" ht="26" customHeight="1">
      <c r="A13" s="8" t="n">
        <v>5</v>
      </c>
      <c r="B13" s="9" t="inlineStr">
        <is>
          <t>Set the Table</t>
        </is>
      </c>
      <c r="C13" s="10" t="inlineStr"/>
      <c r="D13" s="10" t="inlineStr"/>
      <c r="E13" s="10" t="inlineStr"/>
      <c r="F13" s="10" t="inlineStr"/>
      <c r="G13" s="10" t="inlineStr"/>
      <c r="H13" s="10" t="inlineStr"/>
      <c r="I13" s="10" t="inlineStr"/>
      <c r="J13" s="11">
        <f>COUNTIF(C13:I13,"✓")</f>
        <v/>
      </c>
      <c r="K13" s="12">
        <f>J13</f>
        <v/>
      </c>
    </row>
    <row r="14" ht="26" customHeight="1">
      <c r="A14" s="13" t="n">
        <v>6</v>
      </c>
      <c r="B14" s="9" t="inlineStr">
        <is>
          <t>Clear Dishes</t>
        </is>
      </c>
      <c r="C14" s="14" t="inlineStr"/>
      <c r="D14" s="14" t="inlineStr"/>
      <c r="E14" s="14" t="inlineStr"/>
      <c r="F14" s="14" t="inlineStr"/>
      <c r="G14" s="14" t="inlineStr"/>
      <c r="H14" s="14" t="inlineStr"/>
      <c r="I14" s="14" t="inlineStr"/>
      <c r="J14" s="15">
        <f>COUNTIF(C14:I14,"✓")</f>
        <v/>
      </c>
      <c r="K14" s="16">
        <f>J14</f>
        <v/>
      </c>
    </row>
    <row r="15" ht="26" customHeight="1">
      <c r="A15" s="8" t="n">
        <v>7</v>
      </c>
      <c r="B15" s="9" t="inlineStr">
        <is>
          <t>Put Clothes Away</t>
        </is>
      </c>
      <c r="C15" s="10" t="inlineStr"/>
      <c r="D15" s="10" t="inlineStr"/>
      <c r="E15" s="10" t="inlineStr"/>
      <c r="F15" s="10" t="inlineStr"/>
      <c r="G15" s="10" t="inlineStr"/>
      <c r="H15" s="10" t="inlineStr"/>
      <c r="I15" s="10" t="inlineStr"/>
      <c r="J15" s="11">
        <f>COUNTIF(C15:I15,"✓")</f>
        <v/>
      </c>
      <c r="K15" s="12">
        <f>J15</f>
        <v/>
      </c>
    </row>
    <row r="16" ht="26" customHeight="1">
      <c r="A16" s="13" t="n">
        <v>8</v>
      </c>
      <c r="B16" s="9" t="inlineStr">
        <is>
          <t>Pack School Bag</t>
        </is>
      </c>
      <c r="C16" s="14" t="inlineStr"/>
      <c r="D16" s="14" t="inlineStr"/>
      <c r="E16" s="14" t="inlineStr"/>
      <c r="F16" s="14" t="inlineStr"/>
      <c r="G16" s="14" t="inlineStr"/>
      <c r="H16" s="14" t="inlineStr"/>
      <c r="I16" s="14" t="inlineStr"/>
      <c r="J16" s="15">
        <f>COUNTIF(C16:I16,"✓")</f>
        <v/>
      </c>
      <c r="K16" s="16">
        <f>J16</f>
        <v/>
      </c>
    </row>
    <row r="17" ht="26" customHeight="1">
      <c r="A17" s="8" t="n">
        <v>9</v>
      </c>
      <c r="B17" s="9" t="inlineStr">
        <is>
          <t>Feed Pet</t>
        </is>
      </c>
      <c r="C17" s="10" t="inlineStr"/>
      <c r="D17" s="10" t="inlineStr"/>
      <c r="E17" s="10" t="inlineStr"/>
      <c r="F17" s="10" t="inlineStr"/>
      <c r="G17" s="10" t="inlineStr"/>
      <c r="H17" s="10" t="inlineStr"/>
      <c r="I17" s="10" t="inlineStr"/>
      <c r="J17" s="11">
        <f>COUNTIF(C17:I17,"✓")</f>
        <v/>
      </c>
      <c r="K17" s="12">
        <f>J17</f>
        <v/>
      </c>
    </row>
    <row r="18" ht="26" customHeight="1">
      <c r="A18" s="13" t="n">
        <v>10</v>
      </c>
      <c r="B18" s="9" t="inlineStr">
        <is>
          <t>Tidy Bedroom</t>
        </is>
      </c>
      <c r="C18" s="14" t="inlineStr"/>
      <c r="D18" s="14" t="inlineStr"/>
      <c r="E18" s="14" t="inlineStr"/>
      <c r="F18" s="14" t="inlineStr"/>
      <c r="G18" s="14" t="inlineStr"/>
      <c r="H18" s="14" t="inlineStr"/>
      <c r="I18" s="14" t="inlineStr"/>
      <c r="J18" s="15">
        <f>COUNTIF(C18:I18,"✓")</f>
        <v/>
      </c>
      <c r="K18" s="16">
        <f>J18</f>
        <v/>
      </c>
    </row>
    <row r="19" ht="8" customHeight="1"/>
    <row r="20">
      <c r="A20" s="6" t="inlineStr">
        <is>
          <t>WEEKLY CHORES</t>
        </is>
      </c>
      <c r="B20" s="2" t="n"/>
      <c r="C20" s="2" t="n"/>
      <c r="D20" s="2" t="n"/>
      <c r="E20" s="2" t="n"/>
      <c r="F20" s="2" t="n"/>
      <c r="G20" s="2" t="n"/>
      <c r="H20" s="2" t="n"/>
      <c r="I20" s="2" t="n"/>
      <c r="J20" s="2" t="n"/>
      <c r="K20" s="2" t="n"/>
    </row>
    <row r="21" ht="30" customHeight="1">
      <c r="A21" s="7" t="inlineStr">
        <is>
          <t>#</t>
        </is>
      </c>
      <c r="B21" s="7" t="inlineStr">
        <is>
          <t>CHORE</t>
        </is>
      </c>
      <c r="C21" s="7" t="inlineStr">
        <is>
          <t>MON</t>
        </is>
      </c>
      <c r="D21" s="7" t="inlineStr">
        <is>
          <t>TUE</t>
        </is>
      </c>
      <c r="E21" s="7" t="inlineStr">
        <is>
          <t>WED</t>
        </is>
      </c>
      <c r="F21" s="7" t="inlineStr">
        <is>
          <t>THU</t>
        </is>
      </c>
      <c r="G21" s="7" t="inlineStr">
        <is>
          <t>FRI</t>
        </is>
      </c>
      <c r="H21" s="7" t="inlineStr">
        <is>
          <t>SAT</t>
        </is>
      </c>
      <c r="I21" s="7" t="inlineStr">
        <is>
          <t>SUN</t>
        </is>
      </c>
      <c r="J21" s="7" t="inlineStr">
        <is>
          <t>DONE</t>
        </is>
      </c>
      <c r="K21" s="7" t="inlineStr">
        <is>
          <t>POINTS</t>
        </is>
      </c>
    </row>
    <row r="22" ht="26" customHeight="1">
      <c r="A22" s="8" t="n">
        <v>1</v>
      </c>
      <c r="B22" s="9" t="inlineStr">
        <is>
          <t>Clean Room Thoroughly</t>
        </is>
      </c>
      <c r="C22" s="10" t="inlineStr"/>
      <c r="D22" s="10" t="inlineStr"/>
      <c r="E22" s="10" t="inlineStr"/>
      <c r="F22" s="10" t="inlineStr"/>
      <c r="G22" s="10" t="inlineStr"/>
      <c r="H22" s="10" t="inlineStr"/>
      <c r="I22" s="10" t="inlineStr"/>
      <c r="J22" s="11">
        <f>COUNTIF(C22:I22,"✓")</f>
        <v/>
      </c>
      <c r="K22" s="12">
        <f>J22*2</f>
        <v/>
      </c>
    </row>
    <row r="23" ht="26" customHeight="1">
      <c r="A23" s="13" t="n">
        <v>2</v>
      </c>
      <c r="B23" s="9" t="inlineStr">
        <is>
          <t>Take Out Trash</t>
        </is>
      </c>
      <c r="C23" s="14" t="inlineStr"/>
      <c r="D23" s="14" t="inlineStr"/>
      <c r="E23" s="14" t="inlineStr"/>
      <c r="F23" s="14" t="inlineStr"/>
      <c r="G23" s="14" t="inlineStr"/>
      <c r="H23" s="14" t="inlineStr"/>
      <c r="I23" s="14" t="inlineStr"/>
      <c r="J23" s="15">
        <f>COUNTIF(C23:I23,"✓")</f>
        <v/>
      </c>
      <c r="K23" s="16">
        <f>J23*2</f>
        <v/>
      </c>
    </row>
    <row r="24" ht="26" customHeight="1">
      <c r="A24" s="8" t="n">
        <v>3</v>
      </c>
      <c r="B24" s="9" t="inlineStr">
        <is>
          <t>Help with Laundry</t>
        </is>
      </c>
      <c r="C24" s="10" t="inlineStr"/>
      <c r="D24" s="10" t="inlineStr"/>
      <c r="E24" s="10" t="inlineStr"/>
      <c r="F24" s="10" t="inlineStr"/>
      <c r="G24" s="10" t="inlineStr"/>
      <c r="H24" s="10" t="inlineStr"/>
      <c r="I24" s="10" t="inlineStr"/>
      <c r="J24" s="11">
        <f>COUNTIF(C24:I24,"✓")</f>
        <v/>
      </c>
      <c r="K24" s="12">
        <f>J24*2</f>
        <v/>
      </c>
    </row>
    <row r="25" ht="26" customHeight="1">
      <c r="A25" s="13" t="n">
        <v>4</v>
      </c>
      <c r="B25" s="9" t="inlineStr">
        <is>
          <t>Vacuum / Sweep</t>
        </is>
      </c>
      <c r="C25" s="14" t="inlineStr"/>
      <c r="D25" s="14" t="inlineStr"/>
      <c r="E25" s="14" t="inlineStr"/>
      <c r="F25" s="14" t="inlineStr"/>
      <c r="G25" s="14" t="inlineStr"/>
      <c r="H25" s="14" t="inlineStr"/>
      <c r="I25" s="14" t="inlineStr"/>
      <c r="J25" s="15">
        <f>COUNTIF(C25:I25,"✓")</f>
        <v/>
      </c>
      <c r="K25" s="16">
        <f>J25*2</f>
        <v/>
      </c>
    </row>
    <row r="26" ht="26" customHeight="1">
      <c r="A26" s="8" t="n">
        <v>5</v>
      </c>
      <c r="B26" s="9" t="inlineStr">
        <is>
          <t>Organize Bookshelf</t>
        </is>
      </c>
      <c r="C26" s="10" t="inlineStr"/>
      <c r="D26" s="10" t="inlineStr"/>
      <c r="E26" s="10" t="inlineStr"/>
      <c r="F26" s="10" t="inlineStr"/>
      <c r="G26" s="10" t="inlineStr"/>
      <c r="H26" s="10" t="inlineStr"/>
      <c r="I26" s="10" t="inlineStr"/>
      <c r="J26" s="11">
        <f>COUNTIF(C26:I26,"✓")</f>
        <v/>
      </c>
      <c r="K26" s="12">
        <f>J26*2</f>
        <v/>
      </c>
    </row>
    <row r="27" ht="10" customHeight="1"/>
    <row r="28">
      <c r="A28" s="17" t="inlineStr">
        <is>
          <t>WEEKLY SUMMARY</t>
        </is>
      </c>
      <c r="B28" s="2" t="n"/>
      <c r="C28" s="2" t="n"/>
      <c r="D28" s="2" t="n"/>
      <c r="E28" s="2" t="n"/>
      <c r="F28" s="2" t="n"/>
      <c r="G28" s="2" t="n"/>
      <c r="H28" s="2" t="n"/>
      <c r="I28" s="2" t="n"/>
      <c r="J28" s="2" t="n"/>
      <c r="K28" s="2" t="n"/>
    </row>
    <row r="29" ht="28" customHeight="1">
      <c r="A29" s="3" t="inlineStr">
        <is>
          <t>Total Completed:</t>
        </is>
      </c>
      <c r="B29" s="2" t="n"/>
      <c r="C29" s="2" t="n"/>
      <c r="D29" s="18">
        <f>SUM(J9:J18,J22:J26)</f>
        <v/>
      </c>
      <c r="E29" s="2" t="n"/>
      <c r="F29" s="19" t="inlineStr">
        <is>
          <t>Total Points:</t>
        </is>
      </c>
      <c r="G29" s="2" t="n"/>
      <c r="H29" s="2" t="n"/>
      <c r="I29" s="20">
        <f>SUM(K9:K18,K22:K26)</f>
        <v/>
      </c>
      <c r="J29" s="2" t="n"/>
      <c r="K29" s="2" t="n"/>
    </row>
    <row r="30" ht="28" customHeight="1">
      <c r="A30" s="3" t="inlineStr">
        <is>
          <t>Progress:</t>
        </is>
      </c>
      <c r="B30" s="2" t="n"/>
      <c r="C30" s="2" t="n"/>
      <c r="D30" s="21">
        <f>IF(J5=0,0,SUM(K9:K18,K22:K26)/J5)</f>
        <v/>
      </c>
      <c r="E30" s="2" t="n"/>
      <c r="F30" s="19" t="inlineStr">
        <is>
          <t>Reward Status:</t>
        </is>
      </c>
      <c r="G30" s="2" t="n"/>
      <c r="H30" s="2" t="n"/>
      <c r="I30" s="22">
        <f>IF(SUM(K9:K18,K22:K26)&gt;=J5,"REWARD EARNED!","Keep Going!")</f>
        <v/>
      </c>
      <c r="J30" s="2" t="n"/>
      <c r="K30" s="2" t="n"/>
    </row>
    <row r="31" ht="6" customHeight="1"/>
    <row r="32" ht="28" customHeight="1">
      <c r="A32" s="3" t="inlineStr">
        <is>
          <t>Progress Bar:</t>
        </is>
      </c>
      <c r="B32" s="2" t="n"/>
      <c r="C32" s="2" t="n"/>
      <c r="D32" s="23">
        <f>IF(J5=0,0,SUM(K9:K18,K22:K26)/J5)</f>
        <v/>
      </c>
      <c r="E32" s="23">
        <f>IF(J5=0,0,SUM(K9:K18,K22:K26)/J5)</f>
        <v/>
      </c>
      <c r="F32" s="23">
        <f>IF(J5=0,0,SUM(K9:K18,K22:K26)/J5)</f>
        <v/>
      </c>
      <c r="G32" s="23">
        <f>IF(J5=0,0,SUM(K9:K18,K22:K26)/J5)</f>
        <v/>
      </c>
      <c r="H32" s="23">
        <f>IF(J5=0,0,SUM(K9:K18,K22:K26)/J5)</f>
        <v/>
      </c>
      <c r="I32" s="23">
        <f>IF(J5=0,0,SUM(K9:K18,K22:K26)/J5)</f>
        <v/>
      </c>
      <c r="J32" s="23">
        <f>IF(J5=0,0,SUM(K9:K18,K22:K26)/J5)</f>
        <v/>
      </c>
      <c r="K32" s="23">
        <f>IF(J5=0,0,SUM(K9:K18,K22:K26)/J5)</f>
        <v/>
      </c>
    </row>
    <row r="34">
      <c r="A34" s="24" t="inlineStr">
        <is>
          <t>NOTES &amp; REWARD DESCRIPTION</t>
        </is>
      </c>
      <c r="B34" s="2" t="n"/>
      <c r="C34" s="2" t="n"/>
      <c r="D34" s="2" t="n"/>
      <c r="E34" s="2" t="n"/>
      <c r="F34" s="2" t="n"/>
      <c r="G34" s="2" t="n"/>
      <c r="H34" s="2" t="n"/>
      <c r="I34" s="2" t="n"/>
      <c r="J34" s="2" t="n"/>
      <c r="K34" s="2" t="n"/>
    </row>
    <row r="35" ht="60" customHeight="1">
      <c r="A35" s="25" t="inlineStr"/>
      <c r="B35" s="2" t="n"/>
      <c r="C35" s="2" t="n"/>
      <c r="D35" s="2" t="n"/>
      <c r="E35" s="2" t="n"/>
      <c r="F35" s="2" t="n"/>
      <c r="G35" s="2" t="n"/>
      <c r="H35" s="2" t="n"/>
      <c r="I35" s="2" t="n"/>
      <c r="J35" s="2" t="n"/>
      <c r="K35" s="2" t="n"/>
    </row>
  </sheetData>
  <mergeCells count="21">
    <mergeCell ref="F4:G4"/>
    <mergeCell ref="A34:K34"/>
    <mergeCell ref="J5:K5"/>
    <mergeCell ref="H4:I4"/>
    <mergeCell ref="A32:C32"/>
    <mergeCell ref="A7:K7"/>
    <mergeCell ref="A29:C29"/>
    <mergeCell ref="I29:K29"/>
    <mergeCell ref="J4:K4"/>
    <mergeCell ref="A30:C30"/>
    <mergeCell ref="I30:K30"/>
    <mergeCell ref="F29:H29"/>
    <mergeCell ref="A1:K2"/>
    <mergeCell ref="A4:B4"/>
    <mergeCell ref="A35:K35"/>
    <mergeCell ref="D30:E30"/>
    <mergeCell ref="A20:K20"/>
    <mergeCell ref="D29:E29"/>
    <mergeCell ref="C4:E4"/>
    <mergeCell ref="A28:K28"/>
    <mergeCell ref="F30:H30"/>
  </mergeCells>
  <conditionalFormatting sqref="I30:K30">
    <cfRule type="cellIs" priority="1" operator="equal" dxfId="0">
      <formula>"REWARD EARNED!"</formula>
    </cfRule>
  </conditionalFormatting>
  <conditionalFormatting sqref="D32:K32">
    <cfRule type="dataBar" priority="2">
      <dataBar>
        <cfvo type="num" val="0"/>
        <cfvo type="num" val="1"/>
        <color rgb="004A90D9"/>
      </dataBar>
    </cfRule>
  </conditionalFormatting>
  <dataValidations count="1">
    <dataValidation sqref="C9 C10 C11 C12 C13 C14 C15 C16 C17 C18 C22 C23 C24 C25 C26 D9 D10 D11 D12 D13 D14 D15 D16 D17 D18 D22 D23 D24 D25 D26 E9 E10 E11 E12 E13 E14 E15 E16 E17 E18 E22 E23 E24 E25 E26 F9 F10 F11 F12 F13 F14 F15 F16 F17 F18 F22 F23 F24 F25 F26 G9 G10 G11 G12 G13 G14 G15 G16 G17 G18 G22 G23 G24 G25 G26 H9 H10 H11 H12 H13 H14 H15 H16 H17 H18 H22 H23 H24 H25 H26 I9 I10 I11 I12 I13 I14 I15 I16 I17 I18 I22 I23 I24 I25 I26" showDropDown="0" showInputMessage="0" showErrorMessage="0" allowBlank="1" errorTitle="Invalid" error="Enter ✓ or leave blank" type="list">
      <formula1>"✓,"</formula1>
    </dataValidation>
  </dataValidations>
  <pageMargins left="0.75" right="0.75" top="1" bottom="1" header="0.5" footer="0.5"/>
</worksheet>
</file>

<file path=xl/worksheets/sheet2.xml><?xml version="1.0" encoding="utf-8"?>
<worksheet xmlns="http://schemas.openxmlformats.org/spreadsheetml/2006/main">
  <sheetPr>
    <tabColor rgb="00F5A623"/>
    <outlinePr summaryBelow="1" summaryRight="1"/>
    <pageSetUpPr/>
  </sheetPr>
  <dimension ref="A1:J20"/>
  <sheetViews>
    <sheetView showGridLines="0" workbookViewId="0">
      <pane ySplit="5" topLeftCell="A6" activePane="bottomLeft" state="frozen"/>
      <selection pane="bottomLeft" activeCell="A1" sqref="A1"/>
    </sheetView>
  </sheetViews>
  <sheetFormatPr baseColWidth="8" defaultRowHeight="15"/>
  <cols>
    <col width="4"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6" customWidth="1" min="10" max="10"/>
  </cols>
  <sheetData>
    <row r="1">
      <c r="A1" s="26" t="inlineStr">
        <is>
          <t>WEEKLY PROGRESS SUMMARY</t>
        </is>
      </c>
      <c r="B1" s="2" t="n"/>
      <c r="C1" s="2" t="n"/>
      <c r="D1" s="2" t="n"/>
      <c r="E1" s="2" t="n"/>
      <c r="F1" s="2" t="n"/>
      <c r="G1" s="2" t="n"/>
      <c r="H1" s="2" t="n"/>
      <c r="I1" s="2" t="n"/>
      <c r="J1" s="2" t="n"/>
    </row>
    <row r="2">
      <c r="A2" s="2" t="n"/>
      <c r="B2" s="2" t="n"/>
      <c r="C2" s="2" t="n"/>
      <c r="D2" s="2" t="n"/>
      <c r="E2" s="2" t="n"/>
      <c r="F2" s="2" t="n"/>
      <c r="G2" s="2" t="n"/>
      <c r="H2" s="2" t="n"/>
      <c r="I2" s="2" t="n"/>
      <c r="J2" s="2" t="n"/>
    </row>
    <row r="4">
      <c r="A4" s="27" t="inlineStr">
        <is>
          <t>DAY-BY-DAY COMPLETION RATE</t>
        </is>
      </c>
      <c r="B4" s="2" t="n"/>
      <c r="C4" s="2" t="n"/>
      <c r="D4" s="2" t="n"/>
      <c r="E4" s="2" t="n"/>
      <c r="F4" s="2" t="n"/>
      <c r="G4" s="2" t="n"/>
      <c r="H4" s="2" t="n"/>
      <c r="I4" s="2" t="n"/>
      <c r="J4" s="2" t="n"/>
    </row>
    <row r="5">
      <c r="A5" s="28" t="inlineStr"/>
      <c r="B5" s="28" t="inlineStr">
        <is>
          <t>DAY</t>
        </is>
      </c>
      <c r="C5" s="28" t="inlineStr">
        <is>
          <t>DAILY DONE</t>
        </is>
      </c>
      <c r="D5" s="28" t="inlineStr">
        <is>
          <t>DAILY TOTAL</t>
        </is>
      </c>
      <c r="E5" s="28" t="inlineStr">
        <is>
          <t>WEEKLY DONE</t>
        </is>
      </c>
      <c r="F5" s="28" t="inlineStr">
        <is>
          <t>WEEKLY TOTAL</t>
        </is>
      </c>
      <c r="G5" s="28" t="inlineStr">
        <is>
          <t>ALL DONE</t>
        </is>
      </c>
      <c r="H5" s="28" t="inlineStr">
        <is>
          <t>ALL TOTAL</t>
        </is>
      </c>
      <c r="I5" s="28" t="inlineStr">
        <is>
          <t>% COMPLETE</t>
        </is>
      </c>
      <c r="J5" s="28" t="inlineStr">
        <is>
          <t>STATUS</t>
        </is>
      </c>
    </row>
    <row r="6" ht="26" customHeight="1">
      <c r="A6" s="8" t="n">
        <v>1</v>
      </c>
      <c r="B6" s="29" t="inlineStr">
        <is>
          <t>Monday</t>
        </is>
      </c>
      <c r="C6" s="11">
        <f>COUNTIF('Chore Chart'!C9:C18,"✓")</f>
        <v/>
      </c>
      <c r="D6" s="30" t="n">
        <v>10</v>
      </c>
      <c r="E6" s="11">
        <f>COUNTIF('Chore Chart'!C22:C26,"✓")</f>
        <v/>
      </c>
      <c r="F6" s="30" t="n">
        <v>5</v>
      </c>
      <c r="G6" s="12">
        <f>C6+E6</f>
        <v/>
      </c>
      <c r="H6" s="30">
        <f>D6+F6</f>
        <v/>
      </c>
      <c r="I6" s="31">
        <f>IF(H6=0,0,G6/H6)</f>
        <v/>
      </c>
      <c r="J6" s="32">
        <f>IF(I6&gt;=0.8,"Great!",IF(I6&gt;=0.5,"Good","Needs Work"))</f>
        <v/>
      </c>
    </row>
    <row r="7" ht="26" customHeight="1">
      <c r="A7" s="13" t="n">
        <v>2</v>
      </c>
      <c r="B7" s="33" t="inlineStr">
        <is>
          <t>Tuesday</t>
        </is>
      </c>
      <c r="C7" s="15">
        <f>COUNTIF('Chore Chart'!D9:D18,"✓")</f>
        <v/>
      </c>
      <c r="D7" s="34" t="n">
        <v>10</v>
      </c>
      <c r="E7" s="15">
        <f>COUNTIF('Chore Chart'!D22:D26,"✓")</f>
        <v/>
      </c>
      <c r="F7" s="34" t="n">
        <v>5</v>
      </c>
      <c r="G7" s="16">
        <f>C7+E7</f>
        <v/>
      </c>
      <c r="H7" s="34">
        <f>D7+F7</f>
        <v/>
      </c>
      <c r="I7" s="35">
        <f>IF(H7=0,0,G7/H7)</f>
        <v/>
      </c>
      <c r="J7" s="36">
        <f>IF(I7&gt;=0.8,"Great!",IF(I7&gt;=0.5,"Good","Needs Work"))</f>
        <v/>
      </c>
    </row>
    <row r="8" ht="26" customHeight="1">
      <c r="A8" s="8" t="n">
        <v>3</v>
      </c>
      <c r="B8" s="29" t="inlineStr">
        <is>
          <t>Wednesday</t>
        </is>
      </c>
      <c r="C8" s="11">
        <f>COUNTIF('Chore Chart'!E9:E18,"✓")</f>
        <v/>
      </c>
      <c r="D8" s="30" t="n">
        <v>10</v>
      </c>
      <c r="E8" s="11">
        <f>COUNTIF('Chore Chart'!E22:E26,"✓")</f>
        <v/>
      </c>
      <c r="F8" s="30" t="n">
        <v>5</v>
      </c>
      <c r="G8" s="12">
        <f>C8+E8</f>
        <v/>
      </c>
      <c r="H8" s="30">
        <f>D8+F8</f>
        <v/>
      </c>
      <c r="I8" s="31">
        <f>IF(H8=0,0,G8/H8)</f>
        <v/>
      </c>
      <c r="J8" s="32">
        <f>IF(I8&gt;=0.8,"Great!",IF(I8&gt;=0.5,"Good","Needs Work"))</f>
        <v/>
      </c>
    </row>
    <row r="9" ht="26" customHeight="1">
      <c r="A9" s="13" t="n">
        <v>4</v>
      </c>
      <c r="B9" s="33" t="inlineStr">
        <is>
          <t>Thursday</t>
        </is>
      </c>
      <c r="C9" s="15">
        <f>COUNTIF('Chore Chart'!F9:F18,"✓")</f>
        <v/>
      </c>
      <c r="D9" s="34" t="n">
        <v>10</v>
      </c>
      <c r="E9" s="15">
        <f>COUNTIF('Chore Chart'!F22:F26,"✓")</f>
        <v/>
      </c>
      <c r="F9" s="34" t="n">
        <v>5</v>
      </c>
      <c r="G9" s="16">
        <f>C9+E9</f>
        <v/>
      </c>
      <c r="H9" s="34">
        <f>D9+F9</f>
        <v/>
      </c>
      <c r="I9" s="35">
        <f>IF(H9=0,0,G9/H9)</f>
        <v/>
      </c>
      <c r="J9" s="36">
        <f>IF(I9&gt;=0.8,"Great!",IF(I9&gt;=0.5,"Good","Needs Work"))</f>
        <v/>
      </c>
    </row>
    <row r="10" ht="26" customHeight="1">
      <c r="A10" s="8" t="n">
        <v>5</v>
      </c>
      <c r="B10" s="29" t="inlineStr">
        <is>
          <t>Friday</t>
        </is>
      </c>
      <c r="C10" s="11">
        <f>COUNTIF('Chore Chart'!G9:G18,"✓")</f>
        <v/>
      </c>
      <c r="D10" s="30" t="n">
        <v>10</v>
      </c>
      <c r="E10" s="11">
        <f>COUNTIF('Chore Chart'!G22:G26,"✓")</f>
        <v/>
      </c>
      <c r="F10" s="30" t="n">
        <v>5</v>
      </c>
      <c r="G10" s="12">
        <f>C10+E10</f>
        <v/>
      </c>
      <c r="H10" s="30">
        <f>D10+F10</f>
        <v/>
      </c>
      <c r="I10" s="31">
        <f>IF(H10=0,0,G10/H10)</f>
        <v/>
      </c>
      <c r="J10" s="32">
        <f>IF(I10&gt;=0.8,"Great!",IF(I10&gt;=0.5,"Good","Needs Work"))</f>
        <v/>
      </c>
    </row>
    <row r="11" ht="26" customHeight="1">
      <c r="A11" s="13" t="n">
        <v>6</v>
      </c>
      <c r="B11" s="33" t="inlineStr">
        <is>
          <t>Saturday</t>
        </is>
      </c>
      <c r="C11" s="15">
        <f>COUNTIF('Chore Chart'!H9:H18,"✓")</f>
        <v/>
      </c>
      <c r="D11" s="34" t="n">
        <v>10</v>
      </c>
      <c r="E11" s="15">
        <f>COUNTIF('Chore Chart'!H22:H26,"✓")</f>
        <v/>
      </c>
      <c r="F11" s="34" t="n">
        <v>5</v>
      </c>
      <c r="G11" s="16">
        <f>C11+E11</f>
        <v/>
      </c>
      <c r="H11" s="34">
        <f>D11+F11</f>
        <v/>
      </c>
      <c r="I11" s="35">
        <f>IF(H11=0,0,G11/H11)</f>
        <v/>
      </c>
      <c r="J11" s="36">
        <f>IF(I11&gt;=0.8,"Great!",IF(I11&gt;=0.5,"Good","Needs Work"))</f>
        <v/>
      </c>
    </row>
    <row r="12" ht="26" customHeight="1">
      <c r="A12" s="8" t="n">
        <v>7</v>
      </c>
      <c r="B12" s="29" t="inlineStr">
        <is>
          <t>Sunday</t>
        </is>
      </c>
      <c r="C12" s="11">
        <f>COUNTIF('Chore Chart'!I9:I18,"✓")</f>
        <v/>
      </c>
      <c r="D12" s="30" t="n">
        <v>10</v>
      </c>
      <c r="E12" s="11">
        <f>COUNTIF('Chore Chart'!I22:I26,"✓")</f>
        <v/>
      </c>
      <c r="F12" s="30" t="n">
        <v>5</v>
      </c>
      <c r="G12" s="12">
        <f>C12+E12</f>
        <v/>
      </c>
      <c r="H12" s="30">
        <f>D12+F12</f>
        <v/>
      </c>
      <c r="I12" s="31">
        <f>IF(H12=0,0,G12/H12)</f>
        <v/>
      </c>
      <c r="J12" s="32">
        <f>IF(I12&gt;=0.8,"Great!",IF(I12&gt;=0.5,"Good","Needs Work"))</f>
        <v/>
      </c>
    </row>
    <row r="14">
      <c r="A14" s="37" t="inlineStr">
        <is>
          <t>OVERALL WEEKLY STATS</t>
        </is>
      </c>
      <c r="B14" s="2" t="n"/>
      <c r="C14" s="2" t="n"/>
      <c r="D14" s="2" t="n"/>
      <c r="E14" s="2" t="n"/>
      <c r="F14" s="2" t="n"/>
      <c r="G14" s="2" t="n"/>
      <c r="H14" s="2" t="n"/>
      <c r="I14" s="2" t="n"/>
      <c r="J14" s="2" t="n"/>
    </row>
    <row r="15" ht="28" customHeight="1">
      <c r="A15" s="38" t="inlineStr">
        <is>
          <t>Total Check-Marks</t>
        </is>
      </c>
      <c r="B15" s="2" t="n"/>
      <c r="C15" s="2" t="n"/>
      <c r="D15" s="2" t="n"/>
      <c r="E15" s="2" t="n"/>
      <c r="F15" s="18">
        <f>SUM(G6:G12)</f>
        <v/>
      </c>
      <c r="G15" s="2" t="n"/>
      <c r="H15" s="2" t="n"/>
      <c r="I15" s="2" t="n"/>
      <c r="J15" s="2" t="n"/>
    </row>
    <row r="16" ht="28" customHeight="1">
      <c r="A16" s="39" t="inlineStr">
        <is>
          <t>Total Possible</t>
        </is>
      </c>
      <c r="B16" s="2" t="n"/>
      <c r="C16" s="2" t="n"/>
      <c r="D16" s="2" t="n"/>
      <c r="E16" s="2" t="n"/>
      <c r="F16" s="40">
        <f>SUM(H6:H12)</f>
        <v/>
      </c>
      <c r="G16" s="2" t="n"/>
      <c r="H16" s="2" t="n"/>
      <c r="I16" s="2" t="n"/>
      <c r="J16" s="2" t="n"/>
    </row>
    <row r="17" ht="28" customHeight="1">
      <c r="A17" s="38" t="inlineStr">
        <is>
          <t>Weekly Completion Rate</t>
        </is>
      </c>
      <c r="B17" s="2" t="n"/>
      <c r="C17" s="2" t="n"/>
      <c r="D17" s="2" t="n"/>
      <c r="E17" s="2" t="n"/>
      <c r="F17" s="21">
        <f>IF(SUM(H6:H12)=0,0,SUM(G6:G12)/SUM(H6:H12))</f>
        <v/>
      </c>
      <c r="G17" s="2" t="n"/>
      <c r="H17" s="2" t="n"/>
      <c r="I17" s="2" t="n"/>
      <c r="J17" s="2" t="n"/>
    </row>
    <row r="18" ht="28" customHeight="1">
      <c r="A18" s="39" t="inlineStr">
        <is>
          <t>Total Points Earned</t>
        </is>
      </c>
      <c r="B18" s="2" t="n"/>
      <c r="C18" s="2" t="n"/>
      <c r="D18" s="2" t="n"/>
      <c r="E18" s="2" t="n"/>
      <c r="F18" s="40">
        <f>'Chore Chart'!I29</f>
        <v/>
      </c>
      <c r="G18" s="2" t="n"/>
      <c r="H18" s="2" t="n"/>
      <c r="I18" s="2" t="n"/>
      <c r="J18" s="2" t="n"/>
    </row>
    <row r="19" ht="28" customHeight="1">
      <c r="A19" s="38" t="inlineStr">
        <is>
          <t>Points Goal</t>
        </is>
      </c>
      <c r="B19" s="2" t="n"/>
      <c r="C19" s="2" t="n"/>
      <c r="D19" s="2" t="n"/>
      <c r="E19" s="2" t="n"/>
      <c r="F19" s="18">
        <f>'Chore Chart'!J5</f>
        <v/>
      </c>
      <c r="G19" s="2" t="n"/>
      <c r="H19" s="2" t="n"/>
      <c r="I19" s="2" t="n"/>
      <c r="J19" s="2" t="n"/>
    </row>
    <row r="20" ht="28" customHeight="1">
      <c r="A20" s="39" t="inlineStr">
        <is>
          <t>Reward Progress</t>
        </is>
      </c>
      <c r="B20" s="2" t="n"/>
      <c r="C20" s="2" t="n"/>
      <c r="D20" s="2" t="n"/>
      <c r="E20" s="2" t="n"/>
      <c r="F20" s="41">
        <f>IF('Chore Chart'!J5=0,0,'Chore Chart'!I29/'Chore Chart'!J5)</f>
        <v/>
      </c>
      <c r="G20" s="2" t="n"/>
      <c r="H20" s="2" t="n"/>
      <c r="I20" s="2" t="n"/>
      <c r="J20" s="2" t="n"/>
    </row>
  </sheetData>
  <mergeCells count="15">
    <mergeCell ref="F17:J17"/>
    <mergeCell ref="A1:J2"/>
    <mergeCell ref="F15:J15"/>
    <mergeCell ref="A14:J14"/>
    <mergeCell ref="A20:E20"/>
    <mergeCell ref="A16:E16"/>
    <mergeCell ref="A15:E15"/>
    <mergeCell ref="F20:J20"/>
    <mergeCell ref="F16:J16"/>
    <mergeCell ref="A19:E19"/>
    <mergeCell ref="F19:J19"/>
    <mergeCell ref="A4:J4"/>
    <mergeCell ref="F18:J18"/>
    <mergeCell ref="A17:E17"/>
    <mergeCell ref="A18:E18"/>
  </mergeCells>
  <conditionalFormatting sqref="J6:J12">
    <cfRule type="cellIs" priority="1" operator="equal" dxfId="1">
      <formula>"Great!"</formula>
    </cfRule>
    <cfRule type="cellIs" priority="2" operator="equal" dxfId="2">
      <formula>"Needs Work"</formula>
    </cfRule>
  </conditionalFormatting>
  <conditionalFormatting sqref="I6:I12">
    <cfRule type="dataBar" priority="3">
      <dataBar>
        <cfvo type="num" val="0"/>
        <cfvo type="num" val="1"/>
        <color rgb="004A90D9"/>
      </dataBar>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27AE60"/>
    <outlinePr summaryBelow="1" summaryRight="1"/>
    <pageSetUpPr/>
  </sheetPr>
  <dimension ref="A1:H23"/>
  <sheetViews>
    <sheetView showGridLines="0" workbookViewId="0">
      <pane ySplit="10" topLeftCell="A11" activePane="bottomLeft" state="frozen"/>
      <selection pane="bottomLeft" activeCell="A1" sqref="A1"/>
    </sheetView>
  </sheetViews>
  <sheetFormatPr baseColWidth="8" defaultRowHeight="15"/>
  <cols>
    <col width="4" customWidth="1" min="1" max="1"/>
    <col width="24" customWidth="1" min="2" max="2"/>
    <col width="16" customWidth="1" min="3" max="3"/>
    <col width="16" customWidth="1" min="4" max="4"/>
    <col width="16" customWidth="1" min="5" max="5"/>
    <col width="16" customWidth="1" min="6" max="6"/>
    <col width="16" customWidth="1" min="7" max="7"/>
    <col width="16" customWidth="1" min="8" max="8"/>
  </cols>
  <sheetData>
    <row r="1">
      <c r="A1" s="26" t="inlineStr">
        <is>
          <t>REWARD TRACKER</t>
        </is>
      </c>
      <c r="B1" s="2" t="n"/>
      <c r="C1" s="2" t="n"/>
      <c r="D1" s="2" t="n"/>
      <c r="E1" s="2" t="n"/>
      <c r="F1" s="2" t="n"/>
      <c r="G1" s="2" t="n"/>
      <c r="H1" s="2" t="n"/>
    </row>
    <row r="2">
      <c r="A2" s="2" t="n"/>
      <c r="B2" s="2" t="n"/>
      <c r="C2" s="2" t="n"/>
      <c r="D2" s="2" t="n"/>
      <c r="E2" s="2" t="n"/>
      <c r="F2" s="2" t="n"/>
      <c r="G2" s="2" t="n"/>
      <c r="H2" s="2" t="n"/>
    </row>
    <row r="4">
      <c r="A4" s="42" t="inlineStr">
        <is>
          <t>THIS WEEK'S REWARD STATUS</t>
        </is>
      </c>
      <c r="B4" s="2" t="n"/>
      <c r="C4" s="2" t="n"/>
      <c r="D4" s="2" t="n"/>
      <c r="E4" s="2" t="n"/>
      <c r="F4" s="2" t="n"/>
      <c r="G4" s="2" t="n"/>
      <c r="H4" s="2" t="n"/>
    </row>
    <row r="5" ht="35" customHeight="1">
      <c r="A5" s="43" t="inlineStr">
        <is>
          <t>Points Earned This Week:</t>
        </is>
      </c>
      <c r="B5" s="2" t="n"/>
      <c r="C5" s="2" t="n"/>
      <c r="D5" s="44">
        <f>'Chore Chart'!I29</f>
        <v/>
      </c>
      <c r="E5" s="2" t="n"/>
      <c r="F5" s="45" t="inlineStr">
        <is>
          <t>of</t>
        </is>
      </c>
      <c r="G5" s="46">
        <f>'Chore Chart'!J5</f>
        <v/>
      </c>
      <c r="H5" s="2" t="n"/>
    </row>
    <row r="6" ht="35" customHeight="1">
      <c r="A6" s="43" t="inlineStr">
        <is>
          <t>Progress Toward Reward:</t>
        </is>
      </c>
      <c r="B6" s="2" t="n"/>
      <c r="C6" s="2" t="n"/>
      <c r="D6" s="47">
        <f>IF('Chore Chart'!J5=0,0,'Chore Chart'!I29/'Chore Chart'!J5)</f>
        <v/>
      </c>
      <c r="E6" s="2" t="n"/>
      <c r="F6" s="10">
        <f>IF('Chore Chart'!I29&gt;='Chore Chart'!J5,"REWARD EARNED!","Keep Working!")</f>
        <v/>
      </c>
      <c r="G6" s="2" t="n"/>
      <c r="H6" s="2" t="n"/>
    </row>
    <row r="7" ht="30" customHeight="1">
      <c r="A7" s="39" t="inlineStr">
        <is>
          <t>Progress Bar:</t>
        </is>
      </c>
      <c r="B7" s="2" t="n"/>
      <c r="C7" s="2" t="n"/>
      <c r="D7" s="23">
        <f>IF('Chore Chart'!J5=0,0,'Chore Chart'!I29/'Chore Chart'!J5)</f>
        <v/>
      </c>
      <c r="E7" s="23">
        <f>IF('Chore Chart'!J5=0,0,'Chore Chart'!I29/'Chore Chart'!J5)</f>
        <v/>
      </c>
      <c r="F7" s="23">
        <f>IF('Chore Chart'!J5=0,0,'Chore Chart'!I29/'Chore Chart'!J5)</f>
        <v/>
      </c>
      <c r="G7" s="23">
        <f>IF('Chore Chart'!J5=0,0,'Chore Chart'!I29/'Chore Chart'!J5)</f>
        <v/>
      </c>
      <c r="H7" s="23">
        <f>IF('Chore Chart'!J5=0,0,'Chore Chart'!I29/'Chore Chart'!J5)</f>
        <v/>
      </c>
    </row>
    <row r="9">
      <c r="A9" s="37" t="inlineStr">
        <is>
          <t>REWARD BANK — MULTI-WEEK TRACKER</t>
        </is>
      </c>
      <c r="B9" s="2" t="n"/>
      <c r="C9" s="2" t="n"/>
      <c r="D9" s="2" t="n"/>
      <c r="E9" s="2" t="n"/>
      <c r="F9" s="2" t="n"/>
      <c r="G9" s="2" t="n"/>
      <c r="H9" s="2" t="n"/>
    </row>
    <row r="10">
      <c r="A10" s="28" t="inlineStr">
        <is>
          <t>#</t>
        </is>
      </c>
      <c r="B10" s="28" t="inlineStr">
        <is>
          <t>WEEK</t>
        </is>
      </c>
      <c r="C10" s="28" t="inlineStr">
        <is>
          <t>POINTS EARNED</t>
        </is>
      </c>
      <c r="D10" s="28" t="inlineStr">
        <is>
          <t>POINTS GOAL</t>
        </is>
      </c>
      <c r="E10" s="28" t="inlineStr">
        <is>
          <t>% ACHIEVED</t>
        </is>
      </c>
      <c r="F10" s="28" t="inlineStr">
        <is>
          <t>REWARD EARNED?</t>
        </is>
      </c>
      <c r="G10" s="28" t="inlineStr">
        <is>
          <t>REWARD GIVEN</t>
        </is>
      </c>
      <c r="H10" s="28" t="inlineStr">
        <is>
          <t>NOTES</t>
        </is>
      </c>
    </row>
    <row r="11" ht="26" customHeight="1">
      <c r="A11" s="8" t="n">
        <v>1</v>
      </c>
      <c r="B11" s="48" t="inlineStr">
        <is>
          <t>Week 1</t>
        </is>
      </c>
      <c r="C11" s="49" t="inlineStr"/>
      <c r="D11" s="48" t="inlineStr"/>
      <c r="E11" s="31">
        <f>IF(D11="","",(IF(D11=0,0,C11/D11)))</f>
        <v/>
      </c>
      <c r="F11" s="50">
        <f>IF(D11="","",IF(C11&gt;=D11,"YES","NO"))</f>
        <v/>
      </c>
      <c r="G11" s="51" t="inlineStr"/>
      <c r="H11" s="52" t="inlineStr"/>
    </row>
    <row r="12" ht="26" customHeight="1">
      <c r="A12" s="53" t="n">
        <v>2</v>
      </c>
      <c r="B12" s="48" t="inlineStr">
        <is>
          <t>Week 2</t>
        </is>
      </c>
      <c r="C12" s="49" t="inlineStr"/>
      <c r="D12" s="48" t="inlineStr"/>
      <c r="E12" s="54">
        <f>IF(D12="","",(IF(D12=0,0,C12/D12)))</f>
        <v/>
      </c>
      <c r="F12" s="55">
        <f>IF(D12="","",IF(C12&gt;=D12,"YES","NO"))</f>
        <v/>
      </c>
      <c r="G12" s="51" t="inlineStr"/>
      <c r="H12" s="52" t="inlineStr"/>
    </row>
    <row r="13" ht="26" customHeight="1">
      <c r="A13" s="8" t="n">
        <v>3</v>
      </c>
      <c r="B13" s="48" t="inlineStr">
        <is>
          <t>Week 3</t>
        </is>
      </c>
      <c r="C13" s="49" t="inlineStr"/>
      <c r="D13" s="48" t="inlineStr"/>
      <c r="E13" s="31">
        <f>IF(D13="","",(IF(D13=0,0,C13/D13)))</f>
        <v/>
      </c>
      <c r="F13" s="50">
        <f>IF(D13="","",IF(C13&gt;=D13,"YES","NO"))</f>
        <v/>
      </c>
      <c r="G13" s="51" t="inlineStr"/>
      <c r="H13" s="52" t="inlineStr"/>
    </row>
    <row r="14" ht="26" customHeight="1">
      <c r="A14" s="53" t="n">
        <v>4</v>
      </c>
      <c r="B14" s="48" t="inlineStr">
        <is>
          <t>Week 4</t>
        </is>
      </c>
      <c r="C14" s="49" t="inlineStr"/>
      <c r="D14" s="48" t="inlineStr"/>
      <c r="E14" s="54">
        <f>IF(D14="","",(IF(D14=0,0,C14/D14)))</f>
        <v/>
      </c>
      <c r="F14" s="55">
        <f>IF(D14="","",IF(C14&gt;=D14,"YES","NO"))</f>
        <v/>
      </c>
      <c r="G14" s="51" t="inlineStr"/>
      <c r="H14" s="52" t="inlineStr"/>
    </row>
    <row r="15" ht="26" customHeight="1">
      <c r="A15" s="8" t="n">
        <v>5</v>
      </c>
      <c r="B15" s="48" t="inlineStr">
        <is>
          <t>Week 5</t>
        </is>
      </c>
      <c r="C15" s="49" t="inlineStr"/>
      <c r="D15" s="48" t="inlineStr"/>
      <c r="E15" s="31">
        <f>IF(D15="","",(IF(D15=0,0,C15/D15)))</f>
        <v/>
      </c>
      <c r="F15" s="50">
        <f>IF(D15="","",IF(C15&gt;=D15,"YES","NO"))</f>
        <v/>
      </c>
      <c r="G15" s="51" t="inlineStr"/>
      <c r="H15" s="52" t="inlineStr"/>
    </row>
    <row r="16" ht="26" customHeight="1">
      <c r="A16" s="53" t="n">
        <v>6</v>
      </c>
      <c r="B16" s="48" t="inlineStr">
        <is>
          <t>Week 6</t>
        </is>
      </c>
      <c r="C16" s="49" t="inlineStr"/>
      <c r="D16" s="48" t="inlineStr"/>
      <c r="E16" s="54">
        <f>IF(D16="","",(IF(D16=0,0,C16/D16)))</f>
        <v/>
      </c>
      <c r="F16" s="55">
        <f>IF(D16="","",IF(C16&gt;=D16,"YES","NO"))</f>
        <v/>
      </c>
      <c r="G16" s="51" t="inlineStr"/>
      <c r="H16" s="52" t="inlineStr"/>
    </row>
    <row r="17" ht="26" customHeight="1">
      <c r="A17" s="8" t="n">
        <v>7</v>
      </c>
      <c r="B17" s="48" t="inlineStr">
        <is>
          <t>Week 7</t>
        </is>
      </c>
      <c r="C17" s="49" t="inlineStr"/>
      <c r="D17" s="48" t="inlineStr"/>
      <c r="E17" s="31">
        <f>IF(D17="","",(IF(D17=0,0,C17/D17)))</f>
        <v/>
      </c>
      <c r="F17" s="50">
        <f>IF(D17="","",IF(C17&gt;=D17,"YES","NO"))</f>
        <v/>
      </c>
      <c r="G17" s="51" t="inlineStr"/>
      <c r="H17" s="52" t="inlineStr"/>
    </row>
    <row r="18" ht="26" customHeight="1">
      <c r="A18" s="53" t="n">
        <v>8</v>
      </c>
      <c r="B18" s="48" t="inlineStr">
        <is>
          <t>Week 8</t>
        </is>
      </c>
      <c r="C18" s="49" t="inlineStr"/>
      <c r="D18" s="48" t="inlineStr"/>
      <c r="E18" s="54">
        <f>IF(D18="","",(IF(D18=0,0,C18/D18)))</f>
        <v/>
      </c>
      <c r="F18" s="55">
        <f>IF(D18="","",IF(C18&gt;=D18,"YES","NO"))</f>
        <v/>
      </c>
      <c r="G18" s="51" t="inlineStr"/>
      <c r="H18" s="52" t="inlineStr"/>
    </row>
    <row r="20">
      <c r="A20" s="27" t="inlineStr">
        <is>
          <t>CUMULATIVE STATS</t>
        </is>
      </c>
      <c r="B20" s="2" t="n"/>
      <c r="C20" s="2" t="n"/>
      <c r="D20" s="2" t="n"/>
      <c r="E20" s="2" t="n"/>
      <c r="F20" s="2" t="n"/>
      <c r="G20" s="2" t="n"/>
      <c r="H20" s="2" t="n"/>
    </row>
    <row r="21" ht="28" customHeight="1">
      <c r="A21" s="38" t="inlineStr">
        <is>
          <t>Total Points Earned (All Weeks)</t>
        </is>
      </c>
      <c r="B21" s="2" t="n"/>
      <c r="C21" s="2" t="n"/>
      <c r="D21" s="2" t="n"/>
      <c r="E21" s="2" t="n"/>
      <c r="F21" s="18">
        <f>SUM(C11:C18)</f>
        <v/>
      </c>
      <c r="G21" s="2" t="n"/>
      <c r="H21" s="2" t="n"/>
    </row>
    <row r="22" ht="28" customHeight="1">
      <c r="A22" s="39" t="inlineStr">
        <is>
          <t>Total Rewards Earned</t>
        </is>
      </c>
      <c r="B22" s="2" t="n"/>
      <c r="C22" s="2" t="n"/>
      <c r="D22" s="2" t="n"/>
      <c r="E22" s="2" t="n"/>
      <c r="F22" s="40">
        <f>COUNTIF(F11:F18,"YES")</f>
        <v/>
      </c>
      <c r="G22" s="2" t="n"/>
      <c r="H22" s="2" t="n"/>
    </row>
    <row r="23" ht="28" customHeight="1">
      <c r="A23" s="38" t="inlineStr">
        <is>
          <t>Average Weekly Completion</t>
        </is>
      </c>
      <c r="B23" s="2" t="n"/>
      <c r="C23" s="2" t="n"/>
      <c r="D23" s="2" t="n"/>
      <c r="E23" s="2" t="n"/>
      <c r="F23" s="21">
        <f>IF(COUNTA(E11:E18)=0,0,AVERAGE(E11:E18))</f>
        <v/>
      </c>
      <c r="G23" s="2" t="n"/>
      <c r="H23" s="2" t="n"/>
    </row>
  </sheetData>
  <mergeCells count="18">
    <mergeCell ref="A9:H9"/>
    <mergeCell ref="A4:H4"/>
    <mergeCell ref="D6:E6"/>
    <mergeCell ref="A21:E21"/>
    <mergeCell ref="F23:H23"/>
    <mergeCell ref="F6:H6"/>
    <mergeCell ref="F22:H22"/>
    <mergeCell ref="A5:C5"/>
    <mergeCell ref="A20:H20"/>
    <mergeCell ref="D5:E5"/>
    <mergeCell ref="A6:C6"/>
    <mergeCell ref="G5:H5"/>
    <mergeCell ref="A23:E23"/>
    <mergeCell ref="A7:C7"/>
    <mergeCell ref="A1:H2"/>
    <mergeCell ref="F21:H21"/>
    <mergeCell ref="F5"/>
    <mergeCell ref="A22:E22"/>
  </mergeCells>
  <conditionalFormatting sqref="F6:H6">
    <cfRule type="cellIs" priority="1" operator="equal" dxfId="3">
      <formula>"REWARD EARNED!"</formula>
    </cfRule>
  </conditionalFormatting>
  <conditionalFormatting sqref="D7:H7">
    <cfRule type="dataBar" priority="2">
      <dataBar>
        <cfvo type="num" val="0"/>
        <cfvo type="num" val="1"/>
        <color rgb="0027AE60"/>
      </dataBar>
    </cfRule>
  </conditionalFormatting>
  <conditionalFormatting sqref="F11:F18">
    <cfRule type="cellIs" priority="3" operator="equal" dxfId="1">
      <formula>"YES"</formula>
    </cfRule>
    <cfRule type="cellIs" priority="4" operator="equal" dxfId="2">
      <formula>"NO"</formula>
    </cfRule>
  </conditionalFormatting>
  <conditionalFormatting sqref="E11:E18">
    <cfRule type="dataBar" priority="5">
      <dataBar>
        <cfvo type="num" val="0"/>
        <cfvo type="num" val="1"/>
        <color rgb="00F5A623"/>
      </dataBar>
    </cfRule>
  </conditionalFormatting>
  <pageMargins left="0.75" right="0.75" top="1" bottom="1" header="0.5" footer="0.5"/>
</worksheet>
</file>

<file path=xl/worksheets/sheet4.xml><?xml version="1.0" encoding="utf-8"?>
<worksheet xmlns="http://schemas.openxmlformats.org/spreadsheetml/2006/main">
  <sheetPr>
    <tabColor rgb="00999999"/>
    <outlinePr summaryBelow="1" summaryRight="1"/>
    <pageSetUpPr/>
  </sheetPr>
  <dimension ref="A1:B50"/>
  <sheetViews>
    <sheetView showGridLines="0" workbookViewId="0">
      <pane ySplit="3" topLeftCell="A4" activePane="bottomLeft" state="frozen"/>
      <selection pane="bottomLeft" activeCell="A1" sqref="A1"/>
    </sheetView>
  </sheetViews>
  <sheetFormatPr baseColWidth="8" defaultRowHeight="15"/>
  <cols>
    <col width="4" customWidth="1" min="1" max="1"/>
    <col width="80" customWidth="1" min="2" max="2"/>
  </cols>
  <sheetData>
    <row r="1">
      <c r="A1" s="56" t="inlineStr">
        <is>
          <t>HOW TO USE YOUR CHORE CHART SYSTEM</t>
        </is>
      </c>
      <c r="B1" s="2" t="n"/>
    </row>
    <row r="2">
      <c r="A2" s="2" t="n"/>
      <c r="B2" s="2" t="n"/>
    </row>
    <row r="4">
      <c r="A4" s="57" t="inlineStr">
        <is>
          <t>GETTING STARTED</t>
        </is>
      </c>
      <c r="B4" s="2" t="n"/>
    </row>
    <row r="5" ht="24" customHeight="1">
      <c r="A5" s="58" t="n"/>
      <c r="B5" s="59" t="inlineStr">
        <is>
          <t xml:space="preserve">  Enter your child's name in the 'Child's Name' field on the Chore Chart tab.</t>
        </is>
      </c>
    </row>
    <row r="6" ht="24" customHeight="1">
      <c r="A6" s="58" t="n"/>
      <c r="B6" s="59" t="inlineStr">
        <is>
          <t xml:space="preserve">  Enter the current week's start date in the 'Week Of' field.</t>
        </is>
      </c>
    </row>
    <row r="7" ht="24" customHeight="1">
      <c r="A7" s="58" t="n"/>
      <c r="B7" s="59" t="inlineStr">
        <is>
          <t xml:space="preserve">  Set a Points Goal — this is the number of points needed to earn a reward.</t>
        </is>
      </c>
    </row>
    <row r="8" ht="24" customHeight="1">
      <c r="A8" s="58" t="n"/>
      <c r="B8" s="59" t="inlineStr">
        <is>
          <t xml:space="preserve">  Customize chore names by clicking on any chore in the yellow-tinted cells.</t>
        </is>
      </c>
    </row>
    <row r="10">
      <c r="A10" s="57" t="inlineStr">
        <is>
          <t>TRACKING DAILY CHORES</t>
        </is>
      </c>
      <c r="B10" s="2" t="n"/>
    </row>
    <row r="11" ht="24" customHeight="1">
      <c r="A11" s="58" t="n"/>
      <c r="B11" s="59" t="inlineStr">
        <is>
          <t xml:space="preserve">  Each day, mark completed chores with a ✓ (checkmark) in the day's column.</t>
        </is>
      </c>
    </row>
    <row r="12" ht="24" customHeight="1">
      <c r="A12" s="58" t="n"/>
      <c r="B12" s="59" t="inlineStr">
        <is>
          <t xml:space="preserve">  Use the dropdown or type ✓ directly into the cell.</t>
        </is>
      </c>
    </row>
    <row r="13" ht="24" customHeight="1">
      <c r="A13" s="58" t="n"/>
      <c r="B13" s="59" t="inlineStr">
        <is>
          <t xml:space="preserve">  Daily chores earn 1 point per completion.</t>
        </is>
      </c>
    </row>
    <row r="14" ht="24" customHeight="1">
      <c r="A14" s="58" t="n"/>
      <c r="B14" s="59" t="inlineStr">
        <is>
          <t xml:space="preserve">  The 'DONE' column auto-counts how many days each chore was completed.</t>
        </is>
      </c>
    </row>
    <row r="16">
      <c r="A16" s="57" t="inlineStr">
        <is>
          <t>TRACKING WEEKLY CHORES</t>
        </is>
      </c>
      <c r="B16" s="2" t="n"/>
    </row>
    <row r="17" ht="24" customHeight="1">
      <c r="A17" s="58" t="n"/>
      <c r="B17" s="59" t="inlineStr">
        <is>
          <t xml:space="preserve">  Weekly chores are bigger tasks done once or a few times per week.</t>
        </is>
      </c>
    </row>
    <row r="18" ht="24" customHeight="1">
      <c r="A18" s="58" t="n"/>
      <c r="B18" s="59" t="inlineStr">
        <is>
          <t xml:space="preserve">  Mark them the same way — with a ✓ on the day completed.</t>
        </is>
      </c>
    </row>
    <row r="19" ht="24" customHeight="1">
      <c r="A19" s="58" t="n"/>
      <c r="B19" s="59" t="inlineStr">
        <is>
          <t xml:space="preserve">  Weekly chores earn 2 points per completion (double daily chores).</t>
        </is>
      </c>
    </row>
    <row r="21">
      <c r="A21" s="57" t="inlineStr">
        <is>
          <t>UNDERSTANDING THE SUMMARY</t>
        </is>
      </c>
      <c r="B21" s="2" t="n"/>
    </row>
    <row r="22" ht="24" customHeight="1">
      <c r="A22" s="58" t="n"/>
      <c r="B22" s="59" t="inlineStr">
        <is>
          <t xml:space="preserve">  Total Completed: Total number of individual chore check-marks.</t>
        </is>
      </c>
    </row>
    <row r="23" ht="24" customHeight="1">
      <c r="A23" s="58" t="n"/>
      <c r="B23" s="59" t="inlineStr">
        <is>
          <t xml:space="preserve">  Total Points: Sum of all points (daily = 1pt, weekly = 2pt each).</t>
        </is>
      </c>
    </row>
    <row r="24" ht="24" customHeight="1">
      <c r="A24" s="58" t="n"/>
      <c r="B24" s="59" t="inlineStr">
        <is>
          <t xml:space="preserve">  Progress: Shows percentage toward your points goal.</t>
        </is>
      </c>
    </row>
    <row r="25" ht="24" customHeight="1">
      <c r="A25" s="58" t="n"/>
      <c r="B25" s="59" t="inlineStr">
        <is>
          <t xml:space="preserve">  Reward Status: Automatically shows 'REWARD EARNED!' when goal is met.</t>
        </is>
      </c>
    </row>
    <row r="26" ht="24" customHeight="1">
      <c r="A26" s="58" t="n"/>
      <c r="B26" s="59" t="inlineStr">
        <is>
          <t xml:space="preserve">  Progress Bar: Visual representation of progress toward the reward.</t>
        </is>
      </c>
    </row>
    <row r="28">
      <c r="A28" s="57" t="inlineStr">
        <is>
          <t>USING THE WEEKLY SUMMARY TAB</t>
        </is>
      </c>
      <c r="B28" s="2" t="n"/>
    </row>
    <row r="29" ht="24" customHeight="1">
      <c r="A29" s="58" t="n"/>
      <c r="B29" s="59" t="inlineStr">
        <is>
          <t xml:space="preserve">  This tab auto-calculates daily completion rates for each day of the week.</t>
        </is>
      </c>
    </row>
    <row r="30" ht="24" customHeight="1">
      <c r="A30" s="58" t="n"/>
      <c r="B30" s="59" t="inlineStr">
        <is>
          <t xml:space="preserve">  See which days your child is most/least consistent.</t>
        </is>
      </c>
    </row>
    <row r="31" ht="24" customHeight="1">
      <c r="A31" s="58" t="n"/>
      <c r="B31" s="59" t="inlineStr">
        <is>
          <t xml:space="preserve">  A bar chart shows at-a-glance daily performance.</t>
        </is>
      </c>
    </row>
    <row r="32" ht="24" customHeight="1">
      <c r="A32" s="58" t="n"/>
      <c r="B32" s="59" t="inlineStr">
        <is>
          <t xml:space="preserve">  Overall stats track total completion rate and reward progress.</t>
        </is>
      </c>
    </row>
    <row r="34">
      <c r="A34" s="57" t="inlineStr">
        <is>
          <t>USING THE REWARD TRACKER TAB</t>
        </is>
      </c>
      <c r="B34" s="2" t="n"/>
    </row>
    <row r="35" ht="24" customHeight="1">
      <c r="A35" s="58" t="n"/>
      <c r="B35" s="59" t="inlineStr">
        <is>
          <t xml:space="preserve">  The top section links to this week's Chore Chart data automatically.</t>
        </is>
      </c>
    </row>
    <row r="36" ht="24" customHeight="1">
      <c r="A36" s="58" t="n"/>
      <c r="B36" s="59" t="inlineStr">
        <is>
          <t xml:space="preserve">  The Reward Bank below lets you log results from multiple weeks.</t>
        </is>
      </c>
    </row>
    <row r="37" ht="24" customHeight="1">
      <c r="A37" s="58" t="n"/>
      <c r="B37" s="59" t="inlineStr">
        <is>
          <t xml:space="preserve">  Enter each week's points earned and goal to track long-term progress.</t>
        </is>
      </c>
    </row>
    <row r="38" ht="24" customHeight="1">
      <c r="A38" s="58" t="n"/>
      <c r="B38" s="59" t="inlineStr">
        <is>
          <t xml:space="preserve">  Cumulative stats show total rewards earned and average completion.</t>
        </is>
      </c>
    </row>
    <row r="40">
      <c r="A40" s="57" t="inlineStr">
        <is>
          <t>TIPS FOR SUCCESS</t>
        </is>
      </c>
      <c r="B40" s="2" t="n"/>
    </row>
    <row r="41" ht="24" customHeight="1">
      <c r="A41" s="58" t="n"/>
      <c r="B41" s="59" t="inlineStr">
        <is>
          <t xml:space="preserve">  Set realistic goals — start with a lower point threshold and increase.</t>
        </is>
      </c>
    </row>
    <row r="42" ht="24" customHeight="1">
      <c r="A42" s="58" t="n"/>
      <c r="B42" s="59" t="inlineStr">
        <is>
          <t xml:space="preserve">  Let your child choose their reward to increase motivation.</t>
        </is>
      </c>
    </row>
    <row r="43" ht="24" customHeight="1">
      <c r="A43" s="58" t="n"/>
      <c r="B43" s="59" t="inlineStr">
        <is>
          <t xml:space="preserve">  Review the chart together each evening as a routine.</t>
        </is>
      </c>
    </row>
    <row r="44" ht="24" customHeight="1">
      <c r="A44" s="58" t="n"/>
      <c r="B44" s="59" t="inlineStr">
        <is>
          <t xml:space="preserve">  Celebrate progress, not just perfection — the progress bar helps!</t>
        </is>
      </c>
    </row>
    <row r="45" ht="24" customHeight="1">
      <c r="A45" s="58" t="n"/>
      <c r="B45" s="59" t="inlineStr">
        <is>
          <t xml:space="preserve">  Print the Chore Chart tab for fridge display if desired.</t>
        </is>
      </c>
    </row>
    <row r="47">
      <c r="A47" s="57" t="inlineStr">
        <is>
          <t>EDITABLE VS LOCKED CELLS</t>
        </is>
      </c>
      <c r="B47" s="2" t="n"/>
    </row>
    <row r="48" ht="24" customHeight="1">
      <c r="A48" s="58" t="n"/>
      <c r="B48" s="59" t="inlineStr">
        <is>
          <t xml:space="preserve">  Yellow-tinted cells = Editable (chore names, check marks, notes, names).</t>
        </is>
      </c>
    </row>
    <row r="49" ht="24" customHeight="1">
      <c r="A49" s="58" t="n"/>
      <c r="B49" s="59" t="inlineStr">
        <is>
          <t xml:space="preserve">  White/colored cells with formulas = Auto-calculated (do not edit).</t>
        </is>
      </c>
    </row>
    <row r="50" ht="24" customHeight="1">
      <c r="A50" s="58" t="n"/>
      <c r="B50" s="59" t="inlineStr">
        <is>
          <t xml:space="preserve">  If you accidentally overwrite a formula, use Ctrl+Z to undo.</t>
        </is>
      </c>
    </row>
  </sheetData>
  <mergeCells count="9">
    <mergeCell ref="A4:B4"/>
    <mergeCell ref="A21:B21"/>
    <mergeCell ref="A16:B16"/>
    <mergeCell ref="A10:B10"/>
    <mergeCell ref="A28:B28"/>
    <mergeCell ref="A47:B47"/>
    <mergeCell ref="A40:B40"/>
    <mergeCell ref="A1:B2"/>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2026-02-28T18:06:07Z</dcterms:created>
  <dcterms:modified xsi:type="dcterms:W3CDTF">2026-02-28T18:06:07Z</dcterms:modified>
</cp:coreProperties>
</file>