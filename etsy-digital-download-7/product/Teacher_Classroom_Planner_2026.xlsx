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Roster" sheetId="1" state="visible" r:id="rId1"/>
    <sheet name="Lesson Planner" sheetId="2" state="visible" r:id="rId2"/>
    <sheet name="Grade Tracker" sheetId="3" state="visible" r:id="rId3"/>
    <sheet name="Attendance" sheetId="4" state="visible" r:id="rId4"/>
    <sheet name="Classroom Budget" sheetId="5" state="visible" r:id="rId5"/>
    <sheet name="Parent Communication" sheetId="6" state="visible" r:id="rId6"/>
    <sheet name="IEP-504 Tracker" sheetId="7" state="visible" r:id="rId7"/>
    <sheet name="How to Use" sheetId="8" state="visible" r:id="rId8"/>
  </sheets>
  <definedNames>
    <definedName name="_xlnm._FilterDatabase" localSheetId="0" hidden="1">'Class Roster'!$A$3:$J$43</definedName>
    <definedName name="_xlnm._FilterDatabase" localSheetId="1" hidden="1">'Lesson Planner'!$A$3:$K$43</definedName>
    <definedName name="_xlnm._FilterDatabase" localSheetId="2" hidden="1">'Grade Tracker'!$A$3:$W$43</definedName>
    <definedName name="_xlnm._FilterDatabase" localSheetId="4" hidden="1">'Classroom Budget'!$A$3:$I$53</definedName>
    <definedName name="_xlnm._FilterDatabase" localSheetId="5" hidden="1">'Parent Communication'!$A$3:$I$53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"/>
    <numFmt numFmtId="166" formatCode="0.0%"/>
    <numFmt numFmtId="167" formatCode="$#,##0.0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2D3748"/>
      <sz val="12"/>
    </font>
    <font>
      <name val="Calibri"/>
      <b val="1"/>
      <color rgb="00FFFFFF"/>
      <sz val="11"/>
    </font>
    <font>
      <name val="Calibri"/>
      <color rgb="002D3748"/>
      <sz val="10"/>
    </font>
    <font>
      <name val="Calibri"/>
      <b val="1"/>
      <color rgb="00FFFFFF"/>
      <sz val="12"/>
    </font>
    <font>
      <name val="Calibri"/>
      <b val="1"/>
      <color rgb="002D3748"/>
      <sz val="10"/>
    </font>
    <font>
      <name val="Calibri"/>
      <b val="1"/>
      <color rgb="00C53030"/>
      <sz val="10"/>
    </font>
    <font>
      <name val="Calibri"/>
      <color rgb="0038A169"/>
      <sz val="10"/>
    </font>
    <font>
      <name val="Calibri"/>
      <color rgb="00C53030"/>
      <sz val="10"/>
    </font>
    <font>
      <name val="Calibri"/>
      <b val="1"/>
      <color rgb="00FFFFFF"/>
      <sz val="10"/>
    </font>
    <font>
      <name val="Calibri"/>
      <b val="1"/>
      <color rgb="002D3748"/>
      <sz val="9"/>
    </font>
    <font>
      <name val="Calibri"/>
      <color rgb="002D3748"/>
      <sz val="9"/>
    </font>
    <font>
      <name val="Calibri"/>
      <b val="1"/>
      <color rgb="00C53030"/>
      <sz val="9"/>
    </font>
    <font>
      <name val="Calibri"/>
      <color rgb="00D69E2E"/>
      <sz val="9"/>
    </font>
    <font>
      <name val="Calibri"/>
      <b val="1"/>
      <color rgb="002D3748"/>
      <sz val="11"/>
    </font>
    <font>
      <name val="Calibri"/>
      <b val="1"/>
      <color rgb="00FFFFFF"/>
      <sz val="20"/>
    </font>
    <font>
      <name val="Calibri"/>
      <b val="1"/>
      <color rgb="003182CE"/>
      <sz val="14"/>
    </font>
    <font>
      <name val="Calibri"/>
      <b val="1"/>
      <color rgb="003182CE"/>
      <sz val="11"/>
    </font>
    <font>
      <name val="Calibri"/>
      <color rgb="002D3748"/>
      <sz val="11"/>
    </font>
    <font>
      <name val="Calibri"/>
      <b val="1"/>
      <color rgb="0038A169"/>
      <sz val="11"/>
    </font>
  </fonts>
  <fills count="11">
    <fill>
      <patternFill/>
    </fill>
    <fill>
      <patternFill patternType="gray125"/>
    </fill>
    <fill>
      <patternFill patternType="solid">
        <fgColor rgb="00C53030"/>
        <bgColor rgb="00C53030"/>
      </patternFill>
    </fill>
    <fill>
      <patternFill patternType="solid">
        <fgColor rgb="00FFF5F5"/>
        <bgColor rgb="00FFF5F5"/>
      </patternFill>
    </fill>
    <fill>
      <patternFill patternType="solid">
        <fgColor rgb="00FFFFFF"/>
        <bgColor rgb="00FFFFFF"/>
      </patternFill>
    </fill>
    <fill>
      <patternFill patternType="solid">
        <fgColor rgb="00EBF4FF"/>
        <bgColor rgb="00EBF4FF"/>
      </patternFill>
    </fill>
    <fill>
      <patternFill patternType="solid">
        <fgColor rgb="003182CE"/>
        <bgColor rgb="003182CE"/>
      </patternFill>
    </fill>
    <fill>
      <patternFill patternType="solid">
        <fgColor rgb="0038A169"/>
        <bgColor rgb="0038A169"/>
      </patternFill>
    </fill>
    <fill>
      <patternFill patternType="solid">
        <fgColor rgb="00F0FFF4"/>
        <bgColor rgb="00F0FFF4"/>
      </patternFill>
    </fill>
    <fill>
      <patternFill patternType="solid">
        <fgColor rgb="00D69E2E"/>
        <bgColor rgb="00D69E2E"/>
      </patternFill>
    </fill>
    <fill>
      <patternFill patternType="solid">
        <fgColor rgb="00FEFCBF"/>
        <bgColor rgb="00FEFCBF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2D3748"/>
      </bottom>
    </border>
    <border>
      <bottom style="medium">
        <color rgb="003182CE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165" fontId="10" fillId="7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2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0" fillId="9" borderId="2" pivotButton="0" quotePrefix="0" xfId="0"/>
    <xf numFmtId="166" fontId="15" fillId="9" borderId="2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167" fontId="5" fillId="7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pivotButton="0" quotePrefix="0" xfId="0"/>
    <xf numFmtId="167" fontId="7" fillId="0" borderId="1" pivotButton="0" quotePrefix="0" xfId="0"/>
    <xf numFmtId="0" fontId="16" fillId="6" borderId="0" applyAlignment="1" pivotButton="0" quotePrefix="0" xfId="0">
      <alignment horizontal="center" vertical="center"/>
    </xf>
    <xf numFmtId="0" fontId="17" fillId="5" borderId="3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1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F6D5"/>
          <bgColor rgb="00C6F6D5"/>
        </patternFill>
      </fill>
    </dxf>
    <dxf>
      <fill>
        <patternFill patternType="solid">
          <fgColor rgb="00FED7D7"/>
          <b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53030"/>
    <outlinePr summaryBelow="1" summaryRight="1"/>
    <pageSetUpPr/>
  </sheetPr>
  <dimension ref="A1:J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22" customWidth="1" min="4" max="4"/>
    <col width="28" customWidth="1" min="5" max="5"/>
    <col width="16" customWidth="1" min="6" max="6"/>
    <col width="22" customWidth="1" min="7" max="7"/>
    <col width="20" customWidth="1" min="8" max="8"/>
    <col width="14" customWidth="1" min="9" max="9"/>
    <col width="20" customWidth="1" min="10" max="10"/>
  </cols>
  <sheetData>
    <row r="1" ht="45" customHeight="1">
      <c r="A1" s="1" t="inlineStr">
        <is>
          <t>CLASS ROSTER  |  Teacher Classroom Planner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5" customHeight="1">
      <c r="A2" s="3" t="inlineStr">
        <is>
          <t>Track student information, emergency contacts, and important details all in one place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30" customHeight="1">
      <c r="A3" s="5" t="inlineStr">
        <is>
          <t>Student Name</t>
        </is>
      </c>
      <c r="B3" s="5" t="inlineStr">
        <is>
          <t>Student ID</t>
        </is>
      </c>
      <c r="C3" s="5" t="inlineStr">
        <is>
          <t>Grade</t>
        </is>
      </c>
      <c r="D3" s="5" t="inlineStr">
        <is>
          <t>Parent/Guardian</t>
        </is>
      </c>
      <c r="E3" s="5" t="inlineStr">
        <is>
          <t>Parent Email</t>
        </is>
      </c>
      <c r="F3" s="5" t="inlineStr">
        <is>
          <t>Parent Phone</t>
        </is>
      </c>
      <c r="G3" s="5" t="inlineStr">
        <is>
          <t>Emergency Contact</t>
        </is>
      </c>
      <c r="H3" s="5" t="inlineStr">
        <is>
          <t>Allergies/Medical</t>
        </is>
      </c>
      <c r="I3" s="5" t="inlineStr">
        <is>
          <t>Birthday</t>
        </is>
      </c>
      <c r="J3" s="5" t="inlineStr">
        <is>
          <t>Notes</t>
        </is>
      </c>
    </row>
    <row r="4" ht="22" customHeight="1">
      <c r="A4" s="6" t="inlineStr">
        <is>
          <t>Emma Smith</t>
        </is>
      </c>
      <c r="B4" s="7" t="inlineStr">
        <is>
          <t>STU-2026-001</t>
        </is>
      </c>
      <c r="C4" s="7" t="inlineStr">
        <is>
          <t>3rd</t>
        </is>
      </c>
      <c r="D4" s="7" t="inlineStr">
        <is>
          <t>Mr./Mrs. Smith</t>
        </is>
      </c>
      <c r="E4" s="7" t="inlineStr">
        <is>
          <t>emma.smith@email.com</t>
        </is>
      </c>
      <c r="F4" s="7" t="inlineStr">
        <is>
          <t>(555) 859-5506</t>
        </is>
      </c>
      <c r="G4" s="7" t="inlineStr">
        <is>
          <t>Grandparent: (555) 350-4657</t>
        </is>
      </c>
      <c r="H4" s="7" t="inlineStr">
        <is>
          <t>None</t>
        </is>
      </c>
      <c r="I4" s="8" t="inlineStr">
        <is>
          <t>02/01/2018</t>
        </is>
      </c>
      <c r="J4" s="7" t="inlineStr"/>
    </row>
    <row r="5" ht="22" customHeight="1">
      <c r="A5" s="9" t="inlineStr">
        <is>
          <t>Liam Johnson</t>
        </is>
      </c>
      <c r="B5" s="10" t="inlineStr">
        <is>
          <t>STU-2026-002</t>
        </is>
      </c>
      <c r="C5" s="10" t="inlineStr">
        <is>
          <t>4th</t>
        </is>
      </c>
      <c r="D5" s="10" t="inlineStr">
        <is>
          <t>Mr./Mrs. Johnson</t>
        </is>
      </c>
      <c r="E5" s="10" t="inlineStr">
        <is>
          <t>liam.johnson@email.com</t>
        </is>
      </c>
      <c r="F5" s="10" t="inlineStr">
        <is>
          <t>(555) 792-9935</t>
        </is>
      </c>
      <c r="G5" s="10" t="inlineStr">
        <is>
          <t>Grandparent: (555) 189-7912</t>
        </is>
      </c>
      <c r="H5" s="10" t="inlineStr">
        <is>
          <t>Peanut allergy</t>
        </is>
      </c>
      <c r="I5" s="11" t="inlineStr">
        <is>
          <t>12/04/2016</t>
        </is>
      </c>
      <c r="J5" s="10" t="inlineStr"/>
    </row>
    <row r="6" ht="22" customHeight="1">
      <c r="A6" s="6" t="inlineStr">
        <is>
          <t>Olivia Williams</t>
        </is>
      </c>
      <c r="B6" s="7" t="inlineStr">
        <is>
          <t>STU-2026-003</t>
        </is>
      </c>
      <c r="C6" s="7" t="inlineStr">
        <is>
          <t>5th</t>
        </is>
      </c>
      <c r="D6" s="7" t="inlineStr">
        <is>
          <t>Mr./Mrs. Williams</t>
        </is>
      </c>
      <c r="E6" s="7" t="inlineStr">
        <is>
          <t>olivia.williams@email.com</t>
        </is>
      </c>
      <c r="F6" s="7" t="inlineStr">
        <is>
          <t>(555) 323-4811</t>
        </is>
      </c>
      <c r="G6" s="7" t="inlineStr">
        <is>
          <t>Grandparent: (555) 617-1434</t>
        </is>
      </c>
      <c r="H6" s="7" t="inlineStr">
        <is>
          <t>None</t>
        </is>
      </c>
      <c r="I6" s="8" t="inlineStr">
        <is>
          <t>01/03/2016</t>
        </is>
      </c>
      <c r="J6" s="7" t="inlineStr"/>
    </row>
    <row r="7" ht="22" customHeight="1">
      <c r="A7" s="9" t="inlineStr">
        <is>
          <t>Noah Brown</t>
        </is>
      </c>
      <c r="B7" s="10" t="inlineStr">
        <is>
          <t>STU-2026-004</t>
        </is>
      </c>
      <c r="C7" s="10" t="inlineStr">
        <is>
          <t>3rd</t>
        </is>
      </c>
      <c r="D7" s="10" t="inlineStr">
        <is>
          <t>Mr./Mrs. Brown</t>
        </is>
      </c>
      <c r="E7" s="10" t="inlineStr">
        <is>
          <t>noah.brown@email.com</t>
        </is>
      </c>
      <c r="F7" s="10" t="inlineStr">
        <is>
          <t>(555) 765-9928</t>
        </is>
      </c>
      <c r="G7" s="10" t="inlineStr">
        <is>
          <t>Grandparent: (555) 529-4611</t>
        </is>
      </c>
      <c r="H7" s="10" t="inlineStr">
        <is>
          <t>Bee sting allergy</t>
        </is>
      </c>
      <c r="I7" s="11" t="inlineStr">
        <is>
          <t>04/23/2018</t>
        </is>
      </c>
      <c r="J7" s="10" t="inlineStr"/>
    </row>
    <row r="8" ht="22" customHeight="1">
      <c r="A8" s="6" t="inlineStr">
        <is>
          <t>Ava Jones</t>
        </is>
      </c>
      <c r="B8" s="7" t="inlineStr">
        <is>
          <t>STU-2026-005</t>
        </is>
      </c>
      <c r="C8" s="7" t="inlineStr">
        <is>
          <t>4th</t>
        </is>
      </c>
      <c r="D8" s="7" t="inlineStr">
        <is>
          <t>Mr./Mrs. Jones</t>
        </is>
      </c>
      <c r="E8" s="7" t="inlineStr">
        <is>
          <t>ava.jones@email.com</t>
        </is>
      </c>
      <c r="F8" s="7" t="inlineStr">
        <is>
          <t>(555) 928-1106</t>
        </is>
      </c>
      <c r="G8" s="7" t="inlineStr">
        <is>
          <t>Grandparent: (555) 877-3615</t>
        </is>
      </c>
      <c r="H8" s="7" t="inlineStr">
        <is>
          <t>None</t>
        </is>
      </c>
      <c r="I8" s="8" t="inlineStr">
        <is>
          <t>10/09/2017</t>
        </is>
      </c>
      <c r="J8" s="7" t="inlineStr"/>
    </row>
    <row r="9" ht="22" customHeight="1">
      <c r="A9" s="9" t="inlineStr">
        <is>
          <t>Ethan Garcia</t>
        </is>
      </c>
      <c r="B9" s="10" t="inlineStr">
        <is>
          <t>STU-2026-006</t>
        </is>
      </c>
      <c r="C9" s="10" t="inlineStr">
        <is>
          <t>5th</t>
        </is>
      </c>
      <c r="D9" s="10" t="inlineStr">
        <is>
          <t>Mr./Mrs. Garcia</t>
        </is>
      </c>
      <c r="E9" s="10" t="inlineStr">
        <is>
          <t>ethan.garcia@email.com</t>
        </is>
      </c>
      <c r="F9" s="10" t="inlineStr">
        <is>
          <t>(555) 384-3547</t>
        </is>
      </c>
      <c r="G9" s="10" t="inlineStr">
        <is>
          <t>Grandparent: (555) 320-6514</t>
        </is>
      </c>
      <c r="H9" s="10" t="inlineStr">
        <is>
          <t>Gluten intolerance</t>
        </is>
      </c>
      <c r="I9" s="11" t="inlineStr">
        <is>
          <t>07/11/2018</t>
        </is>
      </c>
      <c r="J9" s="10" t="inlineStr"/>
    </row>
    <row r="10" ht="22" customHeight="1">
      <c r="A10" s="6" t="inlineStr">
        <is>
          <t>Sophia Miller</t>
        </is>
      </c>
      <c r="B10" s="7" t="inlineStr">
        <is>
          <t>STU-2026-007</t>
        </is>
      </c>
      <c r="C10" s="7" t="inlineStr">
        <is>
          <t>3rd</t>
        </is>
      </c>
      <c r="D10" s="7" t="inlineStr">
        <is>
          <t>Mr./Mrs. Miller</t>
        </is>
      </c>
      <c r="E10" s="7" t="inlineStr">
        <is>
          <t>sophia.miller@email.com</t>
        </is>
      </c>
      <c r="F10" s="7" t="inlineStr">
        <is>
          <t>(555) 199-6881</t>
        </is>
      </c>
      <c r="G10" s="7" t="inlineStr">
        <is>
          <t>Grandparent: (555) 967-6635</t>
        </is>
      </c>
      <c r="H10" s="7" t="inlineStr">
        <is>
          <t>None</t>
        </is>
      </c>
      <c r="I10" s="8" t="inlineStr">
        <is>
          <t>02/13/2016</t>
        </is>
      </c>
      <c r="J10" s="7" t="inlineStr"/>
    </row>
    <row r="11" ht="22" customHeight="1">
      <c r="A11" s="9" t="inlineStr">
        <is>
          <t>Mason Davis</t>
        </is>
      </c>
      <c r="B11" s="10" t="inlineStr">
        <is>
          <t>STU-2026-008</t>
        </is>
      </c>
      <c r="C11" s="10" t="inlineStr">
        <is>
          <t>4th</t>
        </is>
      </c>
      <c r="D11" s="10" t="inlineStr">
        <is>
          <t>Mr./Mrs. Davis</t>
        </is>
      </c>
      <c r="E11" s="10" t="inlineStr">
        <is>
          <t>mason.davis@email.com</t>
        </is>
      </c>
      <c r="F11" s="10" t="inlineStr">
        <is>
          <t>(555) 144-8527</t>
        </is>
      </c>
      <c r="G11" s="10" t="inlineStr">
        <is>
          <t>Grandparent: (555) 649-3045</t>
        </is>
      </c>
      <c r="H11" s="10" t="inlineStr">
        <is>
          <t>None</t>
        </is>
      </c>
      <c r="I11" s="11" t="inlineStr">
        <is>
          <t>05/26/2018</t>
        </is>
      </c>
      <c r="J11" s="10" t="inlineStr"/>
    </row>
    <row r="12" ht="22" customHeight="1">
      <c r="A12" s="6" t="inlineStr">
        <is>
          <t>Isabella Rodriguez</t>
        </is>
      </c>
      <c r="B12" s="7" t="inlineStr">
        <is>
          <t>STU-2026-009</t>
        </is>
      </c>
      <c r="C12" s="7" t="inlineStr">
        <is>
          <t>5th</t>
        </is>
      </c>
      <c r="D12" s="7" t="inlineStr">
        <is>
          <t>Mr./Mrs. Rodriguez</t>
        </is>
      </c>
      <c r="E12" s="7" t="inlineStr">
        <is>
          <t>isabella.rodriguez@email.com</t>
        </is>
      </c>
      <c r="F12" s="7" t="inlineStr">
        <is>
          <t>(555) 400-6925</t>
        </is>
      </c>
      <c r="G12" s="7" t="inlineStr">
        <is>
          <t>Grandparent: (555) 691-4150</t>
        </is>
      </c>
      <c r="H12" s="7" t="inlineStr">
        <is>
          <t>Asthma</t>
        </is>
      </c>
      <c r="I12" s="8" t="inlineStr">
        <is>
          <t>02/18/2017</t>
        </is>
      </c>
      <c r="J12" s="7" t="inlineStr"/>
    </row>
    <row r="13" ht="22" customHeight="1">
      <c r="A13" s="9" t="inlineStr">
        <is>
          <t>William Martinez</t>
        </is>
      </c>
      <c r="B13" s="10" t="inlineStr">
        <is>
          <t>STU-2026-010</t>
        </is>
      </c>
      <c r="C13" s="10" t="inlineStr">
        <is>
          <t>3rd</t>
        </is>
      </c>
      <c r="D13" s="10" t="inlineStr">
        <is>
          <t>Mr./Mrs. Martinez</t>
        </is>
      </c>
      <c r="E13" s="10" t="inlineStr">
        <is>
          <t>william.martinez@email.com</t>
        </is>
      </c>
      <c r="F13" s="10" t="inlineStr">
        <is>
          <t>(555) 777-4733</t>
        </is>
      </c>
      <c r="G13" s="10" t="inlineStr">
        <is>
          <t>Grandparent: (555) 891-5741</t>
        </is>
      </c>
      <c r="H13" s="10" t="inlineStr">
        <is>
          <t>None</t>
        </is>
      </c>
      <c r="I13" s="11" t="inlineStr">
        <is>
          <t>02/02/2018</t>
        </is>
      </c>
      <c r="J13" s="10" t="inlineStr"/>
    </row>
    <row r="14" ht="22" customHeight="1">
      <c r="A14" s="6" t="inlineStr">
        <is>
          <t>Mia Hernandez</t>
        </is>
      </c>
      <c r="B14" s="7" t="inlineStr">
        <is>
          <t>STU-2026-011</t>
        </is>
      </c>
      <c r="C14" s="7" t="inlineStr">
        <is>
          <t>4th</t>
        </is>
      </c>
      <c r="D14" s="7" t="inlineStr">
        <is>
          <t>Mr./Mrs. Hernandez</t>
        </is>
      </c>
      <c r="E14" s="7" t="inlineStr">
        <is>
          <t>mia.hernandez@email.com</t>
        </is>
      </c>
      <c r="F14" s="7" t="inlineStr">
        <is>
          <t>(555) 203-7227</t>
        </is>
      </c>
      <c r="G14" s="7" t="inlineStr">
        <is>
          <t>Grandparent: (555) 384-8428</t>
        </is>
      </c>
      <c r="H14" s="7" t="inlineStr">
        <is>
          <t>None</t>
        </is>
      </c>
      <c r="I14" s="8" t="inlineStr">
        <is>
          <t>04/28/2016</t>
        </is>
      </c>
      <c r="J14" s="7" t="inlineStr"/>
    </row>
    <row r="15" ht="22" customHeight="1">
      <c r="A15" s="9" t="inlineStr">
        <is>
          <t>James Lopez</t>
        </is>
      </c>
      <c r="B15" s="10" t="inlineStr">
        <is>
          <t>STU-2026-012</t>
        </is>
      </c>
      <c r="C15" s="10" t="inlineStr">
        <is>
          <t>5th</t>
        </is>
      </c>
      <c r="D15" s="10" t="inlineStr">
        <is>
          <t>Mr./Mrs. Lopez</t>
        </is>
      </c>
      <c r="E15" s="10" t="inlineStr">
        <is>
          <t>james.lopez@email.com</t>
        </is>
      </c>
      <c r="F15" s="10" t="inlineStr">
        <is>
          <t>(555) 479-6820</t>
        </is>
      </c>
      <c r="G15" s="10" t="inlineStr">
        <is>
          <t>Grandparent: (555) 314-5374</t>
        </is>
      </c>
      <c r="H15" s="10" t="inlineStr">
        <is>
          <t>Peanut allergy</t>
        </is>
      </c>
      <c r="I15" s="11" t="inlineStr">
        <is>
          <t>06/06/2018</t>
        </is>
      </c>
      <c r="J15" s="10" t="inlineStr"/>
    </row>
    <row r="16" ht="22" customHeight="1">
      <c r="A16" s="6" t="inlineStr">
        <is>
          <t>Charlotte Gonzalez</t>
        </is>
      </c>
      <c r="B16" s="7" t="inlineStr">
        <is>
          <t>STU-2026-013</t>
        </is>
      </c>
      <c r="C16" s="7" t="inlineStr">
        <is>
          <t>3rd</t>
        </is>
      </c>
      <c r="D16" s="7" t="inlineStr">
        <is>
          <t>Mr./Mrs. Gonzalez</t>
        </is>
      </c>
      <c r="E16" s="7" t="inlineStr">
        <is>
          <t>charlotte.gonzalez@email.com</t>
        </is>
      </c>
      <c r="F16" s="7" t="inlineStr">
        <is>
          <t>(555) 173-3803</t>
        </is>
      </c>
      <c r="G16" s="7" t="inlineStr">
        <is>
          <t>Grandparent: (555) 646-5010</t>
        </is>
      </c>
      <c r="H16" s="7" t="inlineStr">
        <is>
          <t>None</t>
        </is>
      </c>
      <c r="I16" s="8" t="inlineStr">
        <is>
          <t>11/21/2018</t>
        </is>
      </c>
      <c r="J16" s="7" t="inlineStr"/>
    </row>
    <row r="17" ht="22" customHeight="1">
      <c r="A17" s="9" t="inlineStr">
        <is>
          <t>Benjamin Wilson</t>
        </is>
      </c>
      <c r="B17" s="10" t="inlineStr">
        <is>
          <t>STU-2026-014</t>
        </is>
      </c>
      <c r="C17" s="10" t="inlineStr">
        <is>
          <t>4th</t>
        </is>
      </c>
      <c r="D17" s="10" t="inlineStr">
        <is>
          <t>Mr./Mrs. Wilson</t>
        </is>
      </c>
      <c r="E17" s="10" t="inlineStr">
        <is>
          <t>benjamin.wilson@email.com</t>
        </is>
      </c>
      <c r="F17" s="10" t="inlineStr">
        <is>
          <t>(555) 376-4598</t>
        </is>
      </c>
      <c r="G17" s="10" t="inlineStr">
        <is>
          <t>Grandparent: (555) 801-6313</t>
        </is>
      </c>
      <c r="H17" s="10" t="inlineStr">
        <is>
          <t>Bee sting allergy</t>
        </is>
      </c>
      <c r="I17" s="11" t="inlineStr">
        <is>
          <t>08/13/2016</t>
        </is>
      </c>
      <c r="J17" s="10" t="inlineStr"/>
    </row>
    <row r="18" ht="22" customHeight="1">
      <c r="A18" s="6" t="inlineStr">
        <is>
          <t>Amelia Anderson</t>
        </is>
      </c>
      <c r="B18" s="7" t="inlineStr">
        <is>
          <t>STU-2026-015</t>
        </is>
      </c>
      <c r="C18" s="7" t="inlineStr">
        <is>
          <t>5th</t>
        </is>
      </c>
      <c r="D18" s="7" t="inlineStr">
        <is>
          <t>Mr./Mrs. Anderson</t>
        </is>
      </c>
      <c r="E18" s="7" t="inlineStr">
        <is>
          <t>amelia.anderson@email.com</t>
        </is>
      </c>
      <c r="F18" s="7" t="inlineStr">
        <is>
          <t>(555) 132-6168</t>
        </is>
      </c>
      <c r="G18" s="7" t="inlineStr">
        <is>
          <t>Grandparent: (555) 510-5386</t>
        </is>
      </c>
      <c r="H18" s="7" t="inlineStr">
        <is>
          <t>None</t>
        </is>
      </c>
      <c r="I18" s="8" t="inlineStr">
        <is>
          <t>04/27/2016</t>
        </is>
      </c>
      <c r="J18" s="7" t="inlineStr"/>
    </row>
    <row r="19" ht="22" customHeight="1">
      <c r="A19" s="9" t="inlineStr">
        <is>
          <t>Lucas Thomas</t>
        </is>
      </c>
      <c r="B19" s="10" t="inlineStr">
        <is>
          <t>STU-2026-016</t>
        </is>
      </c>
      <c r="C19" s="10" t="inlineStr">
        <is>
          <t>3rd</t>
        </is>
      </c>
      <c r="D19" s="10" t="inlineStr">
        <is>
          <t>Mr./Mrs. Thomas</t>
        </is>
      </c>
      <c r="E19" s="10" t="inlineStr">
        <is>
          <t>lucas.thomas@email.com</t>
        </is>
      </c>
      <c r="F19" s="10" t="inlineStr">
        <is>
          <t>(555) 997-6155</t>
        </is>
      </c>
      <c r="G19" s="10" t="inlineStr">
        <is>
          <t>Grandparent: (555) 317-9179</t>
        </is>
      </c>
      <c r="H19" s="10" t="inlineStr">
        <is>
          <t>Gluten intolerance</t>
        </is>
      </c>
      <c r="I19" s="11" t="inlineStr">
        <is>
          <t>04/19/2016</t>
        </is>
      </c>
      <c r="J19" s="10" t="inlineStr"/>
    </row>
    <row r="20" ht="22" customHeight="1">
      <c r="A20" s="6" t="inlineStr">
        <is>
          <t>Harper Taylor</t>
        </is>
      </c>
      <c r="B20" s="7" t="inlineStr">
        <is>
          <t>STU-2026-017</t>
        </is>
      </c>
      <c r="C20" s="7" t="inlineStr">
        <is>
          <t>4th</t>
        </is>
      </c>
      <c r="D20" s="7" t="inlineStr">
        <is>
          <t>Mr./Mrs. Taylor</t>
        </is>
      </c>
      <c r="E20" s="7" t="inlineStr">
        <is>
          <t>harper.taylor@email.com</t>
        </is>
      </c>
      <c r="F20" s="7" t="inlineStr">
        <is>
          <t>(555) 246-5339</t>
        </is>
      </c>
      <c r="G20" s="7" t="inlineStr">
        <is>
          <t>Grandparent: (555) 242-5040</t>
        </is>
      </c>
      <c r="H20" s="7" t="inlineStr">
        <is>
          <t>None</t>
        </is>
      </c>
      <c r="I20" s="8" t="inlineStr">
        <is>
          <t>11/15/2017</t>
        </is>
      </c>
      <c r="J20" s="7" t="inlineStr"/>
    </row>
    <row r="21" ht="22" customHeight="1">
      <c r="A21" s="9" t="inlineStr">
        <is>
          <t>Henry Moore</t>
        </is>
      </c>
      <c r="B21" s="10" t="inlineStr">
        <is>
          <t>STU-2026-018</t>
        </is>
      </c>
      <c r="C21" s="10" t="inlineStr">
        <is>
          <t>5th</t>
        </is>
      </c>
      <c r="D21" s="10" t="inlineStr">
        <is>
          <t>Mr./Mrs. Moore</t>
        </is>
      </c>
      <c r="E21" s="10" t="inlineStr">
        <is>
          <t>henry.moore@email.com</t>
        </is>
      </c>
      <c r="F21" s="10" t="inlineStr">
        <is>
          <t>(555) 369-8019</t>
        </is>
      </c>
      <c r="G21" s="10" t="inlineStr">
        <is>
          <t>Grandparent: (555) 697-7543</t>
        </is>
      </c>
      <c r="H21" s="10" t="inlineStr">
        <is>
          <t>None</t>
        </is>
      </c>
      <c r="I21" s="11" t="inlineStr">
        <is>
          <t>09/18/2018</t>
        </is>
      </c>
      <c r="J21" s="10" t="inlineStr"/>
    </row>
    <row r="22" ht="22" customHeight="1">
      <c r="A22" s="6" t="inlineStr">
        <is>
          <t>Evelyn Jackson</t>
        </is>
      </c>
      <c r="B22" s="7" t="inlineStr">
        <is>
          <t>STU-2026-019</t>
        </is>
      </c>
      <c r="C22" s="7" t="inlineStr">
        <is>
          <t>3rd</t>
        </is>
      </c>
      <c r="D22" s="7" t="inlineStr">
        <is>
          <t>Mr./Mrs. Jackson</t>
        </is>
      </c>
      <c r="E22" s="7" t="inlineStr">
        <is>
          <t>evelyn.jackson@email.com</t>
        </is>
      </c>
      <c r="F22" s="7" t="inlineStr">
        <is>
          <t>(555) 621-9085</t>
        </is>
      </c>
      <c r="G22" s="7" t="inlineStr">
        <is>
          <t>Grandparent: (555) 193-1771</t>
        </is>
      </c>
      <c r="H22" s="7" t="inlineStr">
        <is>
          <t>Asthma</t>
        </is>
      </c>
      <c r="I22" s="8" t="inlineStr">
        <is>
          <t>04/05/2017</t>
        </is>
      </c>
      <c r="J22" s="7" t="inlineStr"/>
    </row>
    <row r="23" ht="22" customHeight="1">
      <c r="A23" s="9" t="inlineStr">
        <is>
          <t>Alexander Martin</t>
        </is>
      </c>
      <c r="B23" s="10" t="inlineStr">
        <is>
          <t>STU-2026-020</t>
        </is>
      </c>
      <c r="C23" s="10" t="inlineStr">
        <is>
          <t>4th</t>
        </is>
      </c>
      <c r="D23" s="10" t="inlineStr">
        <is>
          <t>Mr./Mrs. Martin</t>
        </is>
      </c>
      <c r="E23" s="10" t="inlineStr">
        <is>
          <t>alexander.martin@email.com</t>
        </is>
      </c>
      <c r="F23" s="10" t="inlineStr">
        <is>
          <t>(555) 263-7916</t>
        </is>
      </c>
      <c r="G23" s="10" t="inlineStr">
        <is>
          <t>Grandparent: (555) 710-2040</t>
        </is>
      </c>
      <c r="H23" s="10" t="inlineStr">
        <is>
          <t>None</t>
        </is>
      </c>
      <c r="I23" s="11" t="inlineStr">
        <is>
          <t>03/21/2016</t>
        </is>
      </c>
      <c r="J23" s="10" t="inlineStr"/>
    </row>
    <row r="24" ht="22" customHeight="1">
      <c r="A24" s="6" t="inlineStr">
        <is>
          <t>Abigail Lee</t>
        </is>
      </c>
      <c r="B24" s="7" t="inlineStr">
        <is>
          <t>STU-2026-021</t>
        </is>
      </c>
      <c r="C24" s="7" t="inlineStr">
        <is>
          <t>5th</t>
        </is>
      </c>
      <c r="D24" s="7" t="inlineStr">
        <is>
          <t>Mr./Mrs. Lee</t>
        </is>
      </c>
      <c r="E24" s="7" t="inlineStr">
        <is>
          <t>abigail.lee@email.com</t>
        </is>
      </c>
      <c r="F24" s="7" t="inlineStr">
        <is>
          <t>(555) 579-9669</t>
        </is>
      </c>
      <c r="G24" s="7" t="inlineStr">
        <is>
          <t>Grandparent: (555) 357-1188</t>
        </is>
      </c>
      <c r="H24" s="7" t="inlineStr">
        <is>
          <t>None</t>
        </is>
      </c>
      <c r="I24" s="8" t="inlineStr">
        <is>
          <t>07/20/2017</t>
        </is>
      </c>
      <c r="J24" s="7" t="inlineStr"/>
    </row>
    <row r="25" ht="22" customHeight="1">
      <c r="A25" s="9" t="inlineStr">
        <is>
          <t>Daniel Perez</t>
        </is>
      </c>
      <c r="B25" s="10" t="inlineStr">
        <is>
          <t>STU-2026-022</t>
        </is>
      </c>
      <c r="C25" s="10" t="inlineStr">
        <is>
          <t>3rd</t>
        </is>
      </c>
      <c r="D25" s="10" t="inlineStr">
        <is>
          <t>Mr./Mrs. Perez</t>
        </is>
      </c>
      <c r="E25" s="10" t="inlineStr">
        <is>
          <t>daniel.perez@email.com</t>
        </is>
      </c>
      <c r="F25" s="10" t="inlineStr">
        <is>
          <t>(555) 798-9797</t>
        </is>
      </c>
      <c r="G25" s="10" t="inlineStr">
        <is>
          <t>Grandparent: (555) 868-5371</t>
        </is>
      </c>
      <c r="H25" s="10" t="inlineStr">
        <is>
          <t>Peanut allergy</t>
        </is>
      </c>
      <c r="I25" s="11" t="inlineStr">
        <is>
          <t>12/04/2018</t>
        </is>
      </c>
      <c r="J25" s="10" t="inlineStr"/>
    </row>
    <row r="26" ht="22" customHeight="1">
      <c r="A26" s="6" t="inlineStr">
        <is>
          <t>Emily Thompson</t>
        </is>
      </c>
      <c r="B26" s="7" t="inlineStr">
        <is>
          <t>STU-2026-023</t>
        </is>
      </c>
      <c r="C26" s="7" t="inlineStr">
        <is>
          <t>4th</t>
        </is>
      </c>
      <c r="D26" s="7" t="inlineStr">
        <is>
          <t>Mr./Mrs. Thompson</t>
        </is>
      </c>
      <c r="E26" s="7" t="inlineStr">
        <is>
          <t>emily.thompson@email.com</t>
        </is>
      </c>
      <c r="F26" s="7" t="inlineStr">
        <is>
          <t>(555) 400-8123</t>
        </is>
      </c>
      <c r="G26" s="7" t="inlineStr">
        <is>
          <t>Grandparent: (555) 261-8433</t>
        </is>
      </c>
      <c r="H26" s="7" t="inlineStr">
        <is>
          <t>None</t>
        </is>
      </c>
      <c r="I26" s="8" t="inlineStr">
        <is>
          <t>06/04/2018</t>
        </is>
      </c>
      <c r="J26" s="7" t="inlineStr"/>
    </row>
    <row r="27" ht="22" customHeight="1">
      <c r="A27" s="9" t="inlineStr">
        <is>
          <t>Michael White</t>
        </is>
      </c>
      <c r="B27" s="10" t="inlineStr">
        <is>
          <t>STU-2026-024</t>
        </is>
      </c>
      <c r="C27" s="10" t="inlineStr">
        <is>
          <t>5th</t>
        </is>
      </c>
      <c r="D27" s="10" t="inlineStr">
        <is>
          <t>Mr./Mrs. White</t>
        </is>
      </c>
      <c r="E27" s="10" t="inlineStr">
        <is>
          <t>michael.white@email.com</t>
        </is>
      </c>
      <c r="F27" s="10" t="inlineStr">
        <is>
          <t>(555) 369-9201</t>
        </is>
      </c>
      <c r="G27" s="10" t="inlineStr">
        <is>
          <t>Grandparent: (555) 880-3927</t>
        </is>
      </c>
      <c r="H27" s="10" t="inlineStr">
        <is>
          <t>Bee sting allergy</t>
        </is>
      </c>
      <c r="I27" s="11" t="inlineStr">
        <is>
          <t>12/24/2016</t>
        </is>
      </c>
      <c r="J27" s="10" t="inlineStr"/>
    </row>
    <row r="28" ht="22" customHeight="1">
      <c r="A28" s="6" t="inlineStr">
        <is>
          <t>Ella Harris</t>
        </is>
      </c>
      <c r="B28" s="7" t="inlineStr">
        <is>
          <t>STU-2026-025</t>
        </is>
      </c>
      <c r="C28" s="7" t="inlineStr">
        <is>
          <t>3rd</t>
        </is>
      </c>
      <c r="D28" s="7" t="inlineStr">
        <is>
          <t>Mr./Mrs. Harris</t>
        </is>
      </c>
      <c r="E28" s="7" t="inlineStr">
        <is>
          <t>ella.harris@email.com</t>
        </is>
      </c>
      <c r="F28" s="7" t="inlineStr">
        <is>
          <t>(555) 740-5889</t>
        </is>
      </c>
      <c r="G28" s="7" t="inlineStr">
        <is>
          <t>Grandparent: (555) 961-9317</t>
        </is>
      </c>
      <c r="H28" s="7" t="inlineStr">
        <is>
          <t>None</t>
        </is>
      </c>
      <c r="I28" s="8" t="inlineStr">
        <is>
          <t>02/28/2018</t>
        </is>
      </c>
      <c r="J28" s="7" t="inlineStr"/>
    </row>
    <row r="29" ht="22" customHeight="1">
      <c r="A29" s="9" t="inlineStr">
        <is>
          <t>Sebastian Sanchez</t>
        </is>
      </c>
      <c r="B29" s="10" t="inlineStr">
        <is>
          <t>STU-2026-026</t>
        </is>
      </c>
      <c r="C29" s="10" t="inlineStr">
        <is>
          <t>4th</t>
        </is>
      </c>
      <c r="D29" s="10" t="inlineStr">
        <is>
          <t>Mr./Mrs. Sanchez</t>
        </is>
      </c>
      <c r="E29" s="10" t="inlineStr">
        <is>
          <t>sebastian.sanchez@email.com</t>
        </is>
      </c>
      <c r="F29" s="10" t="inlineStr">
        <is>
          <t>(555) 482-3646</t>
        </is>
      </c>
      <c r="G29" s="10" t="inlineStr">
        <is>
          <t>Grandparent: (555) 652-9689</t>
        </is>
      </c>
      <c r="H29" s="10" t="inlineStr">
        <is>
          <t>Gluten intolerance</t>
        </is>
      </c>
      <c r="I29" s="11" t="inlineStr">
        <is>
          <t>04/05/2018</t>
        </is>
      </c>
      <c r="J29" s="10" t="inlineStr"/>
    </row>
    <row r="30" ht="22" customHeight="1">
      <c r="A30" s="6" t="inlineStr">
        <is>
          <t>Avery Clark</t>
        </is>
      </c>
      <c r="B30" s="7" t="inlineStr">
        <is>
          <t>STU-2026-027</t>
        </is>
      </c>
      <c r="C30" s="7" t="inlineStr">
        <is>
          <t>5th</t>
        </is>
      </c>
      <c r="D30" s="7" t="inlineStr">
        <is>
          <t>Mr./Mrs. Clark</t>
        </is>
      </c>
      <c r="E30" s="7" t="inlineStr">
        <is>
          <t>avery.clark@email.com</t>
        </is>
      </c>
      <c r="F30" s="7" t="inlineStr">
        <is>
          <t>(555) 600-1319</t>
        </is>
      </c>
      <c r="G30" s="7" t="inlineStr">
        <is>
          <t>Grandparent: (555) 214-6947</t>
        </is>
      </c>
      <c r="H30" s="7" t="inlineStr">
        <is>
          <t>None</t>
        </is>
      </c>
      <c r="I30" s="8" t="inlineStr">
        <is>
          <t>10/11/2016</t>
        </is>
      </c>
      <c r="J30" s="7" t="inlineStr"/>
    </row>
    <row r="31" ht="22" customHeight="1">
      <c r="A31" s="9" t="inlineStr">
        <is>
          <t>Jack Ramirez</t>
        </is>
      </c>
      <c r="B31" s="10" t="inlineStr">
        <is>
          <t>STU-2026-028</t>
        </is>
      </c>
      <c r="C31" s="10" t="inlineStr">
        <is>
          <t>3rd</t>
        </is>
      </c>
      <c r="D31" s="10" t="inlineStr">
        <is>
          <t>Mr./Mrs. Ramirez</t>
        </is>
      </c>
      <c r="E31" s="10" t="inlineStr">
        <is>
          <t>jack.ramirez@email.com</t>
        </is>
      </c>
      <c r="F31" s="10" t="inlineStr">
        <is>
          <t>(555) 346-2290</t>
        </is>
      </c>
      <c r="G31" s="10" t="inlineStr">
        <is>
          <t>Grandparent: (555) 187-8962</t>
        </is>
      </c>
      <c r="H31" s="10" t="inlineStr">
        <is>
          <t>None</t>
        </is>
      </c>
      <c r="I31" s="11" t="inlineStr">
        <is>
          <t>04/02/2017</t>
        </is>
      </c>
      <c r="J31" s="10" t="inlineStr"/>
    </row>
    <row r="32" ht="22" customHeight="1">
      <c r="A32" s="6" t="inlineStr">
        <is>
          <t>Scarlett Lewis</t>
        </is>
      </c>
      <c r="B32" s="7" t="inlineStr">
        <is>
          <t>STU-2026-029</t>
        </is>
      </c>
      <c r="C32" s="7" t="inlineStr">
        <is>
          <t>4th</t>
        </is>
      </c>
      <c r="D32" s="7" t="inlineStr">
        <is>
          <t>Mr./Mrs. Lewis</t>
        </is>
      </c>
      <c r="E32" s="7" t="inlineStr">
        <is>
          <t>scarlett.lewis@email.com</t>
        </is>
      </c>
      <c r="F32" s="7" t="inlineStr">
        <is>
          <t>(555) 228-3103</t>
        </is>
      </c>
      <c r="G32" s="7" t="inlineStr">
        <is>
          <t>Grandparent: (555) 775-8787</t>
        </is>
      </c>
      <c r="H32" s="7" t="inlineStr">
        <is>
          <t>Asthma</t>
        </is>
      </c>
      <c r="I32" s="8" t="inlineStr">
        <is>
          <t>09/25/2016</t>
        </is>
      </c>
      <c r="J32" s="7" t="inlineStr"/>
    </row>
    <row r="33" ht="22" customHeight="1">
      <c r="A33" s="9" t="inlineStr">
        <is>
          <t>Aiden Robinson</t>
        </is>
      </c>
      <c r="B33" s="10" t="inlineStr">
        <is>
          <t>STU-2026-030</t>
        </is>
      </c>
      <c r="C33" s="10" t="inlineStr">
        <is>
          <t>5th</t>
        </is>
      </c>
      <c r="D33" s="10" t="inlineStr">
        <is>
          <t>Mr./Mrs. Robinson</t>
        </is>
      </c>
      <c r="E33" s="10" t="inlineStr">
        <is>
          <t>aiden.robinson@email.com</t>
        </is>
      </c>
      <c r="F33" s="10" t="inlineStr">
        <is>
          <t>(555) 640-7932</t>
        </is>
      </c>
      <c r="G33" s="10" t="inlineStr">
        <is>
          <t>Grandparent: (555) 316-9835</t>
        </is>
      </c>
      <c r="H33" s="10" t="inlineStr">
        <is>
          <t>None</t>
        </is>
      </c>
      <c r="I33" s="11" t="inlineStr">
        <is>
          <t>03/09/2018</t>
        </is>
      </c>
      <c r="J33" s="10" t="inlineStr"/>
    </row>
    <row r="34" ht="22" customHeight="1">
      <c r="A34" s="6" t="inlineStr">
        <is>
          <t>Grace Walker</t>
        </is>
      </c>
      <c r="B34" s="7" t="inlineStr">
        <is>
          <t>STU-2026-031</t>
        </is>
      </c>
      <c r="C34" s="7" t="inlineStr">
        <is>
          <t>3rd</t>
        </is>
      </c>
      <c r="D34" s="7" t="inlineStr">
        <is>
          <t>Mr./Mrs. Walker</t>
        </is>
      </c>
      <c r="E34" s="7" t="inlineStr">
        <is>
          <t>grace.walker@email.com</t>
        </is>
      </c>
      <c r="F34" s="7" t="inlineStr">
        <is>
          <t>(555) 830-6107</t>
        </is>
      </c>
      <c r="G34" s="7" t="inlineStr">
        <is>
          <t>Grandparent: (555) 508-7118</t>
        </is>
      </c>
      <c r="H34" s="7" t="inlineStr">
        <is>
          <t>None</t>
        </is>
      </c>
      <c r="I34" s="8" t="inlineStr">
        <is>
          <t>12/07/2018</t>
        </is>
      </c>
      <c r="J34" s="7" t="inlineStr"/>
    </row>
    <row r="35" ht="22" customHeight="1">
      <c r="A35" s="9" t="inlineStr">
        <is>
          <t>Owen Young</t>
        </is>
      </c>
      <c r="B35" s="10" t="inlineStr">
        <is>
          <t>STU-2026-032</t>
        </is>
      </c>
      <c r="C35" s="10" t="inlineStr">
        <is>
          <t>4th</t>
        </is>
      </c>
      <c r="D35" s="10" t="inlineStr">
        <is>
          <t>Mr./Mrs. Young</t>
        </is>
      </c>
      <c r="E35" s="10" t="inlineStr">
        <is>
          <t>owen.young@email.com</t>
        </is>
      </c>
      <c r="F35" s="10" t="inlineStr">
        <is>
          <t>(555) 223-5061</t>
        </is>
      </c>
      <c r="G35" s="10" t="inlineStr">
        <is>
          <t>Grandparent: (555) 330-2049</t>
        </is>
      </c>
      <c r="H35" s="10" t="inlineStr">
        <is>
          <t>Peanut allergy</t>
        </is>
      </c>
      <c r="I35" s="11" t="inlineStr">
        <is>
          <t>09/15/2017</t>
        </is>
      </c>
      <c r="J35" s="10" t="inlineStr"/>
    </row>
    <row r="36" ht="22" customHeight="1">
      <c r="A36" s="6" t="inlineStr">
        <is>
          <t>Chloe Allen</t>
        </is>
      </c>
      <c r="B36" s="7" t="inlineStr">
        <is>
          <t>STU-2026-033</t>
        </is>
      </c>
      <c r="C36" s="7" t="inlineStr">
        <is>
          <t>5th</t>
        </is>
      </c>
      <c r="D36" s="7" t="inlineStr">
        <is>
          <t>Mr./Mrs. Allen</t>
        </is>
      </c>
      <c r="E36" s="7" t="inlineStr">
        <is>
          <t>chloe.allen@email.com</t>
        </is>
      </c>
      <c r="F36" s="7" t="inlineStr">
        <is>
          <t>(555) 667-4770</t>
        </is>
      </c>
      <c r="G36" s="7" t="inlineStr">
        <is>
          <t>Grandparent: (555) 702-4608</t>
        </is>
      </c>
      <c r="H36" s="7" t="inlineStr">
        <is>
          <t>None</t>
        </is>
      </c>
      <c r="I36" s="8" t="inlineStr">
        <is>
          <t>01/19/2017</t>
        </is>
      </c>
      <c r="J36" s="7" t="inlineStr"/>
    </row>
    <row r="37" ht="22" customHeight="1">
      <c r="A37" s="9" t="inlineStr">
        <is>
          <t>Samuel King</t>
        </is>
      </c>
      <c r="B37" s="10" t="inlineStr">
        <is>
          <t>STU-2026-034</t>
        </is>
      </c>
      <c r="C37" s="10" t="inlineStr">
        <is>
          <t>3rd</t>
        </is>
      </c>
      <c r="D37" s="10" t="inlineStr">
        <is>
          <t>Mr./Mrs. King</t>
        </is>
      </c>
      <c r="E37" s="10" t="inlineStr">
        <is>
          <t>samuel.king@email.com</t>
        </is>
      </c>
      <c r="F37" s="10" t="inlineStr">
        <is>
          <t>(555) 746-1964</t>
        </is>
      </c>
      <c r="G37" s="10" t="inlineStr">
        <is>
          <t>Grandparent: (555) 334-2104</t>
        </is>
      </c>
      <c r="H37" s="10" t="inlineStr">
        <is>
          <t>Bee sting allergy</t>
        </is>
      </c>
      <c r="I37" s="11" t="inlineStr">
        <is>
          <t>02/23/2016</t>
        </is>
      </c>
      <c r="J37" s="10" t="inlineStr"/>
    </row>
    <row r="38" ht="22" customHeight="1">
      <c r="A38" s="6" t="inlineStr">
        <is>
          <t>Victoria Wright</t>
        </is>
      </c>
      <c r="B38" s="7" t="inlineStr">
        <is>
          <t>STU-2026-035</t>
        </is>
      </c>
      <c r="C38" s="7" t="inlineStr">
        <is>
          <t>4th</t>
        </is>
      </c>
      <c r="D38" s="7" t="inlineStr">
        <is>
          <t>Mr./Mrs. Wright</t>
        </is>
      </c>
      <c r="E38" s="7" t="inlineStr">
        <is>
          <t>victoria.wright@email.com</t>
        </is>
      </c>
      <c r="F38" s="7" t="inlineStr">
        <is>
          <t>(555) 626-4899</t>
        </is>
      </c>
      <c r="G38" s="7" t="inlineStr">
        <is>
          <t>Grandparent: (555) 385-8953</t>
        </is>
      </c>
      <c r="H38" s="7" t="inlineStr">
        <is>
          <t>None</t>
        </is>
      </c>
      <c r="I38" s="8" t="inlineStr">
        <is>
          <t>06/03/2016</t>
        </is>
      </c>
      <c r="J38" s="7" t="inlineStr"/>
    </row>
    <row r="39" ht="22" customHeight="1">
      <c r="A39" s="9" t="inlineStr">
        <is>
          <t>Ryan Scott</t>
        </is>
      </c>
      <c r="B39" s="10" t="inlineStr">
        <is>
          <t>STU-2026-036</t>
        </is>
      </c>
      <c r="C39" s="10" t="inlineStr">
        <is>
          <t>5th</t>
        </is>
      </c>
      <c r="D39" s="10" t="inlineStr">
        <is>
          <t>Mr./Mrs. Scott</t>
        </is>
      </c>
      <c r="E39" s="10" t="inlineStr">
        <is>
          <t>ryan.scott@email.com</t>
        </is>
      </c>
      <c r="F39" s="10" t="inlineStr">
        <is>
          <t>(555) 840-8744</t>
        </is>
      </c>
      <c r="G39" s="10" t="inlineStr">
        <is>
          <t>Grandparent: (555) 348-8749</t>
        </is>
      </c>
      <c r="H39" s="10" t="inlineStr">
        <is>
          <t>Gluten intolerance</t>
        </is>
      </c>
      <c r="I39" s="11" t="inlineStr">
        <is>
          <t>09/05/2016</t>
        </is>
      </c>
      <c r="J39" s="10" t="inlineStr"/>
    </row>
    <row r="40" ht="22" customHeight="1">
      <c r="A40" s="6" t="inlineStr">
        <is>
          <t>Riley Torres</t>
        </is>
      </c>
      <c r="B40" s="7" t="inlineStr">
        <is>
          <t>STU-2026-037</t>
        </is>
      </c>
      <c r="C40" s="7" t="inlineStr">
        <is>
          <t>3rd</t>
        </is>
      </c>
      <c r="D40" s="7" t="inlineStr">
        <is>
          <t>Mr./Mrs. Torres</t>
        </is>
      </c>
      <c r="E40" s="7" t="inlineStr">
        <is>
          <t>riley.torres@email.com</t>
        </is>
      </c>
      <c r="F40" s="7" t="inlineStr">
        <is>
          <t>(555) 199-8062</t>
        </is>
      </c>
      <c r="G40" s="7" t="inlineStr">
        <is>
          <t>Grandparent: (555) 462-7939</t>
        </is>
      </c>
      <c r="H40" s="7" t="inlineStr">
        <is>
          <t>None</t>
        </is>
      </c>
      <c r="I40" s="8" t="inlineStr">
        <is>
          <t>04/04/2017</t>
        </is>
      </c>
      <c r="J40" s="7" t="inlineStr"/>
    </row>
    <row r="41" ht="22" customHeight="1">
      <c r="A41" s="9" t="inlineStr">
        <is>
          <t>Nathan Nguyen</t>
        </is>
      </c>
      <c r="B41" s="10" t="inlineStr">
        <is>
          <t>STU-2026-038</t>
        </is>
      </c>
      <c r="C41" s="10" t="inlineStr">
        <is>
          <t>4th</t>
        </is>
      </c>
      <c r="D41" s="10" t="inlineStr">
        <is>
          <t>Mr./Mrs. Nguyen</t>
        </is>
      </c>
      <c r="E41" s="10" t="inlineStr">
        <is>
          <t>nathan.nguyen@email.com</t>
        </is>
      </c>
      <c r="F41" s="10" t="inlineStr">
        <is>
          <t>(555) 846-1887</t>
        </is>
      </c>
      <c r="G41" s="10" t="inlineStr">
        <is>
          <t>Grandparent: (555) 789-2612</t>
        </is>
      </c>
      <c r="H41" s="10" t="inlineStr">
        <is>
          <t>None</t>
        </is>
      </c>
      <c r="I41" s="11" t="inlineStr">
        <is>
          <t>08/28/2017</t>
        </is>
      </c>
      <c r="J41" s="10" t="inlineStr"/>
    </row>
    <row r="42" ht="22" customHeight="1">
      <c r="A42" s="6" t="inlineStr">
        <is>
          <t>Aria Hill</t>
        </is>
      </c>
      <c r="B42" s="7" t="inlineStr">
        <is>
          <t>STU-2026-039</t>
        </is>
      </c>
      <c r="C42" s="7" t="inlineStr">
        <is>
          <t>5th</t>
        </is>
      </c>
      <c r="D42" s="7" t="inlineStr">
        <is>
          <t>Mr./Mrs. Hill</t>
        </is>
      </c>
      <c r="E42" s="7" t="inlineStr">
        <is>
          <t>aria.hill@email.com</t>
        </is>
      </c>
      <c r="F42" s="7" t="inlineStr">
        <is>
          <t>(555) 447-2790</t>
        </is>
      </c>
      <c r="G42" s="7" t="inlineStr">
        <is>
          <t>Grandparent: (555) 354-4139</t>
        </is>
      </c>
      <c r="H42" s="7" t="inlineStr">
        <is>
          <t>Asthma</t>
        </is>
      </c>
      <c r="I42" s="8" t="inlineStr">
        <is>
          <t>07/24/2016</t>
        </is>
      </c>
      <c r="J42" s="7" t="inlineStr"/>
    </row>
    <row r="43" ht="22" customHeight="1">
      <c r="A43" s="9" t="inlineStr">
        <is>
          <t>Caleb Flores</t>
        </is>
      </c>
      <c r="B43" s="10" t="inlineStr">
        <is>
          <t>STU-2026-040</t>
        </is>
      </c>
      <c r="C43" s="10" t="inlineStr">
        <is>
          <t>3rd</t>
        </is>
      </c>
      <c r="D43" s="10" t="inlineStr">
        <is>
          <t>Mr./Mrs. Flores</t>
        </is>
      </c>
      <c r="E43" s="10" t="inlineStr">
        <is>
          <t>caleb.flores@email.com</t>
        </is>
      </c>
      <c r="F43" s="10" t="inlineStr">
        <is>
          <t>(555) 243-7912</t>
        </is>
      </c>
      <c r="G43" s="10" t="inlineStr">
        <is>
          <t>Grandparent: (555) 287-5563</t>
        </is>
      </c>
      <c r="H43" s="10" t="inlineStr">
        <is>
          <t>None</t>
        </is>
      </c>
      <c r="I43" s="11" t="inlineStr">
        <is>
          <t>09/15/2016</t>
        </is>
      </c>
      <c r="J43" s="10" t="inlineStr"/>
    </row>
    <row r="45">
      <c r="A45" s="12" t="inlineStr">
        <is>
          <t>SUMMARY</t>
        </is>
      </c>
      <c r="B45" s="13" t="n"/>
      <c r="C45" s="13" t="n"/>
    </row>
    <row r="46">
      <c r="A46" s="14" t="inlineStr">
        <is>
          <t>Total Students:</t>
        </is>
      </c>
      <c r="B46" s="15">
        <f>COUNTA(A4:A43)</f>
        <v/>
      </c>
      <c r="C46" s="16" t="n"/>
    </row>
    <row r="47">
      <c r="A47" s="14" t="inlineStr">
        <is>
          <t>Students with Allergies:</t>
        </is>
      </c>
      <c r="B47" s="15">
        <f>COUNTIF(H4:H43,"&lt;&gt;None")</f>
        <v/>
      </c>
      <c r="C47" s="16" t="n"/>
    </row>
    <row r="48">
      <c r="A48" s="14" t="inlineStr">
        <is>
          <t>Students with Medical Notes:</t>
        </is>
      </c>
      <c r="B48" s="15">
        <f>COUNTIF(J4:J43,"&lt;&gt;")</f>
        <v/>
      </c>
      <c r="C48" s="16" t="n"/>
    </row>
  </sheetData>
  <autoFilter ref="A3:J43"/>
  <mergeCells count="3">
    <mergeCell ref="A45:C45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182CE"/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24" customWidth="1" min="5" max="5"/>
    <col width="20" customWidth="1" min="6" max="6"/>
    <col width="22" customWidth="1" min="7" max="7"/>
    <col width="18" customWidth="1" min="8" max="8"/>
    <col width="18" customWidth="1" min="9" max="9"/>
    <col width="16" customWidth="1" min="10" max="10"/>
    <col width="18" customWidth="1" min="11" max="11"/>
  </cols>
  <sheetData>
    <row r="1" ht="45" customHeight="1">
      <c r="A1" s="17" t="inlineStr">
        <is>
          <t>LESSON PLANNER  |  Teacher Classroom Planner 2026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</row>
    <row r="2" ht="25" customHeight="1">
      <c r="A2" s="19" t="inlineStr">
        <is>
          <t>Plan your entire school year week by week - 40 weeks of organized instruction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 ht="30" customHeight="1">
      <c r="A3" s="21" t="inlineStr">
        <is>
          <t>Week #</t>
        </is>
      </c>
      <c r="B3" s="21" t="inlineStr">
        <is>
          <t>Date Range</t>
        </is>
      </c>
      <c r="C3" s="21" t="inlineStr">
        <is>
          <t>Subject</t>
        </is>
      </c>
      <c r="D3" s="21" t="inlineStr">
        <is>
          <t>Topic</t>
        </is>
      </c>
      <c r="E3" s="21" t="inlineStr">
        <is>
          <t>Learning Objectives</t>
        </is>
      </c>
      <c r="F3" s="21" t="inlineStr">
        <is>
          <t>Materials Needed</t>
        </is>
      </c>
      <c r="G3" s="21" t="inlineStr">
        <is>
          <t>Activities</t>
        </is>
      </c>
      <c r="H3" s="21" t="inlineStr">
        <is>
          <t>Assessment</t>
        </is>
      </c>
      <c r="I3" s="21" t="inlineStr">
        <is>
          <t>Homework</t>
        </is>
      </c>
      <c r="J3" s="21" t="inlineStr">
        <is>
          <t>Standards Aligned</t>
        </is>
      </c>
      <c r="K3" s="21" t="inlineStr">
        <is>
          <t>Notes</t>
        </is>
      </c>
    </row>
    <row r="4" ht="28" customHeight="1">
      <c r="A4" s="6" t="n">
        <v>1</v>
      </c>
      <c r="B4" s="7" t="inlineStr">
        <is>
          <t>08/17 - 08/21/2026</t>
        </is>
      </c>
      <c r="C4" s="7" t="inlineStr">
        <is>
          <t>Math</t>
        </is>
      </c>
      <c r="D4" s="7" t="inlineStr">
        <is>
          <t>Place Value</t>
        </is>
      </c>
      <c r="E4" s="7" t="inlineStr">
        <is>
          <t>Students will be able to understand place value</t>
        </is>
      </c>
      <c r="F4" s="7" t="inlineStr">
        <is>
          <t>Textbook, worksheets, manipulatives</t>
        </is>
      </c>
      <c r="G4" s="7" t="inlineStr">
        <is>
          <t>Guided practice, group work on place value</t>
        </is>
      </c>
      <c r="H4" s="7" t="inlineStr">
        <is>
          <t>Exit ticket + worksheet</t>
        </is>
      </c>
      <c r="I4" s="7" t="inlineStr">
        <is>
          <t>Pg. 128 problems 4-17</t>
        </is>
      </c>
      <c r="J4" s="7" t="inlineStr">
        <is>
          <t>CCSS.MA.4.9</t>
        </is>
      </c>
      <c r="K4" s="7" t="inlineStr"/>
    </row>
    <row r="5" ht="28" customHeight="1">
      <c r="A5" s="9" t="n">
        <v>2</v>
      </c>
      <c r="B5" s="10" t="inlineStr">
        <is>
          <t>08/24 - 08/28/2026</t>
        </is>
      </c>
      <c r="C5" s="10" t="inlineStr">
        <is>
          <t>ELA</t>
        </is>
      </c>
      <c r="D5" s="10" t="inlineStr">
        <is>
          <t>Narrative Writing</t>
        </is>
      </c>
      <c r="E5" s="10" t="inlineStr">
        <is>
          <t>Students will be able to understand narrative writing</t>
        </is>
      </c>
      <c r="F5" s="10" t="inlineStr">
        <is>
          <t>Textbook, worksheets, manipulatives</t>
        </is>
      </c>
      <c r="G5" s="10" t="inlineStr">
        <is>
          <t>Guided practice, group work on narrative writing</t>
        </is>
      </c>
      <c r="H5" s="10" t="inlineStr">
        <is>
          <t>Exit ticket + worksheet</t>
        </is>
      </c>
      <c r="I5" s="10" t="inlineStr">
        <is>
          <t>Pg. 35 problems 1-15</t>
        </is>
      </c>
      <c r="J5" s="10" t="inlineStr">
        <is>
          <t>CCSS.EL.1.4</t>
        </is>
      </c>
      <c r="K5" s="10" t="inlineStr"/>
    </row>
    <row r="6" ht="28" customHeight="1">
      <c r="A6" s="6" t="n">
        <v>3</v>
      </c>
      <c r="B6" s="7" t="inlineStr">
        <is>
          <t>08/31 - 09/04/2026</t>
        </is>
      </c>
      <c r="C6" s="7" t="inlineStr">
        <is>
          <t>Science</t>
        </is>
      </c>
      <c r="D6" s="7" t="inlineStr">
        <is>
          <t>Earth &amp; Space</t>
        </is>
      </c>
      <c r="E6" s="7" t="inlineStr">
        <is>
          <t>Students will be able to understand earth &amp; space</t>
        </is>
      </c>
      <c r="F6" s="7" t="inlineStr">
        <is>
          <t>Textbook, worksheets, manipulatives</t>
        </is>
      </c>
      <c r="G6" s="7" t="inlineStr">
        <is>
          <t>Guided practice, group work on earth &amp; space</t>
        </is>
      </c>
      <c r="H6" s="7" t="inlineStr">
        <is>
          <t>Exit ticket + worksheet</t>
        </is>
      </c>
      <c r="I6" s="7" t="inlineStr">
        <is>
          <t>Pg. 52 problems 7-30</t>
        </is>
      </c>
      <c r="J6" s="7" t="inlineStr">
        <is>
          <t>CCSS.SC.4.4</t>
        </is>
      </c>
      <c r="K6" s="7" t="inlineStr"/>
    </row>
    <row r="7" ht="28" customHeight="1">
      <c r="A7" s="9" t="n">
        <v>4</v>
      </c>
      <c r="B7" s="10" t="inlineStr">
        <is>
          <t>09/07 - 09/11/2026</t>
        </is>
      </c>
      <c r="C7" s="10" t="inlineStr">
        <is>
          <t>Social Studies</t>
        </is>
      </c>
      <c r="D7" s="10" t="inlineStr">
        <is>
          <t>Economics</t>
        </is>
      </c>
      <c r="E7" s="10" t="inlineStr">
        <is>
          <t>Students will be able to understand economics</t>
        </is>
      </c>
      <c r="F7" s="10" t="inlineStr">
        <is>
          <t>Textbook, worksheets, manipulatives</t>
        </is>
      </c>
      <c r="G7" s="10" t="inlineStr">
        <is>
          <t>Guided practice, group work on economics</t>
        </is>
      </c>
      <c r="H7" s="10" t="inlineStr">
        <is>
          <t>Exit ticket + worksheet</t>
        </is>
      </c>
      <c r="I7" s="10" t="inlineStr">
        <is>
          <t>Pg. 112 problems 1-20</t>
        </is>
      </c>
      <c r="J7" s="10" t="inlineStr">
        <is>
          <t>CCSS.SO.4.1</t>
        </is>
      </c>
      <c r="K7" s="10" t="inlineStr"/>
    </row>
    <row r="8" ht="28" customHeight="1">
      <c r="A8" s="6" t="n">
        <v>5</v>
      </c>
      <c r="B8" s="7" t="inlineStr">
        <is>
          <t>09/14 - 09/18/2026</t>
        </is>
      </c>
      <c r="C8" s="7" t="inlineStr">
        <is>
          <t>Math</t>
        </is>
      </c>
      <c r="D8" s="7" t="inlineStr">
        <is>
          <t>Fractions</t>
        </is>
      </c>
      <c r="E8" s="7" t="inlineStr">
        <is>
          <t>Students will be able to understand fractions</t>
        </is>
      </c>
      <c r="F8" s="7" t="inlineStr">
        <is>
          <t>Textbook, worksheets, manipulatives</t>
        </is>
      </c>
      <c r="G8" s="7" t="inlineStr">
        <is>
          <t>Guided practice, group work on fractions</t>
        </is>
      </c>
      <c r="H8" s="7" t="inlineStr">
        <is>
          <t>Exit ticket + worksheet</t>
        </is>
      </c>
      <c r="I8" s="7" t="inlineStr">
        <is>
          <t>Pg. 109 problems 5-29</t>
        </is>
      </c>
      <c r="J8" s="7" t="inlineStr">
        <is>
          <t>CCSS.MA.3.7</t>
        </is>
      </c>
      <c r="K8" s="7" t="inlineStr"/>
    </row>
    <row r="9" ht="28" customHeight="1">
      <c r="A9" s="9" t="n">
        <v>6</v>
      </c>
      <c r="B9" s="10" t="inlineStr">
        <is>
          <t>09/21 - 09/25/2026</t>
        </is>
      </c>
      <c r="C9" s="10" t="inlineStr">
        <is>
          <t>ELA</t>
        </is>
      </c>
      <c r="D9" s="10" t="inlineStr">
        <is>
          <t>Informational Text</t>
        </is>
      </c>
      <c r="E9" s="10" t="inlineStr">
        <is>
          <t>Students will be able to understand informational text</t>
        </is>
      </c>
      <c r="F9" s="10" t="inlineStr">
        <is>
          <t>Textbook, worksheets, manipulatives</t>
        </is>
      </c>
      <c r="G9" s="10" t="inlineStr">
        <is>
          <t>Guided practice, group work on informational text</t>
        </is>
      </c>
      <c r="H9" s="10" t="inlineStr">
        <is>
          <t>Exit ticket + worksheet</t>
        </is>
      </c>
      <c r="I9" s="10" t="inlineStr">
        <is>
          <t>Pg. 188 problems 9-30</t>
        </is>
      </c>
      <c r="J9" s="10" t="inlineStr">
        <is>
          <t>CCSS.EL.2.4</t>
        </is>
      </c>
      <c r="K9" s="10" t="inlineStr"/>
    </row>
    <row r="10" ht="28" customHeight="1">
      <c r="A10" s="6" t="n">
        <v>7</v>
      </c>
      <c r="B10" s="7" t="inlineStr">
        <is>
          <t>09/28 - 10/02/2026</t>
        </is>
      </c>
      <c r="C10" s="7" t="inlineStr">
        <is>
          <t>Science</t>
        </is>
      </c>
      <c r="D10" s="7" t="inlineStr">
        <is>
          <t>Simple Machines</t>
        </is>
      </c>
      <c r="E10" s="7" t="inlineStr">
        <is>
          <t>Students will be able to understand simple machines</t>
        </is>
      </c>
      <c r="F10" s="7" t="inlineStr">
        <is>
          <t>Textbook, worksheets, manipulatives</t>
        </is>
      </c>
      <c r="G10" s="7" t="inlineStr">
        <is>
          <t>Guided practice, group work on simple machines</t>
        </is>
      </c>
      <c r="H10" s="7" t="inlineStr">
        <is>
          <t>Exit ticket + worksheet</t>
        </is>
      </c>
      <c r="I10" s="7" t="inlineStr">
        <is>
          <t>Pg. 85 problems 4-16</t>
        </is>
      </c>
      <c r="J10" s="7" t="inlineStr">
        <is>
          <t>CCSS.SC.5.9</t>
        </is>
      </c>
      <c r="K10" s="7" t="inlineStr"/>
    </row>
    <row r="11" ht="28" customHeight="1">
      <c r="A11" s="9" t="n">
        <v>8</v>
      </c>
      <c r="B11" s="10" t="inlineStr">
        <is>
          <t>10/05 - 10/09/2026</t>
        </is>
      </c>
      <c r="C11" s="10" t="inlineStr">
        <is>
          <t>Art</t>
        </is>
      </c>
      <c r="D11" s="10" t="inlineStr">
        <is>
          <t>Crafts</t>
        </is>
      </c>
      <c r="E11" s="10" t="inlineStr">
        <is>
          <t>Students will be able to understand crafts</t>
        </is>
      </c>
      <c r="F11" s="10" t="inlineStr">
        <is>
          <t>Textbook, worksheets, manipulatives</t>
        </is>
      </c>
      <c r="G11" s="10" t="inlineStr">
        <is>
          <t>Guided practice, group work on crafts</t>
        </is>
      </c>
      <c r="H11" s="10" t="inlineStr">
        <is>
          <t>Exit ticket + worksheet</t>
        </is>
      </c>
      <c r="I11" s="10" t="inlineStr">
        <is>
          <t>Pg. 25 problems 6-16</t>
        </is>
      </c>
      <c r="J11" s="10" t="inlineStr">
        <is>
          <t>CCSS.AR.1.8</t>
        </is>
      </c>
      <c r="K11" s="10" t="inlineStr"/>
    </row>
    <row r="12" ht="28" customHeight="1">
      <c r="A12" s="6" t="n">
        <v>9</v>
      </c>
      <c r="B12" s="7" t="inlineStr">
        <is>
          <t>10/12 - 10/16/2026</t>
        </is>
      </c>
      <c r="C12" s="7" t="inlineStr">
        <is>
          <t>Math</t>
        </is>
      </c>
      <c r="D12" s="7" t="inlineStr">
        <is>
          <t>Place Value</t>
        </is>
      </c>
      <c r="E12" s="7" t="inlineStr">
        <is>
          <t>Students will be able to understand place value</t>
        </is>
      </c>
      <c r="F12" s="7" t="inlineStr">
        <is>
          <t>Textbook, worksheets, manipulatives</t>
        </is>
      </c>
      <c r="G12" s="7" t="inlineStr">
        <is>
          <t>Guided practice, group work on place value</t>
        </is>
      </c>
      <c r="H12" s="7" t="inlineStr">
        <is>
          <t>Exit ticket + worksheet</t>
        </is>
      </c>
      <c r="I12" s="7" t="inlineStr">
        <is>
          <t>Pg. 138 problems 9-20</t>
        </is>
      </c>
      <c r="J12" s="7" t="inlineStr">
        <is>
          <t>CCSS.MA.1.9</t>
        </is>
      </c>
      <c r="K12" s="7" t="inlineStr"/>
    </row>
    <row r="13" ht="28" customHeight="1">
      <c r="A13" s="9" t="n">
        <v>10</v>
      </c>
      <c r="B13" s="10" t="inlineStr">
        <is>
          <t>10/19 - 10/23/2026</t>
        </is>
      </c>
      <c r="C13" s="10" t="inlineStr">
        <is>
          <t>ELA</t>
        </is>
      </c>
      <c r="D13" s="10" t="inlineStr">
        <is>
          <t>Narrative Writing</t>
        </is>
      </c>
      <c r="E13" s="10" t="inlineStr">
        <is>
          <t>Students will be able to understand narrative writing</t>
        </is>
      </c>
      <c r="F13" s="10" t="inlineStr">
        <is>
          <t>Textbook, worksheets, manipulatives</t>
        </is>
      </c>
      <c r="G13" s="10" t="inlineStr">
        <is>
          <t>Guided practice, group work on narrative writing</t>
        </is>
      </c>
      <c r="H13" s="10" t="inlineStr">
        <is>
          <t>Exit ticket + worksheet</t>
        </is>
      </c>
      <c r="I13" s="10" t="inlineStr">
        <is>
          <t>Pg. 30 problems 3-17</t>
        </is>
      </c>
      <c r="J13" s="10" t="inlineStr">
        <is>
          <t>CCSS.EL.5.2</t>
        </is>
      </c>
      <c r="K13" s="10" t="inlineStr"/>
    </row>
    <row r="14" ht="28" customHeight="1">
      <c r="A14" s="6" t="n">
        <v>11</v>
      </c>
      <c r="B14" s="7" t="inlineStr">
        <is>
          <t>10/26 - 10/30/2026</t>
        </is>
      </c>
      <c r="C14" s="7" t="inlineStr">
        <is>
          <t>Science</t>
        </is>
      </c>
      <c r="D14" s="7" t="inlineStr">
        <is>
          <t>Earth &amp; Space</t>
        </is>
      </c>
      <c r="E14" s="7" t="inlineStr">
        <is>
          <t>Students will be able to understand earth &amp; space</t>
        </is>
      </c>
      <c r="F14" s="7" t="inlineStr">
        <is>
          <t>Textbook, worksheets, manipulatives</t>
        </is>
      </c>
      <c r="G14" s="7" t="inlineStr">
        <is>
          <t>Guided practice, group work on earth &amp; space</t>
        </is>
      </c>
      <c r="H14" s="7" t="inlineStr">
        <is>
          <t>Exit ticket + worksheet</t>
        </is>
      </c>
      <c r="I14" s="7" t="inlineStr">
        <is>
          <t>Pg. 182 problems 4-27</t>
        </is>
      </c>
      <c r="J14" s="7" t="inlineStr">
        <is>
          <t>CCSS.SC.1.4</t>
        </is>
      </c>
      <c r="K14" s="7" t="inlineStr"/>
    </row>
    <row r="15" ht="28" customHeight="1">
      <c r="A15" s="9" t="n">
        <v>12</v>
      </c>
      <c r="B15" s="10" t="inlineStr">
        <is>
          <t>11/02 - 11/06/2026</t>
        </is>
      </c>
      <c r="C15" s="10" t="inlineStr">
        <is>
          <t>Social Studies</t>
        </is>
      </c>
      <c r="D15" s="10" t="inlineStr">
        <is>
          <t>Economics</t>
        </is>
      </c>
      <c r="E15" s="10" t="inlineStr">
        <is>
          <t>Students will be able to understand economics</t>
        </is>
      </c>
      <c r="F15" s="10" t="inlineStr">
        <is>
          <t>Textbook, worksheets, manipulatives</t>
        </is>
      </c>
      <c r="G15" s="10" t="inlineStr">
        <is>
          <t>Guided practice, group work on economics</t>
        </is>
      </c>
      <c r="H15" s="10" t="inlineStr">
        <is>
          <t>Exit ticket + worksheet</t>
        </is>
      </c>
      <c r="I15" s="10" t="inlineStr">
        <is>
          <t>Pg. 158 problems 10-16</t>
        </is>
      </c>
      <c r="J15" s="10" t="inlineStr">
        <is>
          <t>CCSS.SO.5.2</t>
        </is>
      </c>
      <c r="K15" s="10" t="inlineStr"/>
    </row>
    <row r="16" ht="28" customHeight="1">
      <c r="A16" s="6" t="n">
        <v>13</v>
      </c>
      <c r="B16" s="7" t="inlineStr">
        <is>
          <t>11/09 - 11/13/2026</t>
        </is>
      </c>
      <c r="C16" s="7" t="inlineStr">
        <is>
          <t>Math</t>
        </is>
      </c>
      <c r="D16" s="7" t="inlineStr">
        <is>
          <t>Fractions</t>
        </is>
      </c>
      <c r="E16" s="7" t="inlineStr">
        <is>
          <t>Students will be able to understand fractions</t>
        </is>
      </c>
      <c r="F16" s="7" t="inlineStr">
        <is>
          <t>Textbook, worksheets, manipulatives</t>
        </is>
      </c>
      <c r="G16" s="7" t="inlineStr">
        <is>
          <t>Guided practice, group work on fractions</t>
        </is>
      </c>
      <c r="H16" s="7" t="inlineStr">
        <is>
          <t>Exit ticket + worksheet</t>
        </is>
      </c>
      <c r="I16" s="7" t="inlineStr">
        <is>
          <t>Pg. 117 problems 10-25</t>
        </is>
      </c>
      <c r="J16" s="7" t="inlineStr">
        <is>
          <t>CCSS.MA.3.4</t>
        </is>
      </c>
      <c r="K16" s="7" t="inlineStr"/>
    </row>
    <row r="17" ht="28" customHeight="1">
      <c r="A17" s="9" t="n">
        <v>14</v>
      </c>
      <c r="B17" s="10" t="inlineStr">
        <is>
          <t>11/16 - 11/20/2026</t>
        </is>
      </c>
      <c r="C17" s="10" t="inlineStr">
        <is>
          <t>ELA</t>
        </is>
      </c>
      <c r="D17" s="10" t="inlineStr">
        <is>
          <t>Informational Text</t>
        </is>
      </c>
      <c r="E17" s="10" t="inlineStr">
        <is>
          <t>Students will be able to understand informational text</t>
        </is>
      </c>
      <c r="F17" s="10" t="inlineStr">
        <is>
          <t>Textbook, worksheets, manipulatives</t>
        </is>
      </c>
      <c r="G17" s="10" t="inlineStr">
        <is>
          <t>Guided practice, group work on informational text</t>
        </is>
      </c>
      <c r="H17" s="10" t="inlineStr">
        <is>
          <t>Exit ticket + worksheet</t>
        </is>
      </c>
      <c r="I17" s="10" t="inlineStr">
        <is>
          <t>Pg. 181 problems 6-22</t>
        </is>
      </c>
      <c r="J17" s="10" t="inlineStr">
        <is>
          <t>CCSS.EL.3.7</t>
        </is>
      </c>
      <c r="K17" s="10" t="inlineStr"/>
    </row>
    <row r="18" ht="28" customHeight="1">
      <c r="A18" s="6" t="n">
        <v>15</v>
      </c>
      <c r="B18" s="7" t="inlineStr">
        <is>
          <t>11/23 - 11/27/2026</t>
        </is>
      </c>
      <c r="C18" s="7" t="inlineStr">
        <is>
          <t>Science</t>
        </is>
      </c>
      <c r="D18" s="7" t="inlineStr">
        <is>
          <t>Simple Machines</t>
        </is>
      </c>
      <c r="E18" s="7" t="inlineStr">
        <is>
          <t>Students will be able to understand simple machines</t>
        </is>
      </c>
      <c r="F18" s="7" t="inlineStr">
        <is>
          <t>Textbook, worksheets, manipulatives</t>
        </is>
      </c>
      <c r="G18" s="7" t="inlineStr">
        <is>
          <t>Guided practice, group work on simple machines</t>
        </is>
      </c>
      <c r="H18" s="7" t="inlineStr">
        <is>
          <t>Exit ticket + worksheet</t>
        </is>
      </c>
      <c r="I18" s="7" t="inlineStr">
        <is>
          <t>Pg. 43 problems 5-29</t>
        </is>
      </c>
      <c r="J18" s="7" t="inlineStr">
        <is>
          <t>CCSS.SC.3.2</t>
        </is>
      </c>
      <c r="K18" s="7" t="inlineStr"/>
    </row>
    <row r="19" ht="28" customHeight="1">
      <c r="A19" s="9" t="n">
        <v>16</v>
      </c>
      <c r="B19" s="10" t="inlineStr">
        <is>
          <t>11/30 - 12/04/2026</t>
        </is>
      </c>
      <c r="C19" s="10" t="inlineStr">
        <is>
          <t>Art</t>
        </is>
      </c>
      <c r="D19" s="10" t="inlineStr">
        <is>
          <t>Crafts</t>
        </is>
      </c>
      <c r="E19" s="10" t="inlineStr">
        <is>
          <t>Students will be able to understand crafts</t>
        </is>
      </c>
      <c r="F19" s="10" t="inlineStr">
        <is>
          <t>Textbook, worksheets, manipulatives</t>
        </is>
      </c>
      <c r="G19" s="10" t="inlineStr">
        <is>
          <t>Guided practice, group work on crafts</t>
        </is>
      </c>
      <c r="H19" s="10" t="inlineStr">
        <is>
          <t>Exit ticket + worksheet</t>
        </is>
      </c>
      <c r="I19" s="10" t="inlineStr">
        <is>
          <t>Pg. 12 problems 8-18</t>
        </is>
      </c>
      <c r="J19" s="10" t="inlineStr">
        <is>
          <t>CCSS.AR.1.9</t>
        </is>
      </c>
      <c r="K19" s="10" t="inlineStr"/>
    </row>
    <row r="20" ht="28" customHeight="1">
      <c r="A20" s="6" t="n">
        <v>17</v>
      </c>
      <c r="B20" s="7" t="inlineStr">
        <is>
          <t>12/07 - 12/11/2026</t>
        </is>
      </c>
      <c r="C20" s="7" t="inlineStr">
        <is>
          <t>Math</t>
        </is>
      </c>
      <c r="D20" s="7" t="inlineStr">
        <is>
          <t>Place Value</t>
        </is>
      </c>
      <c r="E20" s="7" t="inlineStr">
        <is>
          <t>Students will be able to understand place value</t>
        </is>
      </c>
      <c r="F20" s="7" t="inlineStr">
        <is>
          <t>Textbook, worksheets, manipulatives</t>
        </is>
      </c>
      <c r="G20" s="7" t="inlineStr">
        <is>
          <t>Guided practice, group work on place value</t>
        </is>
      </c>
      <c r="H20" s="7" t="inlineStr">
        <is>
          <t>Exit ticket + worksheet</t>
        </is>
      </c>
      <c r="I20" s="7" t="inlineStr">
        <is>
          <t>Pg. 64 problems 9-23</t>
        </is>
      </c>
      <c r="J20" s="7" t="inlineStr">
        <is>
          <t>CCSS.MA.2.6</t>
        </is>
      </c>
      <c r="K20" s="7" t="inlineStr"/>
    </row>
    <row r="21" ht="28" customHeight="1">
      <c r="A21" s="9" t="n">
        <v>18</v>
      </c>
      <c r="B21" s="10" t="inlineStr">
        <is>
          <t>12/14 - 12/18/2026</t>
        </is>
      </c>
      <c r="C21" s="10" t="inlineStr">
        <is>
          <t>ELA</t>
        </is>
      </c>
      <c r="D21" s="10" t="inlineStr">
        <is>
          <t>Narrative Writing</t>
        </is>
      </c>
      <c r="E21" s="10" t="inlineStr">
        <is>
          <t>Students will be able to understand narrative writing</t>
        </is>
      </c>
      <c r="F21" s="10" t="inlineStr">
        <is>
          <t>Textbook, worksheets, manipulatives</t>
        </is>
      </c>
      <c r="G21" s="10" t="inlineStr">
        <is>
          <t>Guided practice, group work on narrative writing</t>
        </is>
      </c>
      <c r="H21" s="10" t="inlineStr">
        <is>
          <t>Exit ticket + worksheet</t>
        </is>
      </c>
      <c r="I21" s="10" t="inlineStr">
        <is>
          <t>Pg. 27 problems 4-26</t>
        </is>
      </c>
      <c r="J21" s="10" t="inlineStr">
        <is>
          <t>CCSS.EL.3.3</t>
        </is>
      </c>
      <c r="K21" s="10" t="inlineStr"/>
    </row>
    <row r="22" ht="28" customHeight="1">
      <c r="A22" s="6" t="n">
        <v>19</v>
      </c>
      <c r="B22" s="7" t="inlineStr">
        <is>
          <t>12/21 - 12/25/2026</t>
        </is>
      </c>
      <c r="C22" s="7" t="inlineStr">
        <is>
          <t>Science</t>
        </is>
      </c>
      <c r="D22" s="7" t="inlineStr">
        <is>
          <t>Earth &amp; Space</t>
        </is>
      </c>
      <c r="E22" s="7" t="inlineStr">
        <is>
          <t>Students will be able to understand earth &amp; space</t>
        </is>
      </c>
      <c r="F22" s="7" t="inlineStr">
        <is>
          <t>Textbook, worksheets, manipulatives</t>
        </is>
      </c>
      <c r="G22" s="7" t="inlineStr">
        <is>
          <t>Guided practice, group work on earth &amp; space</t>
        </is>
      </c>
      <c r="H22" s="7" t="inlineStr">
        <is>
          <t>Exit ticket + worksheet</t>
        </is>
      </c>
      <c r="I22" s="7" t="inlineStr">
        <is>
          <t>Pg. 122 problems 9-24</t>
        </is>
      </c>
      <c r="J22" s="7" t="inlineStr">
        <is>
          <t>CCSS.SC.5.9</t>
        </is>
      </c>
      <c r="K22" s="7" t="inlineStr"/>
    </row>
    <row r="23" ht="28" customHeight="1">
      <c r="A23" s="9" t="n">
        <v>20</v>
      </c>
      <c r="B23" s="10" t="inlineStr">
        <is>
          <t>12/28 - 01/01/2027</t>
        </is>
      </c>
      <c r="C23" s="10" t="inlineStr">
        <is>
          <t>Social Studies</t>
        </is>
      </c>
      <c r="D23" s="10" t="inlineStr">
        <is>
          <t>Economics</t>
        </is>
      </c>
      <c r="E23" s="10" t="inlineStr">
        <is>
          <t>Students will be able to understand economics</t>
        </is>
      </c>
      <c r="F23" s="10" t="inlineStr">
        <is>
          <t>Textbook, worksheets, manipulatives</t>
        </is>
      </c>
      <c r="G23" s="10" t="inlineStr">
        <is>
          <t>Guided practice, group work on economics</t>
        </is>
      </c>
      <c r="H23" s="10" t="inlineStr">
        <is>
          <t>Exit ticket + worksheet</t>
        </is>
      </c>
      <c r="I23" s="10" t="inlineStr">
        <is>
          <t>Pg. 12 problems 9-24</t>
        </is>
      </c>
      <c r="J23" s="10" t="inlineStr">
        <is>
          <t>CCSS.SO.1.3</t>
        </is>
      </c>
      <c r="K23" s="10" t="inlineStr"/>
    </row>
    <row r="24" ht="28" customHeight="1">
      <c r="A24" s="6" t="n">
        <v>21</v>
      </c>
      <c r="B24" s="7" t="inlineStr">
        <is>
          <t>01/04 - 01/08/2027</t>
        </is>
      </c>
      <c r="C24" s="7" t="inlineStr">
        <is>
          <t>Math</t>
        </is>
      </c>
      <c r="D24" s="7" t="inlineStr">
        <is>
          <t>Fractions</t>
        </is>
      </c>
      <c r="E24" s="7" t="inlineStr">
        <is>
          <t>Students will be able to understand fractions</t>
        </is>
      </c>
      <c r="F24" s="7" t="inlineStr">
        <is>
          <t>Textbook, worksheets, manipulatives</t>
        </is>
      </c>
      <c r="G24" s="7" t="inlineStr">
        <is>
          <t>Guided practice, group work on fractions</t>
        </is>
      </c>
      <c r="H24" s="7" t="inlineStr">
        <is>
          <t>Exit ticket + worksheet</t>
        </is>
      </c>
      <c r="I24" s="7" t="inlineStr">
        <is>
          <t>Pg. 77 problems 2-18</t>
        </is>
      </c>
      <c r="J24" s="7" t="inlineStr">
        <is>
          <t>CCSS.MA.5.3</t>
        </is>
      </c>
      <c r="K24" s="7" t="inlineStr"/>
    </row>
    <row r="25" ht="28" customHeight="1">
      <c r="A25" s="9" t="n">
        <v>22</v>
      </c>
      <c r="B25" s="10" t="inlineStr">
        <is>
          <t>01/11 - 01/15/2027</t>
        </is>
      </c>
      <c r="C25" s="10" t="inlineStr">
        <is>
          <t>ELA</t>
        </is>
      </c>
      <c r="D25" s="10" t="inlineStr">
        <is>
          <t>Informational Text</t>
        </is>
      </c>
      <c r="E25" s="10" t="inlineStr">
        <is>
          <t>Students will be able to understand informational text</t>
        </is>
      </c>
      <c r="F25" s="10" t="inlineStr">
        <is>
          <t>Textbook, worksheets, manipulatives</t>
        </is>
      </c>
      <c r="G25" s="10" t="inlineStr">
        <is>
          <t>Guided practice, group work on informational text</t>
        </is>
      </c>
      <c r="H25" s="10" t="inlineStr">
        <is>
          <t>Exit ticket + worksheet</t>
        </is>
      </c>
      <c r="I25" s="10" t="inlineStr">
        <is>
          <t>Pg. 79 problems 5-21</t>
        </is>
      </c>
      <c r="J25" s="10" t="inlineStr">
        <is>
          <t>CCSS.EL.3.4</t>
        </is>
      </c>
      <c r="K25" s="10" t="inlineStr"/>
    </row>
    <row r="26" ht="28" customHeight="1">
      <c r="A26" s="6" t="n">
        <v>23</v>
      </c>
      <c r="B26" s="7" t="inlineStr">
        <is>
          <t>01/18 - 01/22/2027</t>
        </is>
      </c>
      <c r="C26" s="7" t="inlineStr">
        <is>
          <t>Science</t>
        </is>
      </c>
      <c r="D26" s="7" t="inlineStr">
        <is>
          <t>Simple Machines</t>
        </is>
      </c>
      <c r="E26" s="7" t="inlineStr">
        <is>
          <t>Students will be able to understand simple machines</t>
        </is>
      </c>
      <c r="F26" s="7" t="inlineStr">
        <is>
          <t>Textbook, worksheets, manipulatives</t>
        </is>
      </c>
      <c r="G26" s="7" t="inlineStr">
        <is>
          <t>Guided practice, group work on simple machines</t>
        </is>
      </c>
      <c r="H26" s="7" t="inlineStr">
        <is>
          <t>Exit ticket + worksheet</t>
        </is>
      </c>
      <c r="I26" s="7" t="inlineStr">
        <is>
          <t>Pg. 185 problems 5-30</t>
        </is>
      </c>
      <c r="J26" s="7" t="inlineStr">
        <is>
          <t>CCSS.SC.3.1</t>
        </is>
      </c>
      <c r="K26" s="7" t="inlineStr"/>
    </row>
    <row r="27" ht="28" customHeight="1">
      <c r="A27" s="9" t="n">
        <v>24</v>
      </c>
      <c r="B27" s="10" t="inlineStr">
        <is>
          <t>01/25 - 01/29/2027</t>
        </is>
      </c>
      <c r="C27" s="10" t="inlineStr">
        <is>
          <t>Art</t>
        </is>
      </c>
      <c r="D27" s="10" t="inlineStr">
        <is>
          <t>Crafts</t>
        </is>
      </c>
      <c r="E27" s="10" t="inlineStr">
        <is>
          <t>Students will be able to understand crafts</t>
        </is>
      </c>
      <c r="F27" s="10" t="inlineStr">
        <is>
          <t>Textbook, worksheets, manipulatives</t>
        </is>
      </c>
      <c r="G27" s="10" t="inlineStr">
        <is>
          <t>Guided practice, group work on crafts</t>
        </is>
      </c>
      <c r="H27" s="10" t="inlineStr">
        <is>
          <t>Exit ticket + worksheet</t>
        </is>
      </c>
      <c r="I27" s="10" t="inlineStr">
        <is>
          <t>Pg. 33 problems 7-23</t>
        </is>
      </c>
      <c r="J27" s="10" t="inlineStr">
        <is>
          <t>CCSS.AR.1.1</t>
        </is>
      </c>
      <c r="K27" s="10" t="inlineStr"/>
    </row>
    <row r="28" ht="28" customHeight="1">
      <c r="A28" s="6" t="n">
        <v>25</v>
      </c>
      <c r="B28" s="7" t="inlineStr">
        <is>
          <t>02/01 - 02/05/2027</t>
        </is>
      </c>
      <c r="C28" s="7" t="inlineStr">
        <is>
          <t>Math</t>
        </is>
      </c>
      <c r="D28" s="7" t="inlineStr">
        <is>
          <t>Place Value</t>
        </is>
      </c>
      <c r="E28" s="7" t="inlineStr">
        <is>
          <t>Students will be able to understand place value</t>
        </is>
      </c>
      <c r="F28" s="7" t="inlineStr">
        <is>
          <t>Textbook, worksheets, manipulatives</t>
        </is>
      </c>
      <c r="G28" s="7" t="inlineStr">
        <is>
          <t>Guided practice, group work on place value</t>
        </is>
      </c>
      <c r="H28" s="7" t="inlineStr">
        <is>
          <t>Exit ticket + worksheet</t>
        </is>
      </c>
      <c r="I28" s="7" t="inlineStr">
        <is>
          <t>Pg. 95 problems 3-23</t>
        </is>
      </c>
      <c r="J28" s="7" t="inlineStr">
        <is>
          <t>CCSS.MA.2.8</t>
        </is>
      </c>
      <c r="K28" s="7" t="inlineStr"/>
    </row>
    <row r="29" ht="28" customHeight="1">
      <c r="A29" s="9" t="n">
        <v>26</v>
      </c>
      <c r="B29" s="10" t="inlineStr">
        <is>
          <t>02/08 - 02/12/2027</t>
        </is>
      </c>
      <c r="C29" s="10" t="inlineStr">
        <is>
          <t>ELA</t>
        </is>
      </c>
      <c r="D29" s="10" t="inlineStr">
        <is>
          <t>Narrative Writing</t>
        </is>
      </c>
      <c r="E29" s="10" t="inlineStr">
        <is>
          <t>Students will be able to understand narrative writing</t>
        </is>
      </c>
      <c r="F29" s="10" t="inlineStr">
        <is>
          <t>Textbook, worksheets, manipulatives</t>
        </is>
      </c>
      <c r="G29" s="10" t="inlineStr">
        <is>
          <t>Guided practice, group work on narrative writing</t>
        </is>
      </c>
      <c r="H29" s="10" t="inlineStr">
        <is>
          <t>Exit ticket + worksheet</t>
        </is>
      </c>
      <c r="I29" s="10" t="inlineStr">
        <is>
          <t>Pg. 151 problems 7-15</t>
        </is>
      </c>
      <c r="J29" s="10" t="inlineStr">
        <is>
          <t>CCSS.EL.1.2</t>
        </is>
      </c>
      <c r="K29" s="10" t="inlineStr"/>
    </row>
    <row r="30" ht="28" customHeight="1">
      <c r="A30" s="6" t="n">
        <v>27</v>
      </c>
      <c r="B30" s="7" t="inlineStr">
        <is>
          <t>02/15 - 02/19/2027</t>
        </is>
      </c>
      <c r="C30" s="7" t="inlineStr">
        <is>
          <t>Science</t>
        </is>
      </c>
      <c r="D30" s="7" t="inlineStr">
        <is>
          <t>Earth &amp; Space</t>
        </is>
      </c>
      <c r="E30" s="7" t="inlineStr">
        <is>
          <t>Students will be able to understand earth &amp; space</t>
        </is>
      </c>
      <c r="F30" s="7" t="inlineStr">
        <is>
          <t>Textbook, worksheets, manipulatives</t>
        </is>
      </c>
      <c r="G30" s="7" t="inlineStr">
        <is>
          <t>Guided practice, group work on earth &amp; space</t>
        </is>
      </c>
      <c r="H30" s="7" t="inlineStr">
        <is>
          <t>Exit ticket + worksheet</t>
        </is>
      </c>
      <c r="I30" s="7" t="inlineStr">
        <is>
          <t>Pg. 186 problems 3-16</t>
        </is>
      </c>
      <c r="J30" s="7" t="inlineStr">
        <is>
          <t>CCSS.SC.3.9</t>
        </is>
      </c>
      <c r="K30" s="7" t="inlineStr"/>
    </row>
    <row r="31" ht="28" customHeight="1">
      <c r="A31" s="9" t="n">
        <v>28</v>
      </c>
      <c r="B31" s="10" t="inlineStr">
        <is>
          <t>02/22 - 02/26/2027</t>
        </is>
      </c>
      <c r="C31" s="10" t="inlineStr">
        <is>
          <t>Social Studies</t>
        </is>
      </c>
      <c r="D31" s="10" t="inlineStr">
        <is>
          <t>Economics</t>
        </is>
      </c>
      <c r="E31" s="10" t="inlineStr">
        <is>
          <t>Students will be able to understand economics</t>
        </is>
      </c>
      <c r="F31" s="10" t="inlineStr">
        <is>
          <t>Textbook, worksheets, manipulatives</t>
        </is>
      </c>
      <c r="G31" s="10" t="inlineStr">
        <is>
          <t>Guided practice, group work on economics</t>
        </is>
      </c>
      <c r="H31" s="10" t="inlineStr">
        <is>
          <t>Exit ticket + worksheet</t>
        </is>
      </c>
      <c r="I31" s="10" t="inlineStr">
        <is>
          <t>Pg. 47 problems 7-19</t>
        </is>
      </c>
      <c r="J31" s="10" t="inlineStr">
        <is>
          <t>CCSS.SO.1.5</t>
        </is>
      </c>
      <c r="K31" s="10" t="inlineStr"/>
    </row>
    <row r="32" ht="28" customHeight="1">
      <c r="A32" s="6" t="n">
        <v>29</v>
      </c>
      <c r="B32" s="7" t="inlineStr">
        <is>
          <t>03/01 - 03/05/2027</t>
        </is>
      </c>
      <c r="C32" s="7" t="inlineStr">
        <is>
          <t>Math</t>
        </is>
      </c>
      <c r="D32" s="7" t="inlineStr">
        <is>
          <t>Fractions</t>
        </is>
      </c>
      <c r="E32" s="7" t="inlineStr">
        <is>
          <t>Students will be able to understand fractions</t>
        </is>
      </c>
      <c r="F32" s="7" t="inlineStr">
        <is>
          <t>Textbook, worksheets, manipulatives</t>
        </is>
      </c>
      <c r="G32" s="7" t="inlineStr">
        <is>
          <t>Guided practice, group work on fractions</t>
        </is>
      </c>
      <c r="H32" s="7" t="inlineStr">
        <is>
          <t>Exit ticket + worksheet</t>
        </is>
      </c>
      <c r="I32" s="7" t="inlineStr">
        <is>
          <t>Pg. 103 problems 1-26</t>
        </is>
      </c>
      <c r="J32" s="7" t="inlineStr">
        <is>
          <t>CCSS.MA.2.4</t>
        </is>
      </c>
      <c r="K32" s="7" t="inlineStr"/>
    </row>
    <row r="33" ht="28" customHeight="1">
      <c r="A33" s="9" t="n">
        <v>30</v>
      </c>
      <c r="B33" s="10" t="inlineStr">
        <is>
          <t>03/08 - 03/12/2027</t>
        </is>
      </c>
      <c r="C33" s="10" t="inlineStr">
        <is>
          <t>ELA</t>
        </is>
      </c>
      <c r="D33" s="10" t="inlineStr">
        <is>
          <t>Informational Text</t>
        </is>
      </c>
      <c r="E33" s="10" t="inlineStr">
        <is>
          <t>Students will be able to understand informational text</t>
        </is>
      </c>
      <c r="F33" s="10" t="inlineStr">
        <is>
          <t>Textbook, worksheets, manipulatives</t>
        </is>
      </c>
      <c r="G33" s="10" t="inlineStr">
        <is>
          <t>Guided practice, group work on informational text</t>
        </is>
      </c>
      <c r="H33" s="10" t="inlineStr">
        <is>
          <t>Exit ticket + worksheet</t>
        </is>
      </c>
      <c r="I33" s="10" t="inlineStr">
        <is>
          <t>Pg. 180 problems 2-26</t>
        </is>
      </c>
      <c r="J33" s="10" t="inlineStr">
        <is>
          <t>CCSS.EL.5.7</t>
        </is>
      </c>
      <c r="K33" s="10" t="inlineStr"/>
    </row>
    <row r="34" ht="28" customHeight="1">
      <c r="A34" s="6" t="n">
        <v>31</v>
      </c>
      <c r="B34" s="7" t="inlineStr">
        <is>
          <t>03/15 - 03/19/2027</t>
        </is>
      </c>
      <c r="C34" s="7" t="inlineStr">
        <is>
          <t>Science</t>
        </is>
      </c>
      <c r="D34" s="7" t="inlineStr">
        <is>
          <t>Simple Machines</t>
        </is>
      </c>
      <c r="E34" s="7" t="inlineStr">
        <is>
          <t>Students will be able to understand simple machines</t>
        </is>
      </c>
      <c r="F34" s="7" t="inlineStr">
        <is>
          <t>Textbook, worksheets, manipulatives</t>
        </is>
      </c>
      <c r="G34" s="7" t="inlineStr">
        <is>
          <t>Guided practice, group work on simple machines</t>
        </is>
      </c>
      <c r="H34" s="7" t="inlineStr">
        <is>
          <t>Exit ticket + worksheet</t>
        </is>
      </c>
      <c r="I34" s="7" t="inlineStr">
        <is>
          <t>Pg. 168 problems 3-22</t>
        </is>
      </c>
      <c r="J34" s="7" t="inlineStr">
        <is>
          <t>CCSS.SC.2.3</t>
        </is>
      </c>
      <c r="K34" s="7" t="inlineStr"/>
    </row>
    <row r="35" ht="28" customHeight="1">
      <c r="A35" s="9" t="n">
        <v>32</v>
      </c>
      <c r="B35" s="10" t="inlineStr">
        <is>
          <t>03/22 - 03/26/2027</t>
        </is>
      </c>
      <c r="C35" s="10" t="inlineStr">
        <is>
          <t>Art</t>
        </is>
      </c>
      <c r="D35" s="10" t="inlineStr">
        <is>
          <t>Crafts</t>
        </is>
      </c>
      <c r="E35" s="10" t="inlineStr">
        <is>
          <t>Students will be able to understand crafts</t>
        </is>
      </c>
      <c r="F35" s="10" t="inlineStr">
        <is>
          <t>Textbook, worksheets, manipulatives</t>
        </is>
      </c>
      <c r="G35" s="10" t="inlineStr">
        <is>
          <t>Guided practice, group work on crafts</t>
        </is>
      </c>
      <c r="H35" s="10" t="inlineStr">
        <is>
          <t>Exit ticket + worksheet</t>
        </is>
      </c>
      <c r="I35" s="10" t="inlineStr">
        <is>
          <t>Pg. 115 problems 1-20</t>
        </is>
      </c>
      <c r="J35" s="10" t="inlineStr">
        <is>
          <t>CCSS.AR.3.7</t>
        </is>
      </c>
      <c r="K35" s="10" t="inlineStr"/>
    </row>
    <row r="36" ht="28" customHeight="1">
      <c r="A36" s="6" t="n">
        <v>33</v>
      </c>
      <c r="B36" s="7" t="inlineStr">
        <is>
          <t>03/29 - 04/02/2027</t>
        </is>
      </c>
      <c r="C36" s="7" t="inlineStr">
        <is>
          <t>Math</t>
        </is>
      </c>
      <c r="D36" s="7" t="inlineStr">
        <is>
          <t>Place Value</t>
        </is>
      </c>
      <c r="E36" s="7" t="inlineStr">
        <is>
          <t>Students will be able to understand place value</t>
        </is>
      </c>
      <c r="F36" s="7" t="inlineStr">
        <is>
          <t>Textbook, worksheets, manipulatives</t>
        </is>
      </c>
      <c r="G36" s="7" t="inlineStr">
        <is>
          <t>Guided practice, group work on place value</t>
        </is>
      </c>
      <c r="H36" s="7" t="inlineStr">
        <is>
          <t>Exit ticket + worksheet</t>
        </is>
      </c>
      <c r="I36" s="7" t="inlineStr">
        <is>
          <t>Pg. 181 problems 4-23</t>
        </is>
      </c>
      <c r="J36" s="7" t="inlineStr">
        <is>
          <t>CCSS.MA.2.2</t>
        </is>
      </c>
      <c r="K36" s="7" t="inlineStr"/>
    </row>
    <row r="37" ht="28" customHeight="1">
      <c r="A37" s="9" t="n">
        <v>34</v>
      </c>
      <c r="B37" s="10" t="inlineStr">
        <is>
          <t>04/05 - 04/09/2027</t>
        </is>
      </c>
      <c r="C37" s="10" t="inlineStr">
        <is>
          <t>ELA</t>
        </is>
      </c>
      <c r="D37" s="10" t="inlineStr">
        <is>
          <t>Narrative Writing</t>
        </is>
      </c>
      <c r="E37" s="10" t="inlineStr">
        <is>
          <t>Students will be able to understand narrative writing</t>
        </is>
      </c>
      <c r="F37" s="10" t="inlineStr">
        <is>
          <t>Textbook, worksheets, manipulatives</t>
        </is>
      </c>
      <c r="G37" s="10" t="inlineStr">
        <is>
          <t>Guided practice, group work on narrative writing</t>
        </is>
      </c>
      <c r="H37" s="10" t="inlineStr">
        <is>
          <t>Exit ticket + worksheet</t>
        </is>
      </c>
      <c r="I37" s="10" t="inlineStr">
        <is>
          <t>Pg. 107 problems 1-30</t>
        </is>
      </c>
      <c r="J37" s="10" t="inlineStr">
        <is>
          <t>CCSS.EL.2.4</t>
        </is>
      </c>
      <c r="K37" s="10" t="inlineStr"/>
    </row>
    <row r="38" ht="28" customHeight="1">
      <c r="A38" s="6" t="n">
        <v>35</v>
      </c>
      <c r="B38" s="7" t="inlineStr">
        <is>
          <t>04/12 - 04/16/2027</t>
        </is>
      </c>
      <c r="C38" s="7" t="inlineStr">
        <is>
          <t>Science</t>
        </is>
      </c>
      <c r="D38" s="7" t="inlineStr">
        <is>
          <t>Earth &amp; Space</t>
        </is>
      </c>
      <c r="E38" s="7" t="inlineStr">
        <is>
          <t>Students will be able to understand earth &amp; space</t>
        </is>
      </c>
      <c r="F38" s="7" t="inlineStr">
        <is>
          <t>Textbook, worksheets, manipulatives</t>
        </is>
      </c>
      <c r="G38" s="7" t="inlineStr">
        <is>
          <t>Guided practice, group work on earth &amp; space</t>
        </is>
      </c>
      <c r="H38" s="7" t="inlineStr">
        <is>
          <t>Exit ticket + worksheet</t>
        </is>
      </c>
      <c r="I38" s="7" t="inlineStr">
        <is>
          <t>Pg. 127 problems 6-24</t>
        </is>
      </c>
      <c r="J38" s="7" t="inlineStr">
        <is>
          <t>CCSS.SC.2.4</t>
        </is>
      </c>
      <c r="K38" s="7" t="inlineStr"/>
    </row>
    <row r="39" ht="28" customHeight="1">
      <c r="A39" s="9" t="n">
        <v>36</v>
      </c>
      <c r="B39" s="10" t="inlineStr">
        <is>
          <t>04/19 - 04/23/2027</t>
        </is>
      </c>
      <c r="C39" s="10" t="inlineStr">
        <is>
          <t>Social Studies</t>
        </is>
      </c>
      <c r="D39" s="10" t="inlineStr">
        <is>
          <t>Economics</t>
        </is>
      </c>
      <c r="E39" s="10" t="inlineStr">
        <is>
          <t>Students will be able to understand economics</t>
        </is>
      </c>
      <c r="F39" s="10" t="inlineStr">
        <is>
          <t>Textbook, worksheets, manipulatives</t>
        </is>
      </c>
      <c r="G39" s="10" t="inlineStr">
        <is>
          <t>Guided practice, group work on economics</t>
        </is>
      </c>
      <c r="H39" s="10" t="inlineStr">
        <is>
          <t>Exit ticket + worksheet</t>
        </is>
      </c>
      <c r="I39" s="10" t="inlineStr">
        <is>
          <t>Pg. 16 problems 4-27</t>
        </is>
      </c>
      <c r="J39" s="10" t="inlineStr">
        <is>
          <t>CCSS.SO.3.5</t>
        </is>
      </c>
      <c r="K39" s="10" t="inlineStr"/>
    </row>
    <row r="40" ht="28" customHeight="1">
      <c r="A40" s="6" t="n">
        <v>37</v>
      </c>
      <c r="B40" s="7" t="inlineStr">
        <is>
          <t>04/26 - 04/30/2027</t>
        </is>
      </c>
      <c r="C40" s="7" t="inlineStr">
        <is>
          <t>Math</t>
        </is>
      </c>
      <c r="D40" s="7" t="inlineStr">
        <is>
          <t>Fractions</t>
        </is>
      </c>
      <c r="E40" s="7" t="inlineStr">
        <is>
          <t>Students will be able to understand fractions</t>
        </is>
      </c>
      <c r="F40" s="7" t="inlineStr">
        <is>
          <t>Textbook, worksheets, manipulatives</t>
        </is>
      </c>
      <c r="G40" s="7" t="inlineStr">
        <is>
          <t>Guided practice, group work on fractions</t>
        </is>
      </c>
      <c r="H40" s="7" t="inlineStr">
        <is>
          <t>Exit ticket + worksheet</t>
        </is>
      </c>
      <c r="I40" s="7" t="inlineStr">
        <is>
          <t>Pg. 27 problems 5-26</t>
        </is>
      </c>
      <c r="J40" s="7" t="inlineStr">
        <is>
          <t>CCSS.MA.5.7</t>
        </is>
      </c>
      <c r="K40" s="7" t="inlineStr"/>
    </row>
    <row r="41" ht="28" customHeight="1">
      <c r="A41" s="9" t="n">
        <v>38</v>
      </c>
      <c r="B41" s="10" t="inlineStr">
        <is>
          <t>05/03 - 05/07/2027</t>
        </is>
      </c>
      <c r="C41" s="10" t="inlineStr">
        <is>
          <t>ELA</t>
        </is>
      </c>
      <c r="D41" s="10" t="inlineStr">
        <is>
          <t>Informational Text</t>
        </is>
      </c>
      <c r="E41" s="10" t="inlineStr">
        <is>
          <t>Students will be able to understand informational text</t>
        </is>
      </c>
      <c r="F41" s="10" t="inlineStr">
        <is>
          <t>Textbook, worksheets, manipulatives</t>
        </is>
      </c>
      <c r="G41" s="10" t="inlineStr">
        <is>
          <t>Guided practice, group work on informational text</t>
        </is>
      </c>
      <c r="H41" s="10" t="inlineStr">
        <is>
          <t>Exit ticket + worksheet</t>
        </is>
      </c>
      <c r="I41" s="10" t="inlineStr">
        <is>
          <t>Pg. 183 problems 9-25</t>
        </is>
      </c>
      <c r="J41" s="10" t="inlineStr">
        <is>
          <t>CCSS.EL.1.2</t>
        </is>
      </c>
      <c r="K41" s="10" t="inlineStr"/>
    </row>
    <row r="42" ht="28" customHeight="1">
      <c r="A42" s="6" t="n">
        <v>39</v>
      </c>
      <c r="B42" s="7" t="inlineStr">
        <is>
          <t>05/10 - 05/14/2027</t>
        </is>
      </c>
      <c r="C42" s="7" t="inlineStr">
        <is>
          <t>Science</t>
        </is>
      </c>
      <c r="D42" s="7" t="inlineStr">
        <is>
          <t>Simple Machines</t>
        </is>
      </c>
      <c r="E42" s="7" t="inlineStr">
        <is>
          <t>Students will be able to understand simple machines</t>
        </is>
      </c>
      <c r="F42" s="7" t="inlineStr">
        <is>
          <t>Textbook, worksheets, manipulatives</t>
        </is>
      </c>
      <c r="G42" s="7" t="inlineStr">
        <is>
          <t>Guided practice, group work on simple machines</t>
        </is>
      </c>
      <c r="H42" s="7" t="inlineStr">
        <is>
          <t>Exit ticket + worksheet</t>
        </is>
      </c>
      <c r="I42" s="7" t="inlineStr">
        <is>
          <t>Pg. 76 problems 3-23</t>
        </is>
      </c>
      <c r="J42" s="7" t="inlineStr">
        <is>
          <t>CCSS.SC.1.2</t>
        </is>
      </c>
      <c r="K42" s="7" t="inlineStr"/>
    </row>
    <row r="43" ht="28" customHeight="1">
      <c r="A43" s="9" t="n">
        <v>40</v>
      </c>
      <c r="B43" s="10" t="inlineStr">
        <is>
          <t>05/17 - 05/21/2027</t>
        </is>
      </c>
      <c r="C43" s="10" t="inlineStr">
        <is>
          <t>Art</t>
        </is>
      </c>
      <c r="D43" s="10" t="inlineStr">
        <is>
          <t>Crafts</t>
        </is>
      </c>
      <c r="E43" s="10" t="inlineStr">
        <is>
          <t>Students will be able to understand crafts</t>
        </is>
      </c>
      <c r="F43" s="10" t="inlineStr">
        <is>
          <t>Textbook, worksheets, manipulatives</t>
        </is>
      </c>
      <c r="G43" s="10" t="inlineStr">
        <is>
          <t>Guided practice, group work on crafts</t>
        </is>
      </c>
      <c r="H43" s="10" t="inlineStr">
        <is>
          <t>Exit ticket + worksheet</t>
        </is>
      </c>
      <c r="I43" s="10" t="inlineStr">
        <is>
          <t>Pg. 162 problems 7-26</t>
        </is>
      </c>
      <c r="J43" s="10" t="inlineStr">
        <is>
          <t>CCSS.AR.3.7</t>
        </is>
      </c>
      <c r="K43" s="10" t="inlineStr"/>
    </row>
  </sheetData>
  <autoFilter ref="A3:K43"/>
  <mergeCells count="2">
    <mergeCell ref="A2:K2"/>
    <mergeCell ref="A1:K1"/>
  </mergeCells>
  <dataValidations count="1">
    <dataValidation sqref="C4:C43" showDropDown="0" showInputMessage="0" showErrorMessage="0" allowBlank="1" error="Please select a valid subject" prompt="Choose a subject" type="list">
      <formula1>"Math,ELA,Science,Social Studies,Art,Music,PE,Library"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A169"/>
    <outlinePr summaryBelow="1" summaryRight="1"/>
    <pageSetUpPr/>
  </sheetPr>
  <dimension ref="A1:W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12" customWidth="1" min="23" max="23"/>
  </cols>
  <sheetData>
    <row r="1" ht="45" customHeight="1">
      <c r="A1" s="22" t="inlineStr">
        <is>
          <t>GRADE TRACKER  |  Teacher Classroom Planner 2026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</row>
    <row r="2" ht="25" customHeight="1">
      <c r="A2" s="24" t="inlineStr">
        <is>
          <t>Track 20 assignments per student with automatic averages and letter grades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</row>
    <row r="3" ht="30" customHeight="1">
      <c r="A3" s="26" t="inlineStr">
        <is>
          <t>Student Name</t>
        </is>
      </c>
      <c r="B3" s="26" t="inlineStr">
        <is>
          <t>Assgn 1</t>
        </is>
      </c>
      <c r="C3" s="26" t="inlineStr">
        <is>
          <t>Assgn 2</t>
        </is>
      </c>
      <c r="D3" s="26" t="inlineStr">
        <is>
          <t>Assgn 3</t>
        </is>
      </c>
      <c r="E3" s="26" t="inlineStr">
        <is>
          <t>Assgn 4</t>
        </is>
      </c>
      <c r="F3" s="26" t="inlineStr">
        <is>
          <t>Assgn 5</t>
        </is>
      </c>
      <c r="G3" s="26" t="inlineStr">
        <is>
          <t>Assgn 6</t>
        </is>
      </c>
      <c r="H3" s="26" t="inlineStr">
        <is>
          <t>Assgn 7</t>
        </is>
      </c>
      <c r="I3" s="26" t="inlineStr">
        <is>
          <t>Assgn 8</t>
        </is>
      </c>
      <c r="J3" s="26" t="inlineStr">
        <is>
          <t>Assgn 9</t>
        </is>
      </c>
      <c r="K3" s="26" t="inlineStr">
        <is>
          <t>Assgn 10</t>
        </is>
      </c>
      <c r="L3" s="26" t="inlineStr">
        <is>
          <t>Assgn 11</t>
        </is>
      </c>
      <c r="M3" s="26" t="inlineStr">
        <is>
          <t>Assgn 12</t>
        </is>
      </c>
      <c r="N3" s="26" t="inlineStr">
        <is>
          <t>Assgn 13</t>
        </is>
      </c>
      <c r="O3" s="26" t="inlineStr">
        <is>
          <t>Assgn 14</t>
        </is>
      </c>
      <c r="P3" s="26" t="inlineStr">
        <is>
          <t>Assgn 15</t>
        </is>
      </c>
      <c r="Q3" s="26" t="inlineStr">
        <is>
          <t>Assgn 16</t>
        </is>
      </c>
      <c r="R3" s="26" t="inlineStr">
        <is>
          <t>Assgn 17</t>
        </is>
      </c>
      <c r="S3" s="26" t="inlineStr">
        <is>
          <t>Assgn 18</t>
        </is>
      </c>
      <c r="T3" s="26" t="inlineStr">
        <is>
          <t>Assgn 19</t>
        </is>
      </c>
      <c r="U3" s="26" t="inlineStr">
        <is>
          <t>Assgn 20</t>
        </is>
      </c>
      <c r="V3" s="26" t="inlineStr">
        <is>
          <t>Average</t>
        </is>
      </c>
      <c r="W3" s="26" t="inlineStr">
        <is>
          <t>Letter Grade</t>
        </is>
      </c>
    </row>
    <row r="4" ht="22" customHeight="1">
      <c r="A4" s="6" t="inlineStr">
        <is>
          <t>Emma Smith</t>
        </is>
      </c>
      <c r="B4" s="27" t="n">
        <v>93</v>
      </c>
      <c r="C4" s="7" t="n">
        <v>87</v>
      </c>
      <c r="D4" s="28" t="n">
        <v>62</v>
      </c>
      <c r="E4" s="7" t="n">
        <v>79</v>
      </c>
      <c r="F4" s="27" t="n">
        <v>91</v>
      </c>
      <c r="G4" s="28" t="n">
        <v>67</v>
      </c>
      <c r="H4" s="7" t="n">
        <v>71</v>
      </c>
      <c r="I4" s="28" t="n">
        <v>57</v>
      </c>
      <c r="J4" s="27" t="n">
        <v>100</v>
      </c>
      <c r="K4" s="7" t="n">
        <v>82</v>
      </c>
      <c r="L4" s="28" t="n">
        <v>55</v>
      </c>
      <c r="M4" s="7" t="n">
        <v>88</v>
      </c>
      <c r="N4" s="7" t="n">
        <v>89</v>
      </c>
      <c r="O4" s="27" t="n">
        <v>98</v>
      </c>
      <c r="P4" s="27" t="n">
        <v>97</v>
      </c>
      <c r="Q4" s="28" t="n">
        <v>67</v>
      </c>
      <c r="R4" s="7" t="n">
        <v>78</v>
      </c>
      <c r="S4" s="7" t="n">
        <v>82</v>
      </c>
      <c r="T4" s="28" t="n">
        <v>59</v>
      </c>
      <c r="U4" s="27" t="n">
        <v>97</v>
      </c>
      <c r="V4" s="29">
        <f>AVERAGE(B4:U4)</f>
        <v/>
      </c>
      <c r="W4" s="30">
        <f>IF(V4&gt;=90,"A",IF(V4&gt;=80,"B",IF(V4&gt;=70,"C",IF(V4&gt;=60,"D","F"))))</f>
        <v/>
      </c>
    </row>
    <row r="5" ht="22" customHeight="1">
      <c r="A5" s="9" t="inlineStr">
        <is>
          <t>Liam Johnson</t>
        </is>
      </c>
      <c r="B5" s="10" t="n">
        <v>76</v>
      </c>
      <c r="C5" s="31" t="n">
        <v>94</v>
      </c>
      <c r="D5" s="10" t="n">
        <v>75</v>
      </c>
      <c r="E5" s="31" t="n">
        <v>97</v>
      </c>
      <c r="F5" s="32" t="n">
        <v>62</v>
      </c>
      <c r="G5" s="10" t="n">
        <v>74</v>
      </c>
      <c r="H5" s="10" t="n">
        <v>87</v>
      </c>
      <c r="I5" s="10" t="n">
        <v>74</v>
      </c>
      <c r="J5" s="31" t="n">
        <v>97</v>
      </c>
      <c r="K5" s="10" t="n">
        <v>81</v>
      </c>
      <c r="L5" s="10" t="n">
        <v>75</v>
      </c>
      <c r="M5" s="10" t="n">
        <v>80</v>
      </c>
      <c r="N5" s="31" t="n">
        <v>99</v>
      </c>
      <c r="O5" s="10" t="n">
        <v>73</v>
      </c>
      <c r="P5" s="31" t="n">
        <v>90</v>
      </c>
      <c r="Q5" s="32" t="n">
        <v>63</v>
      </c>
      <c r="R5" s="32" t="n">
        <v>67</v>
      </c>
      <c r="S5" s="10" t="n">
        <v>81</v>
      </c>
      <c r="T5" s="31" t="n">
        <v>97</v>
      </c>
      <c r="U5" s="10" t="n">
        <v>79</v>
      </c>
      <c r="V5" s="33">
        <f>AVERAGE(B5:U5)</f>
        <v/>
      </c>
      <c r="W5" s="34">
        <f>IF(V5&gt;=90,"A",IF(V5&gt;=80,"B",IF(V5&gt;=70,"C",IF(V5&gt;=60,"D","F"))))</f>
        <v/>
      </c>
    </row>
    <row r="6" ht="22" customHeight="1">
      <c r="A6" s="6" t="inlineStr">
        <is>
          <t>Olivia Williams</t>
        </is>
      </c>
      <c r="B6" s="27" t="n">
        <v>98</v>
      </c>
      <c r="C6" s="28" t="n">
        <v>66</v>
      </c>
      <c r="D6" s="27" t="n">
        <v>94</v>
      </c>
      <c r="E6" s="27" t="n">
        <v>91</v>
      </c>
      <c r="F6" s="7" t="n">
        <v>74</v>
      </c>
      <c r="G6" s="7" t="n">
        <v>80</v>
      </c>
      <c r="H6" s="27" t="n">
        <v>90</v>
      </c>
      <c r="I6" s="28" t="n">
        <v>55</v>
      </c>
      <c r="J6" s="7" t="n">
        <v>74</v>
      </c>
      <c r="K6" s="7" t="n">
        <v>73</v>
      </c>
      <c r="L6" s="28" t="n">
        <v>68</v>
      </c>
      <c r="M6" s="7" t="n">
        <v>82</v>
      </c>
      <c r="N6" s="27" t="n">
        <v>92</v>
      </c>
      <c r="O6" s="27" t="n">
        <v>93</v>
      </c>
      <c r="P6" s="27" t="n">
        <v>96</v>
      </c>
      <c r="Q6" s="7" t="n">
        <v>75</v>
      </c>
      <c r="R6" s="7" t="n">
        <v>84</v>
      </c>
      <c r="S6" s="7" t="n">
        <v>83</v>
      </c>
      <c r="T6" s="7" t="n">
        <v>83</v>
      </c>
      <c r="U6" s="27" t="n">
        <v>98</v>
      </c>
      <c r="V6" s="29">
        <f>AVERAGE(B6:U6)</f>
        <v/>
      </c>
      <c r="W6" s="30">
        <f>IF(V6&gt;=90,"A",IF(V6&gt;=80,"B",IF(V6&gt;=70,"C",IF(V6&gt;=60,"D","F"))))</f>
        <v/>
      </c>
    </row>
    <row r="7" ht="22" customHeight="1">
      <c r="A7" s="9" t="inlineStr">
        <is>
          <t>Noah Brown</t>
        </is>
      </c>
      <c r="B7" s="32" t="n">
        <v>68</v>
      </c>
      <c r="C7" s="10" t="n">
        <v>87</v>
      </c>
      <c r="D7" s="10" t="n">
        <v>85</v>
      </c>
      <c r="E7" s="32" t="n">
        <v>65</v>
      </c>
      <c r="F7" s="31" t="n">
        <v>97</v>
      </c>
      <c r="G7" s="32" t="n">
        <v>60</v>
      </c>
      <c r="H7" s="10" t="n">
        <v>73</v>
      </c>
      <c r="I7" s="10" t="n">
        <v>87</v>
      </c>
      <c r="J7" s="31" t="n">
        <v>97</v>
      </c>
      <c r="K7" s="31" t="n">
        <v>95</v>
      </c>
      <c r="L7" s="31" t="n">
        <v>94</v>
      </c>
      <c r="M7" s="10" t="n">
        <v>76</v>
      </c>
      <c r="N7" s="32" t="n">
        <v>60</v>
      </c>
      <c r="O7" s="10" t="n">
        <v>70</v>
      </c>
      <c r="P7" s="31" t="n">
        <v>98</v>
      </c>
      <c r="Q7" s="10" t="n">
        <v>74</v>
      </c>
      <c r="R7" s="32" t="n">
        <v>69</v>
      </c>
      <c r="S7" s="32" t="n">
        <v>67</v>
      </c>
      <c r="T7" s="32" t="n">
        <v>64</v>
      </c>
      <c r="U7" s="32" t="n">
        <v>56</v>
      </c>
      <c r="V7" s="33">
        <f>AVERAGE(B7:U7)</f>
        <v/>
      </c>
      <c r="W7" s="34">
        <f>IF(V7&gt;=90,"A",IF(V7&gt;=80,"B",IF(V7&gt;=70,"C",IF(V7&gt;=60,"D","F"))))</f>
        <v/>
      </c>
    </row>
    <row r="8" ht="22" customHeight="1">
      <c r="A8" s="6" t="inlineStr">
        <is>
          <t>Ava Jones</t>
        </is>
      </c>
      <c r="B8" s="28" t="n">
        <v>57</v>
      </c>
      <c r="C8" s="7" t="n">
        <v>70</v>
      </c>
      <c r="D8" s="7" t="n">
        <v>85</v>
      </c>
      <c r="E8" s="27" t="n">
        <v>94</v>
      </c>
      <c r="F8" s="28" t="n">
        <v>59</v>
      </c>
      <c r="G8" s="7" t="n">
        <v>84</v>
      </c>
      <c r="H8" s="7" t="n">
        <v>81</v>
      </c>
      <c r="I8" s="27" t="n">
        <v>95</v>
      </c>
      <c r="J8" s="27" t="n">
        <v>91</v>
      </c>
      <c r="K8" s="28" t="n">
        <v>67</v>
      </c>
      <c r="L8" s="27" t="n">
        <v>100</v>
      </c>
      <c r="M8" s="27" t="n">
        <v>99</v>
      </c>
      <c r="N8" s="7" t="n">
        <v>79</v>
      </c>
      <c r="O8" s="7" t="n">
        <v>86</v>
      </c>
      <c r="P8" s="7" t="n">
        <v>80</v>
      </c>
      <c r="Q8" s="7" t="n">
        <v>70</v>
      </c>
      <c r="R8" s="28" t="n">
        <v>64</v>
      </c>
      <c r="S8" s="27" t="n">
        <v>96</v>
      </c>
      <c r="T8" s="27" t="n">
        <v>99</v>
      </c>
      <c r="U8" s="28" t="n">
        <v>55</v>
      </c>
      <c r="V8" s="29">
        <f>AVERAGE(B8:U8)</f>
        <v/>
      </c>
      <c r="W8" s="30">
        <f>IF(V8&gt;=90,"A",IF(V8&gt;=80,"B",IF(V8&gt;=70,"C",IF(V8&gt;=60,"D","F"))))</f>
        <v/>
      </c>
    </row>
    <row r="9" ht="22" customHeight="1">
      <c r="A9" s="9" t="inlineStr">
        <is>
          <t>Ethan Garcia</t>
        </is>
      </c>
      <c r="B9" s="32" t="n">
        <v>61</v>
      </c>
      <c r="C9" s="10" t="n">
        <v>82</v>
      </c>
      <c r="D9" s="32" t="n">
        <v>69</v>
      </c>
      <c r="E9" s="32" t="n">
        <v>66</v>
      </c>
      <c r="F9" s="31" t="n">
        <v>99</v>
      </c>
      <c r="G9" s="10" t="n">
        <v>88</v>
      </c>
      <c r="H9" s="10" t="n">
        <v>84</v>
      </c>
      <c r="I9" s="32" t="n">
        <v>58</v>
      </c>
      <c r="J9" s="31" t="n">
        <v>90</v>
      </c>
      <c r="K9" s="10" t="n">
        <v>70</v>
      </c>
      <c r="L9" s="32" t="n">
        <v>62</v>
      </c>
      <c r="M9" s="10" t="n">
        <v>84</v>
      </c>
      <c r="N9" s="32" t="n">
        <v>63</v>
      </c>
      <c r="O9" s="10" t="n">
        <v>84</v>
      </c>
      <c r="P9" s="31" t="n">
        <v>97</v>
      </c>
      <c r="Q9" s="10" t="n">
        <v>88</v>
      </c>
      <c r="R9" s="31" t="n">
        <v>90</v>
      </c>
      <c r="S9" s="31" t="n">
        <v>93</v>
      </c>
      <c r="T9" s="10" t="n">
        <v>75</v>
      </c>
      <c r="U9" s="10" t="n">
        <v>83</v>
      </c>
      <c r="V9" s="33">
        <f>AVERAGE(B9:U9)</f>
        <v/>
      </c>
      <c r="W9" s="34">
        <f>IF(V9&gt;=90,"A",IF(V9&gt;=80,"B",IF(V9&gt;=70,"C",IF(V9&gt;=60,"D","F"))))</f>
        <v/>
      </c>
    </row>
    <row r="10" ht="22" customHeight="1">
      <c r="A10" s="6" t="inlineStr">
        <is>
          <t>Sophia Miller</t>
        </is>
      </c>
      <c r="B10" s="27" t="n">
        <v>94</v>
      </c>
      <c r="C10" s="7" t="n">
        <v>87</v>
      </c>
      <c r="D10" s="7" t="n">
        <v>82</v>
      </c>
      <c r="E10" s="27" t="n">
        <v>90</v>
      </c>
      <c r="F10" s="7" t="n">
        <v>83</v>
      </c>
      <c r="G10" s="28" t="n">
        <v>65</v>
      </c>
      <c r="H10" s="7" t="n">
        <v>85</v>
      </c>
      <c r="I10" s="7" t="n">
        <v>83</v>
      </c>
      <c r="J10" s="7" t="n">
        <v>71</v>
      </c>
      <c r="K10" s="7" t="n">
        <v>70</v>
      </c>
      <c r="L10" s="27" t="n">
        <v>95</v>
      </c>
      <c r="M10" s="7" t="n">
        <v>72</v>
      </c>
      <c r="N10" s="7" t="n">
        <v>88</v>
      </c>
      <c r="O10" s="7" t="n">
        <v>86</v>
      </c>
      <c r="P10" s="27" t="n">
        <v>95</v>
      </c>
      <c r="Q10" s="7" t="n">
        <v>70</v>
      </c>
      <c r="R10" s="7" t="n">
        <v>72</v>
      </c>
      <c r="S10" s="7" t="n">
        <v>83</v>
      </c>
      <c r="T10" s="28" t="n">
        <v>59</v>
      </c>
      <c r="U10" s="27" t="n">
        <v>100</v>
      </c>
      <c r="V10" s="29">
        <f>AVERAGE(B10:U10)</f>
        <v/>
      </c>
      <c r="W10" s="30">
        <f>IF(V10&gt;=90,"A",IF(V10&gt;=80,"B",IF(V10&gt;=70,"C",IF(V10&gt;=60,"D","F"))))</f>
        <v/>
      </c>
    </row>
    <row r="11" ht="22" customHeight="1">
      <c r="A11" s="9" t="inlineStr">
        <is>
          <t>Mason Davis</t>
        </is>
      </c>
      <c r="B11" s="10" t="n">
        <v>73</v>
      </c>
      <c r="C11" s="10" t="n">
        <v>70</v>
      </c>
      <c r="D11" s="10" t="n">
        <v>72</v>
      </c>
      <c r="E11" s="10" t="n">
        <v>76</v>
      </c>
      <c r="F11" s="10" t="n">
        <v>75</v>
      </c>
      <c r="G11" s="10" t="n">
        <v>89</v>
      </c>
      <c r="H11" s="32" t="n">
        <v>60</v>
      </c>
      <c r="I11" s="32" t="n">
        <v>63</v>
      </c>
      <c r="J11" s="32" t="n">
        <v>64</v>
      </c>
      <c r="K11" s="32" t="n">
        <v>69</v>
      </c>
      <c r="L11" s="10" t="n">
        <v>79</v>
      </c>
      <c r="M11" s="31" t="n">
        <v>99</v>
      </c>
      <c r="N11" s="32" t="n">
        <v>64</v>
      </c>
      <c r="O11" s="31" t="n">
        <v>100</v>
      </c>
      <c r="P11" s="32" t="n">
        <v>68</v>
      </c>
      <c r="Q11" s="32" t="n">
        <v>59</v>
      </c>
      <c r="R11" s="10" t="n">
        <v>81</v>
      </c>
      <c r="S11" s="10" t="n">
        <v>81</v>
      </c>
      <c r="T11" s="10" t="n">
        <v>76</v>
      </c>
      <c r="U11" s="10" t="n">
        <v>89</v>
      </c>
      <c r="V11" s="33">
        <f>AVERAGE(B11:U11)</f>
        <v/>
      </c>
      <c r="W11" s="34">
        <f>IF(V11&gt;=90,"A",IF(V11&gt;=80,"B",IF(V11&gt;=70,"C",IF(V11&gt;=60,"D","F"))))</f>
        <v/>
      </c>
    </row>
    <row r="12" ht="22" customHeight="1">
      <c r="A12" s="6" t="inlineStr">
        <is>
          <t>Isabella Rodriguez</t>
        </is>
      </c>
      <c r="B12" s="7" t="n">
        <v>84</v>
      </c>
      <c r="C12" s="7" t="n">
        <v>81</v>
      </c>
      <c r="D12" s="28" t="n">
        <v>58</v>
      </c>
      <c r="E12" s="28" t="n">
        <v>68</v>
      </c>
      <c r="F12" s="7" t="n">
        <v>81</v>
      </c>
      <c r="G12" s="7" t="n">
        <v>79</v>
      </c>
      <c r="H12" s="27" t="n">
        <v>92</v>
      </c>
      <c r="I12" s="27" t="n">
        <v>99</v>
      </c>
      <c r="J12" s="28" t="n">
        <v>56</v>
      </c>
      <c r="K12" s="27" t="n">
        <v>91</v>
      </c>
      <c r="L12" s="7" t="n">
        <v>79</v>
      </c>
      <c r="M12" s="7" t="n">
        <v>85</v>
      </c>
      <c r="N12" s="28" t="n">
        <v>55</v>
      </c>
      <c r="O12" s="7" t="n">
        <v>77</v>
      </c>
      <c r="P12" s="7" t="n">
        <v>74</v>
      </c>
      <c r="Q12" s="7" t="n">
        <v>79</v>
      </c>
      <c r="R12" s="7" t="n">
        <v>81</v>
      </c>
      <c r="S12" s="7" t="n">
        <v>89</v>
      </c>
      <c r="T12" s="7" t="n">
        <v>89</v>
      </c>
      <c r="U12" s="27" t="n">
        <v>93</v>
      </c>
      <c r="V12" s="29">
        <f>AVERAGE(B12:U12)</f>
        <v/>
      </c>
      <c r="W12" s="30">
        <f>IF(V12&gt;=90,"A",IF(V12&gt;=80,"B",IF(V12&gt;=70,"C",IF(V12&gt;=60,"D","F"))))</f>
        <v/>
      </c>
    </row>
    <row r="13" ht="22" customHeight="1">
      <c r="A13" s="9" t="inlineStr">
        <is>
          <t>William Martinez</t>
        </is>
      </c>
      <c r="B13" s="32" t="n">
        <v>69</v>
      </c>
      <c r="C13" s="10" t="n">
        <v>86</v>
      </c>
      <c r="D13" s="32" t="n">
        <v>69</v>
      </c>
      <c r="E13" s="10" t="n">
        <v>72</v>
      </c>
      <c r="F13" s="10" t="n">
        <v>82</v>
      </c>
      <c r="G13" s="10" t="n">
        <v>86</v>
      </c>
      <c r="H13" s="32" t="n">
        <v>56</v>
      </c>
      <c r="I13" s="10" t="n">
        <v>79</v>
      </c>
      <c r="J13" s="10" t="n">
        <v>76</v>
      </c>
      <c r="K13" s="31" t="n">
        <v>97</v>
      </c>
      <c r="L13" s="31" t="n">
        <v>98</v>
      </c>
      <c r="M13" s="10" t="n">
        <v>80</v>
      </c>
      <c r="N13" s="32" t="n">
        <v>65</v>
      </c>
      <c r="O13" s="10" t="n">
        <v>84</v>
      </c>
      <c r="P13" s="32" t="n">
        <v>63</v>
      </c>
      <c r="Q13" s="31" t="n">
        <v>94</v>
      </c>
      <c r="R13" s="10" t="n">
        <v>89</v>
      </c>
      <c r="S13" s="32" t="n">
        <v>56</v>
      </c>
      <c r="T13" s="10" t="n">
        <v>80</v>
      </c>
      <c r="U13" s="31" t="n">
        <v>92</v>
      </c>
      <c r="V13" s="33">
        <f>AVERAGE(B13:U13)</f>
        <v/>
      </c>
      <c r="W13" s="34">
        <f>IF(V13&gt;=90,"A",IF(V13&gt;=80,"B",IF(V13&gt;=70,"C",IF(V13&gt;=60,"D","F"))))</f>
        <v/>
      </c>
    </row>
    <row r="14" ht="22" customHeight="1">
      <c r="A14" s="6" t="inlineStr">
        <is>
          <t>Mia Hernandez</t>
        </is>
      </c>
      <c r="B14" s="27" t="n">
        <v>91</v>
      </c>
      <c r="C14" s="27" t="n">
        <v>97</v>
      </c>
      <c r="D14" s="28" t="n">
        <v>56</v>
      </c>
      <c r="E14" s="28" t="n">
        <v>60</v>
      </c>
      <c r="F14" s="27" t="n">
        <v>96</v>
      </c>
      <c r="G14" s="7" t="n">
        <v>82</v>
      </c>
      <c r="H14" s="28" t="n">
        <v>63</v>
      </c>
      <c r="I14" s="7" t="n">
        <v>84</v>
      </c>
      <c r="J14" s="28" t="n">
        <v>66</v>
      </c>
      <c r="K14" s="28" t="n">
        <v>58</v>
      </c>
      <c r="L14" s="7" t="n">
        <v>71</v>
      </c>
      <c r="M14" s="7" t="n">
        <v>79</v>
      </c>
      <c r="N14" s="7" t="n">
        <v>75</v>
      </c>
      <c r="O14" s="28" t="n">
        <v>68</v>
      </c>
      <c r="P14" s="7" t="n">
        <v>84</v>
      </c>
      <c r="Q14" s="7" t="n">
        <v>75</v>
      </c>
      <c r="R14" s="7" t="n">
        <v>76</v>
      </c>
      <c r="S14" s="7" t="n">
        <v>79</v>
      </c>
      <c r="T14" s="7" t="n">
        <v>72</v>
      </c>
      <c r="U14" s="7" t="n">
        <v>81</v>
      </c>
      <c r="V14" s="29">
        <f>AVERAGE(B14:U14)</f>
        <v/>
      </c>
      <c r="W14" s="30">
        <f>IF(V14&gt;=90,"A",IF(V14&gt;=80,"B",IF(V14&gt;=70,"C",IF(V14&gt;=60,"D","F"))))</f>
        <v/>
      </c>
    </row>
    <row r="15" ht="22" customHeight="1">
      <c r="A15" s="9" t="inlineStr">
        <is>
          <t>James Lopez</t>
        </is>
      </c>
      <c r="B15" s="10" t="n">
        <v>71</v>
      </c>
      <c r="C15" s="32" t="n">
        <v>60</v>
      </c>
      <c r="D15" s="10" t="n">
        <v>85</v>
      </c>
      <c r="E15" s="32" t="n">
        <v>56</v>
      </c>
      <c r="F15" s="10" t="n">
        <v>89</v>
      </c>
      <c r="G15" s="32" t="n">
        <v>58</v>
      </c>
      <c r="H15" s="10" t="n">
        <v>77</v>
      </c>
      <c r="I15" s="32" t="n">
        <v>69</v>
      </c>
      <c r="J15" s="31" t="n">
        <v>96</v>
      </c>
      <c r="K15" s="32" t="n">
        <v>59</v>
      </c>
      <c r="L15" s="31" t="n">
        <v>96</v>
      </c>
      <c r="M15" s="32" t="n">
        <v>57</v>
      </c>
      <c r="N15" s="32" t="n">
        <v>56</v>
      </c>
      <c r="O15" s="10" t="n">
        <v>70</v>
      </c>
      <c r="P15" s="32" t="n">
        <v>67</v>
      </c>
      <c r="Q15" s="32" t="n">
        <v>56</v>
      </c>
      <c r="R15" s="31" t="n">
        <v>94</v>
      </c>
      <c r="S15" s="32" t="n">
        <v>64</v>
      </c>
      <c r="T15" s="10" t="n">
        <v>70</v>
      </c>
      <c r="U15" s="32" t="n">
        <v>63</v>
      </c>
      <c r="V15" s="33">
        <f>AVERAGE(B15:U15)</f>
        <v/>
      </c>
      <c r="W15" s="34">
        <f>IF(V15&gt;=90,"A",IF(V15&gt;=80,"B",IF(V15&gt;=70,"C",IF(V15&gt;=60,"D","F"))))</f>
        <v/>
      </c>
    </row>
    <row r="16" ht="22" customHeight="1">
      <c r="A16" s="6" t="inlineStr">
        <is>
          <t>Charlotte Gonzalez</t>
        </is>
      </c>
      <c r="B16" s="7" t="n">
        <v>85</v>
      </c>
      <c r="C16" s="27" t="n">
        <v>97</v>
      </c>
      <c r="D16" s="28" t="n">
        <v>62</v>
      </c>
      <c r="E16" s="27" t="n">
        <v>91</v>
      </c>
      <c r="F16" s="28" t="n">
        <v>68</v>
      </c>
      <c r="G16" s="7" t="n">
        <v>84</v>
      </c>
      <c r="H16" s="27" t="n">
        <v>99</v>
      </c>
      <c r="I16" s="7" t="n">
        <v>71</v>
      </c>
      <c r="J16" s="7" t="n">
        <v>78</v>
      </c>
      <c r="K16" s="28" t="n">
        <v>65</v>
      </c>
      <c r="L16" s="27" t="n">
        <v>93</v>
      </c>
      <c r="M16" s="27" t="n">
        <v>93</v>
      </c>
      <c r="N16" s="27" t="n">
        <v>100</v>
      </c>
      <c r="O16" s="28" t="n">
        <v>62</v>
      </c>
      <c r="P16" s="28" t="n">
        <v>65</v>
      </c>
      <c r="Q16" s="7" t="n">
        <v>74</v>
      </c>
      <c r="R16" s="28" t="n">
        <v>61</v>
      </c>
      <c r="S16" s="27" t="n">
        <v>92</v>
      </c>
      <c r="T16" s="28" t="n">
        <v>56</v>
      </c>
      <c r="U16" s="7" t="n">
        <v>74</v>
      </c>
      <c r="V16" s="29">
        <f>AVERAGE(B16:U16)</f>
        <v/>
      </c>
      <c r="W16" s="30">
        <f>IF(V16&gt;=90,"A",IF(V16&gt;=80,"B",IF(V16&gt;=70,"C",IF(V16&gt;=60,"D","F"))))</f>
        <v/>
      </c>
    </row>
    <row r="17" ht="22" customHeight="1">
      <c r="A17" s="9" t="inlineStr">
        <is>
          <t>Benjamin Wilson</t>
        </is>
      </c>
      <c r="B17" s="31" t="n">
        <v>91</v>
      </c>
      <c r="C17" s="31" t="n">
        <v>98</v>
      </c>
      <c r="D17" s="10" t="n">
        <v>79</v>
      </c>
      <c r="E17" s="10" t="n">
        <v>80</v>
      </c>
      <c r="F17" s="31" t="n">
        <v>100</v>
      </c>
      <c r="G17" s="32" t="n">
        <v>67</v>
      </c>
      <c r="H17" s="32" t="n">
        <v>59</v>
      </c>
      <c r="I17" s="31" t="n">
        <v>92</v>
      </c>
      <c r="J17" s="31" t="n">
        <v>99</v>
      </c>
      <c r="K17" s="31" t="n">
        <v>95</v>
      </c>
      <c r="L17" s="10" t="n">
        <v>70</v>
      </c>
      <c r="M17" s="32" t="n">
        <v>61</v>
      </c>
      <c r="N17" s="31" t="n">
        <v>99</v>
      </c>
      <c r="O17" s="10" t="n">
        <v>74</v>
      </c>
      <c r="P17" s="31" t="n">
        <v>98</v>
      </c>
      <c r="Q17" s="31" t="n">
        <v>93</v>
      </c>
      <c r="R17" s="32" t="n">
        <v>62</v>
      </c>
      <c r="S17" s="31" t="n">
        <v>91</v>
      </c>
      <c r="T17" s="32" t="n">
        <v>57</v>
      </c>
      <c r="U17" s="10" t="n">
        <v>77</v>
      </c>
      <c r="V17" s="33">
        <f>AVERAGE(B17:U17)</f>
        <v/>
      </c>
      <c r="W17" s="34">
        <f>IF(V17&gt;=90,"A",IF(V17&gt;=80,"B",IF(V17&gt;=70,"C",IF(V17&gt;=60,"D","F"))))</f>
        <v/>
      </c>
    </row>
    <row r="18" ht="22" customHeight="1">
      <c r="A18" s="6" t="inlineStr">
        <is>
          <t>Amelia Anderson</t>
        </is>
      </c>
      <c r="B18" s="7" t="n">
        <v>89</v>
      </c>
      <c r="C18" s="7" t="n">
        <v>82</v>
      </c>
      <c r="D18" s="27" t="n">
        <v>97</v>
      </c>
      <c r="E18" s="7" t="n">
        <v>78</v>
      </c>
      <c r="F18" s="28" t="n">
        <v>59</v>
      </c>
      <c r="G18" s="7" t="n">
        <v>87</v>
      </c>
      <c r="H18" s="27" t="n">
        <v>96</v>
      </c>
      <c r="I18" s="7" t="n">
        <v>76</v>
      </c>
      <c r="J18" s="28" t="n">
        <v>55</v>
      </c>
      <c r="K18" s="7" t="n">
        <v>81</v>
      </c>
      <c r="L18" s="7" t="n">
        <v>86</v>
      </c>
      <c r="M18" s="28" t="n">
        <v>61</v>
      </c>
      <c r="N18" s="7" t="n">
        <v>82</v>
      </c>
      <c r="O18" s="7" t="n">
        <v>78</v>
      </c>
      <c r="P18" s="27" t="n">
        <v>95</v>
      </c>
      <c r="Q18" s="7" t="n">
        <v>84</v>
      </c>
      <c r="R18" s="27" t="n">
        <v>100</v>
      </c>
      <c r="S18" s="28" t="n">
        <v>64</v>
      </c>
      <c r="T18" s="7" t="n">
        <v>82</v>
      </c>
      <c r="U18" s="28" t="n">
        <v>66</v>
      </c>
      <c r="V18" s="29">
        <f>AVERAGE(B18:U18)</f>
        <v/>
      </c>
      <c r="W18" s="30">
        <f>IF(V18&gt;=90,"A",IF(V18&gt;=80,"B",IF(V18&gt;=70,"C",IF(V18&gt;=60,"D","F"))))</f>
        <v/>
      </c>
    </row>
    <row r="19" ht="22" customHeight="1">
      <c r="A19" s="9" t="inlineStr">
        <is>
          <t>Lucas Thomas</t>
        </is>
      </c>
      <c r="B19" s="10" t="n">
        <v>88</v>
      </c>
      <c r="C19" s="31" t="n">
        <v>96</v>
      </c>
      <c r="D19" s="10" t="n">
        <v>72</v>
      </c>
      <c r="E19" s="31" t="n">
        <v>94</v>
      </c>
      <c r="F19" s="10" t="n">
        <v>89</v>
      </c>
      <c r="G19" s="10" t="n">
        <v>85</v>
      </c>
      <c r="H19" s="10" t="n">
        <v>84</v>
      </c>
      <c r="I19" s="10" t="n">
        <v>82</v>
      </c>
      <c r="J19" s="31" t="n">
        <v>92</v>
      </c>
      <c r="K19" s="10" t="n">
        <v>72</v>
      </c>
      <c r="L19" s="10" t="n">
        <v>75</v>
      </c>
      <c r="M19" s="10" t="n">
        <v>70</v>
      </c>
      <c r="N19" s="32" t="n">
        <v>60</v>
      </c>
      <c r="O19" s="10" t="n">
        <v>72</v>
      </c>
      <c r="P19" s="10" t="n">
        <v>83</v>
      </c>
      <c r="Q19" s="10" t="n">
        <v>70</v>
      </c>
      <c r="R19" s="10" t="n">
        <v>84</v>
      </c>
      <c r="S19" s="31" t="n">
        <v>91</v>
      </c>
      <c r="T19" s="31" t="n">
        <v>94</v>
      </c>
      <c r="U19" s="31" t="n">
        <v>97</v>
      </c>
      <c r="V19" s="33">
        <f>AVERAGE(B19:U19)</f>
        <v/>
      </c>
      <c r="W19" s="34">
        <f>IF(V19&gt;=90,"A",IF(V19&gt;=80,"B",IF(V19&gt;=70,"C",IF(V19&gt;=60,"D","F"))))</f>
        <v/>
      </c>
    </row>
    <row r="20" ht="22" customHeight="1">
      <c r="A20" s="6" t="inlineStr">
        <is>
          <t>Harper Taylor</t>
        </is>
      </c>
      <c r="B20" s="7" t="n">
        <v>79</v>
      </c>
      <c r="C20" s="7" t="n">
        <v>76</v>
      </c>
      <c r="D20" s="28" t="n">
        <v>56</v>
      </c>
      <c r="E20" s="7" t="n">
        <v>86</v>
      </c>
      <c r="F20" s="7" t="n">
        <v>75</v>
      </c>
      <c r="G20" s="28" t="n">
        <v>66</v>
      </c>
      <c r="H20" s="7" t="n">
        <v>86</v>
      </c>
      <c r="I20" s="28" t="n">
        <v>68</v>
      </c>
      <c r="J20" s="7" t="n">
        <v>77</v>
      </c>
      <c r="K20" s="7" t="n">
        <v>71</v>
      </c>
      <c r="L20" s="7" t="n">
        <v>76</v>
      </c>
      <c r="M20" s="7" t="n">
        <v>72</v>
      </c>
      <c r="N20" s="27" t="n">
        <v>93</v>
      </c>
      <c r="O20" s="27" t="n">
        <v>99</v>
      </c>
      <c r="P20" s="7" t="n">
        <v>72</v>
      </c>
      <c r="Q20" s="27" t="n">
        <v>90</v>
      </c>
      <c r="R20" s="28" t="n">
        <v>55</v>
      </c>
      <c r="S20" s="7" t="n">
        <v>88</v>
      </c>
      <c r="T20" s="28" t="n">
        <v>67</v>
      </c>
      <c r="U20" s="28" t="n">
        <v>60</v>
      </c>
      <c r="V20" s="29">
        <f>AVERAGE(B20:U20)</f>
        <v/>
      </c>
      <c r="W20" s="30">
        <f>IF(V20&gt;=90,"A",IF(V20&gt;=80,"B",IF(V20&gt;=70,"C",IF(V20&gt;=60,"D","F"))))</f>
        <v/>
      </c>
    </row>
    <row r="21" ht="22" customHeight="1">
      <c r="A21" s="9" t="inlineStr">
        <is>
          <t>Henry Moore</t>
        </is>
      </c>
      <c r="B21" s="10" t="n">
        <v>70</v>
      </c>
      <c r="C21" s="10" t="n">
        <v>81</v>
      </c>
      <c r="D21" s="10" t="n">
        <v>86</v>
      </c>
      <c r="E21" s="31" t="n">
        <v>90</v>
      </c>
      <c r="F21" s="10" t="n">
        <v>70</v>
      </c>
      <c r="G21" s="31" t="n">
        <v>99</v>
      </c>
      <c r="H21" s="10" t="n">
        <v>85</v>
      </c>
      <c r="I21" s="31" t="n">
        <v>96</v>
      </c>
      <c r="J21" s="31" t="n">
        <v>100</v>
      </c>
      <c r="K21" s="10" t="n">
        <v>86</v>
      </c>
      <c r="L21" s="10" t="n">
        <v>83</v>
      </c>
      <c r="M21" s="32" t="n">
        <v>56</v>
      </c>
      <c r="N21" s="32" t="n">
        <v>60</v>
      </c>
      <c r="O21" s="10" t="n">
        <v>73</v>
      </c>
      <c r="P21" s="32" t="n">
        <v>69</v>
      </c>
      <c r="Q21" s="10" t="n">
        <v>80</v>
      </c>
      <c r="R21" s="31" t="n">
        <v>99</v>
      </c>
      <c r="S21" s="10" t="n">
        <v>70</v>
      </c>
      <c r="T21" s="10" t="n">
        <v>74</v>
      </c>
      <c r="U21" s="31" t="n">
        <v>97</v>
      </c>
      <c r="V21" s="33">
        <f>AVERAGE(B21:U21)</f>
        <v/>
      </c>
      <c r="W21" s="34">
        <f>IF(V21&gt;=90,"A",IF(V21&gt;=80,"B",IF(V21&gt;=70,"C",IF(V21&gt;=60,"D","F"))))</f>
        <v/>
      </c>
    </row>
    <row r="22" ht="22" customHeight="1">
      <c r="A22" s="6" t="inlineStr">
        <is>
          <t>Evelyn Jackson</t>
        </is>
      </c>
      <c r="B22" s="27" t="n">
        <v>92</v>
      </c>
      <c r="C22" s="7" t="n">
        <v>78</v>
      </c>
      <c r="D22" s="7" t="n">
        <v>85</v>
      </c>
      <c r="E22" s="27" t="n">
        <v>90</v>
      </c>
      <c r="F22" s="7" t="n">
        <v>88</v>
      </c>
      <c r="G22" s="7" t="n">
        <v>77</v>
      </c>
      <c r="H22" s="7" t="n">
        <v>82</v>
      </c>
      <c r="I22" s="27" t="n">
        <v>90</v>
      </c>
      <c r="J22" s="7" t="n">
        <v>76</v>
      </c>
      <c r="K22" s="7" t="n">
        <v>77</v>
      </c>
      <c r="L22" s="27" t="n">
        <v>99</v>
      </c>
      <c r="M22" s="7" t="n">
        <v>84</v>
      </c>
      <c r="N22" s="7" t="n">
        <v>72</v>
      </c>
      <c r="O22" s="7" t="n">
        <v>74</v>
      </c>
      <c r="P22" s="7" t="n">
        <v>71</v>
      </c>
      <c r="Q22" s="28" t="n">
        <v>69</v>
      </c>
      <c r="R22" s="28" t="n">
        <v>62</v>
      </c>
      <c r="S22" s="28" t="n">
        <v>67</v>
      </c>
      <c r="T22" s="7" t="n">
        <v>75</v>
      </c>
      <c r="U22" s="28" t="n">
        <v>62</v>
      </c>
      <c r="V22" s="29">
        <f>AVERAGE(B22:U22)</f>
        <v/>
      </c>
      <c r="W22" s="30">
        <f>IF(V22&gt;=90,"A",IF(V22&gt;=80,"B",IF(V22&gt;=70,"C",IF(V22&gt;=60,"D","F"))))</f>
        <v/>
      </c>
    </row>
    <row r="23" ht="22" customHeight="1">
      <c r="A23" s="9" t="inlineStr">
        <is>
          <t>Alexander Martin</t>
        </is>
      </c>
      <c r="B23" s="10" t="n">
        <v>89</v>
      </c>
      <c r="C23" s="31" t="n">
        <v>99</v>
      </c>
      <c r="D23" s="32" t="n">
        <v>66</v>
      </c>
      <c r="E23" s="32" t="n">
        <v>67</v>
      </c>
      <c r="F23" s="32" t="n">
        <v>68</v>
      </c>
      <c r="G23" s="10" t="n">
        <v>85</v>
      </c>
      <c r="H23" s="10" t="n">
        <v>72</v>
      </c>
      <c r="I23" s="31" t="n">
        <v>92</v>
      </c>
      <c r="J23" s="10" t="n">
        <v>88</v>
      </c>
      <c r="K23" s="31" t="n">
        <v>93</v>
      </c>
      <c r="L23" s="10" t="n">
        <v>73</v>
      </c>
      <c r="M23" s="32" t="n">
        <v>61</v>
      </c>
      <c r="N23" s="32" t="n">
        <v>67</v>
      </c>
      <c r="O23" s="10" t="n">
        <v>73</v>
      </c>
      <c r="P23" s="32" t="n">
        <v>69</v>
      </c>
      <c r="Q23" s="10" t="n">
        <v>78</v>
      </c>
      <c r="R23" s="32" t="n">
        <v>66</v>
      </c>
      <c r="S23" s="10" t="n">
        <v>74</v>
      </c>
      <c r="T23" s="32" t="n">
        <v>55</v>
      </c>
      <c r="U23" s="31" t="n">
        <v>100</v>
      </c>
      <c r="V23" s="33">
        <f>AVERAGE(B23:U23)</f>
        <v/>
      </c>
      <c r="W23" s="34">
        <f>IF(V23&gt;=90,"A",IF(V23&gt;=80,"B",IF(V23&gt;=70,"C",IF(V23&gt;=60,"D","F"))))</f>
        <v/>
      </c>
    </row>
    <row r="24" ht="22" customHeight="1">
      <c r="A24" s="6" t="inlineStr">
        <is>
          <t>Abigail Lee</t>
        </is>
      </c>
      <c r="B24" s="7" t="n">
        <v>89</v>
      </c>
      <c r="C24" s="28" t="n">
        <v>63</v>
      </c>
      <c r="D24" s="7" t="n">
        <v>72</v>
      </c>
      <c r="E24" s="28" t="n">
        <v>57</v>
      </c>
      <c r="F24" s="28" t="n">
        <v>58</v>
      </c>
      <c r="G24" s="27" t="n">
        <v>90</v>
      </c>
      <c r="H24" s="7" t="n">
        <v>73</v>
      </c>
      <c r="I24" s="27" t="n">
        <v>99</v>
      </c>
      <c r="J24" s="28" t="n">
        <v>63</v>
      </c>
      <c r="K24" s="27" t="n">
        <v>95</v>
      </c>
      <c r="L24" s="7" t="n">
        <v>86</v>
      </c>
      <c r="M24" s="28" t="n">
        <v>61</v>
      </c>
      <c r="N24" s="28" t="n">
        <v>55</v>
      </c>
      <c r="O24" s="27" t="n">
        <v>91</v>
      </c>
      <c r="P24" s="7" t="n">
        <v>73</v>
      </c>
      <c r="Q24" s="7" t="n">
        <v>85</v>
      </c>
      <c r="R24" s="7" t="n">
        <v>85</v>
      </c>
      <c r="S24" s="7" t="n">
        <v>83</v>
      </c>
      <c r="T24" s="7" t="n">
        <v>76</v>
      </c>
      <c r="U24" s="28" t="n">
        <v>66</v>
      </c>
      <c r="V24" s="29">
        <f>AVERAGE(B24:U24)</f>
        <v/>
      </c>
      <c r="W24" s="30">
        <f>IF(V24&gt;=90,"A",IF(V24&gt;=80,"B",IF(V24&gt;=70,"C",IF(V24&gt;=60,"D","F"))))</f>
        <v/>
      </c>
    </row>
    <row r="25" ht="22" customHeight="1">
      <c r="A25" s="9" t="inlineStr">
        <is>
          <t>Daniel Perez</t>
        </is>
      </c>
      <c r="B25" s="32" t="n">
        <v>58</v>
      </c>
      <c r="C25" s="10" t="n">
        <v>71</v>
      </c>
      <c r="D25" s="10" t="n">
        <v>85</v>
      </c>
      <c r="E25" s="32" t="n">
        <v>62</v>
      </c>
      <c r="F25" s="32" t="n">
        <v>59</v>
      </c>
      <c r="G25" s="10" t="n">
        <v>80</v>
      </c>
      <c r="H25" s="10" t="n">
        <v>86</v>
      </c>
      <c r="I25" s="32" t="n">
        <v>59</v>
      </c>
      <c r="J25" s="31" t="n">
        <v>91</v>
      </c>
      <c r="K25" s="31" t="n">
        <v>95</v>
      </c>
      <c r="L25" s="31" t="n">
        <v>98</v>
      </c>
      <c r="M25" s="32" t="n">
        <v>58</v>
      </c>
      <c r="N25" s="32" t="n">
        <v>64</v>
      </c>
      <c r="O25" s="32" t="n">
        <v>64</v>
      </c>
      <c r="P25" s="31" t="n">
        <v>91</v>
      </c>
      <c r="Q25" s="10" t="n">
        <v>74</v>
      </c>
      <c r="R25" s="32" t="n">
        <v>60</v>
      </c>
      <c r="S25" s="10" t="n">
        <v>70</v>
      </c>
      <c r="T25" s="32" t="n">
        <v>62</v>
      </c>
      <c r="U25" s="31" t="n">
        <v>90</v>
      </c>
      <c r="V25" s="33">
        <f>AVERAGE(B25:U25)</f>
        <v/>
      </c>
      <c r="W25" s="34">
        <f>IF(V25&gt;=90,"A",IF(V25&gt;=80,"B",IF(V25&gt;=70,"C",IF(V25&gt;=60,"D","F"))))</f>
        <v/>
      </c>
    </row>
    <row r="26" ht="22" customHeight="1">
      <c r="A26" s="6" t="inlineStr">
        <is>
          <t>Emily Thompson</t>
        </is>
      </c>
      <c r="B26" s="7" t="n">
        <v>81</v>
      </c>
      <c r="C26" s="27" t="n">
        <v>93</v>
      </c>
      <c r="D26" s="27" t="n">
        <v>93</v>
      </c>
      <c r="E26" s="27" t="n">
        <v>94</v>
      </c>
      <c r="F26" s="28" t="n">
        <v>69</v>
      </c>
      <c r="G26" s="7" t="n">
        <v>88</v>
      </c>
      <c r="H26" s="7" t="n">
        <v>79</v>
      </c>
      <c r="I26" s="7" t="n">
        <v>83</v>
      </c>
      <c r="J26" s="7" t="n">
        <v>83</v>
      </c>
      <c r="K26" s="7" t="n">
        <v>74</v>
      </c>
      <c r="L26" s="27" t="n">
        <v>92</v>
      </c>
      <c r="M26" s="7" t="n">
        <v>82</v>
      </c>
      <c r="N26" s="7" t="n">
        <v>74</v>
      </c>
      <c r="O26" s="27" t="n">
        <v>91</v>
      </c>
      <c r="P26" s="27" t="n">
        <v>94</v>
      </c>
      <c r="Q26" s="28" t="n">
        <v>58</v>
      </c>
      <c r="R26" s="27" t="n">
        <v>94</v>
      </c>
      <c r="S26" s="28" t="n">
        <v>61</v>
      </c>
      <c r="T26" s="28" t="n">
        <v>68</v>
      </c>
      <c r="U26" s="27" t="n">
        <v>95</v>
      </c>
      <c r="V26" s="29">
        <f>AVERAGE(B26:U26)</f>
        <v/>
      </c>
      <c r="W26" s="30">
        <f>IF(V26&gt;=90,"A",IF(V26&gt;=80,"B",IF(V26&gt;=70,"C",IF(V26&gt;=60,"D","F"))))</f>
        <v/>
      </c>
    </row>
    <row r="27" ht="22" customHeight="1">
      <c r="A27" s="9" t="inlineStr">
        <is>
          <t>Michael White</t>
        </is>
      </c>
      <c r="B27" s="32" t="n">
        <v>68</v>
      </c>
      <c r="C27" s="10" t="n">
        <v>71</v>
      </c>
      <c r="D27" s="31" t="n">
        <v>97</v>
      </c>
      <c r="E27" s="32" t="n">
        <v>60</v>
      </c>
      <c r="F27" s="32" t="n">
        <v>65</v>
      </c>
      <c r="G27" s="10" t="n">
        <v>70</v>
      </c>
      <c r="H27" s="32" t="n">
        <v>66</v>
      </c>
      <c r="I27" s="31" t="n">
        <v>90</v>
      </c>
      <c r="J27" s="32" t="n">
        <v>59</v>
      </c>
      <c r="K27" s="32" t="n">
        <v>65</v>
      </c>
      <c r="L27" s="32" t="n">
        <v>55</v>
      </c>
      <c r="M27" s="10" t="n">
        <v>81</v>
      </c>
      <c r="N27" s="10" t="n">
        <v>83</v>
      </c>
      <c r="O27" s="31" t="n">
        <v>99</v>
      </c>
      <c r="P27" s="31" t="n">
        <v>93</v>
      </c>
      <c r="Q27" s="10" t="n">
        <v>85</v>
      </c>
      <c r="R27" s="10" t="n">
        <v>73</v>
      </c>
      <c r="S27" s="32" t="n">
        <v>57</v>
      </c>
      <c r="T27" s="32" t="n">
        <v>69</v>
      </c>
      <c r="U27" s="10" t="n">
        <v>73</v>
      </c>
      <c r="V27" s="33">
        <f>AVERAGE(B27:U27)</f>
        <v/>
      </c>
      <c r="W27" s="34">
        <f>IF(V27&gt;=90,"A",IF(V27&gt;=80,"B",IF(V27&gt;=70,"C",IF(V27&gt;=60,"D","F"))))</f>
        <v/>
      </c>
    </row>
    <row r="28" ht="22" customHeight="1">
      <c r="A28" s="6" t="inlineStr">
        <is>
          <t>Ella Harris</t>
        </is>
      </c>
      <c r="B28" s="27" t="n">
        <v>100</v>
      </c>
      <c r="C28" s="7" t="n">
        <v>73</v>
      </c>
      <c r="D28" s="27" t="n">
        <v>99</v>
      </c>
      <c r="E28" s="7" t="n">
        <v>84</v>
      </c>
      <c r="F28" s="28" t="n">
        <v>59</v>
      </c>
      <c r="G28" s="27" t="n">
        <v>98</v>
      </c>
      <c r="H28" s="28" t="n">
        <v>69</v>
      </c>
      <c r="I28" s="7" t="n">
        <v>71</v>
      </c>
      <c r="J28" s="27" t="n">
        <v>95</v>
      </c>
      <c r="K28" s="27" t="n">
        <v>92</v>
      </c>
      <c r="L28" s="27" t="n">
        <v>97</v>
      </c>
      <c r="M28" s="28" t="n">
        <v>67</v>
      </c>
      <c r="N28" s="7" t="n">
        <v>82</v>
      </c>
      <c r="O28" s="28" t="n">
        <v>62</v>
      </c>
      <c r="P28" s="7" t="n">
        <v>89</v>
      </c>
      <c r="Q28" s="28" t="n">
        <v>69</v>
      </c>
      <c r="R28" s="27" t="n">
        <v>96</v>
      </c>
      <c r="S28" s="28" t="n">
        <v>64</v>
      </c>
      <c r="T28" s="7" t="n">
        <v>72</v>
      </c>
      <c r="U28" s="28" t="n">
        <v>64</v>
      </c>
      <c r="V28" s="29">
        <f>AVERAGE(B28:U28)</f>
        <v/>
      </c>
      <c r="W28" s="30">
        <f>IF(V28&gt;=90,"A",IF(V28&gt;=80,"B",IF(V28&gt;=70,"C",IF(V28&gt;=60,"D","F"))))</f>
        <v/>
      </c>
    </row>
    <row r="29" ht="22" customHeight="1">
      <c r="A29" s="9" t="inlineStr">
        <is>
          <t>Sebastian Sanchez</t>
        </is>
      </c>
      <c r="B29" s="32" t="n">
        <v>59</v>
      </c>
      <c r="C29" s="32" t="n">
        <v>58</v>
      </c>
      <c r="D29" s="32" t="n">
        <v>65</v>
      </c>
      <c r="E29" s="10" t="n">
        <v>74</v>
      </c>
      <c r="F29" s="31" t="n">
        <v>93</v>
      </c>
      <c r="G29" s="31" t="n">
        <v>91</v>
      </c>
      <c r="H29" s="10" t="n">
        <v>73</v>
      </c>
      <c r="I29" s="10" t="n">
        <v>83</v>
      </c>
      <c r="J29" s="32" t="n">
        <v>62</v>
      </c>
      <c r="K29" s="10" t="n">
        <v>84</v>
      </c>
      <c r="L29" s="31" t="n">
        <v>99</v>
      </c>
      <c r="M29" s="10" t="n">
        <v>74</v>
      </c>
      <c r="N29" s="31" t="n">
        <v>99</v>
      </c>
      <c r="O29" s="10" t="n">
        <v>80</v>
      </c>
      <c r="P29" s="10" t="n">
        <v>72</v>
      </c>
      <c r="Q29" s="10" t="n">
        <v>87</v>
      </c>
      <c r="R29" s="10" t="n">
        <v>89</v>
      </c>
      <c r="S29" s="10" t="n">
        <v>86</v>
      </c>
      <c r="T29" s="10" t="n">
        <v>83</v>
      </c>
      <c r="U29" s="32" t="n">
        <v>60</v>
      </c>
      <c r="V29" s="33">
        <f>AVERAGE(B29:U29)</f>
        <v/>
      </c>
      <c r="W29" s="34">
        <f>IF(V29&gt;=90,"A",IF(V29&gt;=80,"B",IF(V29&gt;=70,"C",IF(V29&gt;=60,"D","F"))))</f>
        <v/>
      </c>
    </row>
    <row r="30" ht="22" customHeight="1">
      <c r="A30" s="6" t="inlineStr">
        <is>
          <t>Avery Clark</t>
        </is>
      </c>
      <c r="B30" s="27" t="n">
        <v>93</v>
      </c>
      <c r="C30" s="28" t="n">
        <v>57</v>
      </c>
      <c r="D30" s="7" t="n">
        <v>82</v>
      </c>
      <c r="E30" s="7" t="n">
        <v>75</v>
      </c>
      <c r="F30" s="27" t="n">
        <v>93</v>
      </c>
      <c r="G30" s="7" t="n">
        <v>71</v>
      </c>
      <c r="H30" s="28" t="n">
        <v>56</v>
      </c>
      <c r="I30" s="28" t="n">
        <v>60</v>
      </c>
      <c r="J30" s="28" t="n">
        <v>69</v>
      </c>
      <c r="K30" s="27" t="n">
        <v>98</v>
      </c>
      <c r="L30" s="27" t="n">
        <v>91</v>
      </c>
      <c r="M30" s="27" t="n">
        <v>92</v>
      </c>
      <c r="N30" s="28" t="n">
        <v>56</v>
      </c>
      <c r="O30" s="27" t="n">
        <v>98</v>
      </c>
      <c r="P30" s="7" t="n">
        <v>72</v>
      </c>
      <c r="Q30" s="27" t="n">
        <v>91</v>
      </c>
      <c r="R30" s="28" t="n">
        <v>57</v>
      </c>
      <c r="S30" s="28" t="n">
        <v>66</v>
      </c>
      <c r="T30" s="7" t="n">
        <v>85</v>
      </c>
      <c r="U30" s="7" t="n">
        <v>88</v>
      </c>
      <c r="V30" s="29">
        <f>AVERAGE(B30:U30)</f>
        <v/>
      </c>
      <c r="W30" s="30">
        <f>IF(V30&gt;=90,"A",IF(V30&gt;=80,"B",IF(V30&gt;=70,"C",IF(V30&gt;=60,"D","F"))))</f>
        <v/>
      </c>
    </row>
    <row r="31" ht="22" customHeight="1">
      <c r="A31" s="9" t="inlineStr">
        <is>
          <t>Jack Ramirez</t>
        </is>
      </c>
      <c r="B31" s="31" t="n">
        <v>96</v>
      </c>
      <c r="C31" s="10" t="n">
        <v>83</v>
      </c>
      <c r="D31" s="10" t="n">
        <v>72</v>
      </c>
      <c r="E31" s="32" t="n">
        <v>66</v>
      </c>
      <c r="F31" s="31" t="n">
        <v>92</v>
      </c>
      <c r="G31" s="10" t="n">
        <v>82</v>
      </c>
      <c r="H31" s="31" t="n">
        <v>95</v>
      </c>
      <c r="I31" s="10" t="n">
        <v>86</v>
      </c>
      <c r="J31" s="32" t="n">
        <v>60</v>
      </c>
      <c r="K31" s="10" t="n">
        <v>85</v>
      </c>
      <c r="L31" s="10" t="n">
        <v>77</v>
      </c>
      <c r="M31" s="10" t="n">
        <v>81</v>
      </c>
      <c r="N31" s="10" t="n">
        <v>76</v>
      </c>
      <c r="O31" s="10" t="n">
        <v>75</v>
      </c>
      <c r="P31" s="31" t="n">
        <v>97</v>
      </c>
      <c r="Q31" s="32" t="n">
        <v>61</v>
      </c>
      <c r="R31" s="32" t="n">
        <v>65</v>
      </c>
      <c r="S31" s="10" t="n">
        <v>76</v>
      </c>
      <c r="T31" s="10" t="n">
        <v>81</v>
      </c>
      <c r="U31" s="31" t="n">
        <v>99</v>
      </c>
      <c r="V31" s="33">
        <f>AVERAGE(B31:U31)</f>
        <v/>
      </c>
      <c r="W31" s="34">
        <f>IF(V31&gt;=90,"A",IF(V31&gt;=80,"B",IF(V31&gt;=70,"C",IF(V31&gt;=60,"D","F"))))</f>
        <v/>
      </c>
    </row>
    <row r="32" ht="22" customHeight="1">
      <c r="A32" s="6" t="inlineStr">
        <is>
          <t>Scarlett Lewis</t>
        </is>
      </c>
      <c r="B32" s="7" t="n">
        <v>86</v>
      </c>
      <c r="C32" s="7" t="n">
        <v>73</v>
      </c>
      <c r="D32" s="27" t="n">
        <v>97</v>
      </c>
      <c r="E32" s="7" t="n">
        <v>80</v>
      </c>
      <c r="F32" s="27" t="n">
        <v>90</v>
      </c>
      <c r="G32" s="28" t="n">
        <v>57</v>
      </c>
      <c r="H32" s="7" t="n">
        <v>84</v>
      </c>
      <c r="I32" s="28" t="n">
        <v>60</v>
      </c>
      <c r="J32" s="7" t="n">
        <v>75</v>
      </c>
      <c r="K32" s="7" t="n">
        <v>71</v>
      </c>
      <c r="L32" s="7" t="n">
        <v>75</v>
      </c>
      <c r="M32" s="28" t="n">
        <v>62</v>
      </c>
      <c r="N32" s="7" t="n">
        <v>80</v>
      </c>
      <c r="O32" s="7" t="n">
        <v>87</v>
      </c>
      <c r="P32" s="28" t="n">
        <v>55</v>
      </c>
      <c r="Q32" s="27" t="n">
        <v>97</v>
      </c>
      <c r="R32" s="7" t="n">
        <v>89</v>
      </c>
      <c r="S32" s="7" t="n">
        <v>84</v>
      </c>
      <c r="T32" s="7" t="n">
        <v>81</v>
      </c>
      <c r="U32" s="28" t="n">
        <v>58</v>
      </c>
      <c r="V32" s="29">
        <f>AVERAGE(B32:U32)</f>
        <v/>
      </c>
      <c r="W32" s="30">
        <f>IF(V32&gt;=90,"A",IF(V32&gt;=80,"B",IF(V32&gt;=70,"C",IF(V32&gt;=60,"D","F"))))</f>
        <v/>
      </c>
    </row>
    <row r="33" ht="22" customHeight="1">
      <c r="A33" s="9" t="inlineStr">
        <is>
          <t>Aiden Robinson</t>
        </is>
      </c>
      <c r="B33" s="32" t="n">
        <v>67</v>
      </c>
      <c r="C33" s="10" t="n">
        <v>88</v>
      </c>
      <c r="D33" s="10" t="n">
        <v>78</v>
      </c>
      <c r="E33" s="31" t="n">
        <v>94</v>
      </c>
      <c r="F33" s="10" t="n">
        <v>86</v>
      </c>
      <c r="G33" s="31" t="n">
        <v>95</v>
      </c>
      <c r="H33" s="10" t="n">
        <v>83</v>
      </c>
      <c r="I33" s="32" t="n">
        <v>58</v>
      </c>
      <c r="J33" s="32" t="n">
        <v>68</v>
      </c>
      <c r="K33" s="10" t="n">
        <v>72</v>
      </c>
      <c r="L33" s="31" t="n">
        <v>90</v>
      </c>
      <c r="M33" s="32" t="n">
        <v>63</v>
      </c>
      <c r="N33" s="10" t="n">
        <v>73</v>
      </c>
      <c r="O33" s="10" t="n">
        <v>83</v>
      </c>
      <c r="P33" s="31" t="n">
        <v>99</v>
      </c>
      <c r="Q33" s="10" t="n">
        <v>86</v>
      </c>
      <c r="R33" s="32" t="n">
        <v>62</v>
      </c>
      <c r="S33" s="32" t="n">
        <v>56</v>
      </c>
      <c r="T33" s="31" t="n">
        <v>95</v>
      </c>
      <c r="U33" s="31" t="n">
        <v>93</v>
      </c>
      <c r="V33" s="33">
        <f>AVERAGE(B33:U33)</f>
        <v/>
      </c>
      <c r="W33" s="34">
        <f>IF(V33&gt;=90,"A",IF(V33&gt;=80,"B",IF(V33&gt;=70,"C",IF(V33&gt;=60,"D","F"))))</f>
        <v/>
      </c>
    </row>
    <row r="34" ht="22" customHeight="1">
      <c r="A34" s="6" t="inlineStr">
        <is>
          <t>Grace Walker</t>
        </is>
      </c>
      <c r="B34" s="7" t="n">
        <v>70</v>
      </c>
      <c r="C34" s="27" t="n">
        <v>100</v>
      </c>
      <c r="D34" s="28" t="n">
        <v>65</v>
      </c>
      <c r="E34" s="7" t="n">
        <v>74</v>
      </c>
      <c r="F34" s="27" t="n">
        <v>90</v>
      </c>
      <c r="G34" s="28" t="n">
        <v>55</v>
      </c>
      <c r="H34" s="27" t="n">
        <v>90</v>
      </c>
      <c r="I34" s="7" t="n">
        <v>81</v>
      </c>
      <c r="J34" s="28" t="n">
        <v>60</v>
      </c>
      <c r="K34" s="28" t="n">
        <v>69</v>
      </c>
      <c r="L34" s="28" t="n">
        <v>62</v>
      </c>
      <c r="M34" s="7" t="n">
        <v>84</v>
      </c>
      <c r="N34" s="28" t="n">
        <v>62</v>
      </c>
      <c r="O34" s="27" t="n">
        <v>96</v>
      </c>
      <c r="P34" s="28" t="n">
        <v>64</v>
      </c>
      <c r="Q34" s="7" t="n">
        <v>86</v>
      </c>
      <c r="R34" s="27" t="n">
        <v>100</v>
      </c>
      <c r="S34" s="7" t="n">
        <v>73</v>
      </c>
      <c r="T34" s="7" t="n">
        <v>87</v>
      </c>
      <c r="U34" s="27" t="n">
        <v>100</v>
      </c>
      <c r="V34" s="29">
        <f>AVERAGE(B34:U34)</f>
        <v/>
      </c>
      <c r="W34" s="30">
        <f>IF(V34&gt;=90,"A",IF(V34&gt;=80,"B",IF(V34&gt;=70,"C",IF(V34&gt;=60,"D","F"))))</f>
        <v/>
      </c>
    </row>
    <row r="35" ht="22" customHeight="1">
      <c r="A35" s="9" t="inlineStr">
        <is>
          <t>Owen Young</t>
        </is>
      </c>
      <c r="B35" s="10" t="n">
        <v>72</v>
      </c>
      <c r="C35" s="10" t="n">
        <v>81</v>
      </c>
      <c r="D35" s="10" t="n">
        <v>85</v>
      </c>
      <c r="E35" s="10" t="n">
        <v>85</v>
      </c>
      <c r="F35" s="10" t="n">
        <v>70</v>
      </c>
      <c r="G35" s="10" t="n">
        <v>84</v>
      </c>
      <c r="H35" s="31" t="n">
        <v>90</v>
      </c>
      <c r="I35" s="32" t="n">
        <v>64</v>
      </c>
      <c r="J35" s="10" t="n">
        <v>79</v>
      </c>
      <c r="K35" s="32" t="n">
        <v>67</v>
      </c>
      <c r="L35" s="31" t="n">
        <v>93</v>
      </c>
      <c r="M35" s="10" t="n">
        <v>87</v>
      </c>
      <c r="N35" s="32" t="n">
        <v>63</v>
      </c>
      <c r="O35" s="32" t="n">
        <v>59</v>
      </c>
      <c r="P35" s="10" t="n">
        <v>72</v>
      </c>
      <c r="Q35" s="10" t="n">
        <v>81</v>
      </c>
      <c r="R35" s="10" t="n">
        <v>76</v>
      </c>
      <c r="S35" s="10" t="n">
        <v>87</v>
      </c>
      <c r="T35" s="10" t="n">
        <v>72</v>
      </c>
      <c r="U35" s="32" t="n">
        <v>55</v>
      </c>
      <c r="V35" s="33">
        <f>AVERAGE(B35:U35)</f>
        <v/>
      </c>
      <c r="W35" s="34">
        <f>IF(V35&gt;=90,"A",IF(V35&gt;=80,"B",IF(V35&gt;=70,"C",IF(V35&gt;=60,"D","F"))))</f>
        <v/>
      </c>
    </row>
    <row r="36" ht="22" customHeight="1">
      <c r="A36" s="6" t="inlineStr">
        <is>
          <t>Chloe Allen</t>
        </is>
      </c>
      <c r="B36" s="7" t="n">
        <v>73</v>
      </c>
      <c r="C36" s="7" t="n">
        <v>74</v>
      </c>
      <c r="D36" s="27" t="n">
        <v>92</v>
      </c>
      <c r="E36" s="27" t="n">
        <v>92</v>
      </c>
      <c r="F36" s="27" t="n">
        <v>97</v>
      </c>
      <c r="G36" s="7" t="n">
        <v>86</v>
      </c>
      <c r="H36" s="28" t="n">
        <v>64</v>
      </c>
      <c r="I36" s="7" t="n">
        <v>83</v>
      </c>
      <c r="J36" s="7" t="n">
        <v>89</v>
      </c>
      <c r="K36" s="7" t="n">
        <v>85</v>
      </c>
      <c r="L36" s="7" t="n">
        <v>77</v>
      </c>
      <c r="M36" s="7" t="n">
        <v>76</v>
      </c>
      <c r="N36" s="27" t="n">
        <v>90</v>
      </c>
      <c r="O36" s="7" t="n">
        <v>89</v>
      </c>
      <c r="P36" s="7" t="n">
        <v>79</v>
      </c>
      <c r="Q36" s="7" t="n">
        <v>84</v>
      </c>
      <c r="R36" s="7" t="n">
        <v>75</v>
      </c>
      <c r="S36" s="28" t="n">
        <v>67</v>
      </c>
      <c r="T36" s="27" t="n">
        <v>99</v>
      </c>
      <c r="U36" s="7" t="n">
        <v>70</v>
      </c>
      <c r="V36" s="29">
        <f>AVERAGE(B36:U36)</f>
        <v/>
      </c>
      <c r="W36" s="30">
        <f>IF(V36&gt;=90,"A",IF(V36&gt;=80,"B",IF(V36&gt;=70,"C",IF(V36&gt;=60,"D","F"))))</f>
        <v/>
      </c>
    </row>
    <row r="37" ht="22" customHeight="1">
      <c r="A37" s="9" t="inlineStr">
        <is>
          <t>Samuel King</t>
        </is>
      </c>
      <c r="B37" s="31" t="n">
        <v>91</v>
      </c>
      <c r="C37" s="10" t="n">
        <v>79</v>
      </c>
      <c r="D37" s="32" t="n">
        <v>69</v>
      </c>
      <c r="E37" s="10" t="n">
        <v>81</v>
      </c>
      <c r="F37" s="32" t="n">
        <v>57</v>
      </c>
      <c r="G37" s="10" t="n">
        <v>75</v>
      </c>
      <c r="H37" s="10" t="n">
        <v>85</v>
      </c>
      <c r="I37" s="31" t="n">
        <v>100</v>
      </c>
      <c r="J37" s="10" t="n">
        <v>79</v>
      </c>
      <c r="K37" s="10" t="n">
        <v>79</v>
      </c>
      <c r="L37" s="31" t="n">
        <v>97</v>
      </c>
      <c r="M37" s="31" t="n">
        <v>96</v>
      </c>
      <c r="N37" s="32" t="n">
        <v>64</v>
      </c>
      <c r="O37" s="10" t="n">
        <v>86</v>
      </c>
      <c r="P37" s="32" t="n">
        <v>57</v>
      </c>
      <c r="Q37" s="32" t="n">
        <v>63</v>
      </c>
      <c r="R37" s="10" t="n">
        <v>87</v>
      </c>
      <c r="S37" s="31" t="n">
        <v>92</v>
      </c>
      <c r="T37" s="10" t="n">
        <v>76</v>
      </c>
      <c r="U37" s="32" t="n">
        <v>61</v>
      </c>
      <c r="V37" s="33">
        <f>AVERAGE(B37:U37)</f>
        <v/>
      </c>
      <c r="W37" s="34">
        <f>IF(V37&gt;=90,"A",IF(V37&gt;=80,"B",IF(V37&gt;=70,"C",IF(V37&gt;=60,"D","F"))))</f>
        <v/>
      </c>
    </row>
    <row r="38" ht="22" customHeight="1">
      <c r="A38" s="6" t="inlineStr">
        <is>
          <t>Victoria Wright</t>
        </is>
      </c>
      <c r="B38" s="7" t="n">
        <v>83</v>
      </c>
      <c r="C38" s="28" t="n">
        <v>61</v>
      </c>
      <c r="D38" s="7" t="n">
        <v>88</v>
      </c>
      <c r="E38" s="7" t="n">
        <v>84</v>
      </c>
      <c r="F38" s="28" t="n">
        <v>55</v>
      </c>
      <c r="G38" s="28" t="n">
        <v>64</v>
      </c>
      <c r="H38" s="7" t="n">
        <v>81</v>
      </c>
      <c r="I38" s="27" t="n">
        <v>96</v>
      </c>
      <c r="J38" s="28" t="n">
        <v>64</v>
      </c>
      <c r="K38" s="28" t="n">
        <v>59</v>
      </c>
      <c r="L38" s="7" t="n">
        <v>85</v>
      </c>
      <c r="M38" s="7" t="n">
        <v>71</v>
      </c>
      <c r="N38" s="7" t="n">
        <v>76</v>
      </c>
      <c r="O38" s="27" t="n">
        <v>94</v>
      </c>
      <c r="P38" s="27" t="n">
        <v>99</v>
      </c>
      <c r="Q38" s="7" t="n">
        <v>80</v>
      </c>
      <c r="R38" s="27" t="n">
        <v>96</v>
      </c>
      <c r="S38" s="28" t="n">
        <v>60</v>
      </c>
      <c r="T38" s="7" t="n">
        <v>76</v>
      </c>
      <c r="U38" s="27" t="n">
        <v>98</v>
      </c>
      <c r="V38" s="29">
        <f>AVERAGE(B38:U38)</f>
        <v/>
      </c>
      <c r="W38" s="30">
        <f>IF(V38&gt;=90,"A",IF(V38&gt;=80,"B",IF(V38&gt;=70,"C",IF(V38&gt;=60,"D","F"))))</f>
        <v/>
      </c>
    </row>
    <row r="39" ht="22" customHeight="1">
      <c r="A39" s="9" t="inlineStr">
        <is>
          <t>Ryan Scott</t>
        </is>
      </c>
      <c r="B39" s="10" t="n">
        <v>89</v>
      </c>
      <c r="C39" s="10" t="n">
        <v>79</v>
      </c>
      <c r="D39" s="10" t="n">
        <v>75</v>
      </c>
      <c r="E39" s="31" t="n">
        <v>95</v>
      </c>
      <c r="F39" s="31" t="n">
        <v>100</v>
      </c>
      <c r="G39" s="10" t="n">
        <v>86</v>
      </c>
      <c r="H39" s="10" t="n">
        <v>89</v>
      </c>
      <c r="I39" s="32" t="n">
        <v>57</v>
      </c>
      <c r="J39" s="31" t="n">
        <v>94</v>
      </c>
      <c r="K39" s="32" t="n">
        <v>59</v>
      </c>
      <c r="L39" s="10" t="n">
        <v>70</v>
      </c>
      <c r="M39" s="31" t="n">
        <v>95</v>
      </c>
      <c r="N39" s="31" t="n">
        <v>98</v>
      </c>
      <c r="O39" s="10" t="n">
        <v>73</v>
      </c>
      <c r="P39" s="32" t="n">
        <v>69</v>
      </c>
      <c r="Q39" s="32" t="n">
        <v>60</v>
      </c>
      <c r="R39" s="10" t="n">
        <v>82</v>
      </c>
      <c r="S39" s="32" t="n">
        <v>61</v>
      </c>
      <c r="T39" s="31" t="n">
        <v>95</v>
      </c>
      <c r="U39" s="31" t="n">
        <v>100</v>
      </c>
      <c r="V39" s="33">
        <f>AVERAGE(B39:U39)</f>
        <v/>
      </c>
      <c r="W39" s="34">
        <f>IF(V39&gt;=90,"A",IF(V39&gt;=80,"B",IF(V39&gt;=70,"C",IF(V39&gt;=60,"D","F"))))</f>
        <v/>
      </c>
    </row>
    <row r="40" ht="22" customHeight="1">
      <c r="A40" s="6" t="inlineStr">
        <is>
          <t>Riley Torres</t>
        </is>
      </c>
      <c r="B40" s="28" t="n">
        <v>61</v>
      </c>
      <c r="C40" s="7" t="n">
        <v>83</v>
      </c>
      <c r="D40" s="28" t="n">
        <v>65</v>
      </c>
      <c r="E40" s="27" t="n">
        <v>99</v>
      </c>
      <c r="F40" s="7" t="n">
        <v>74</v>
      </c>
      <c r="G40" s="28" t="n">
        <v>56</v>
      </c>
      <c r="H40" s="28" t="n">
        <v>57</v>
      </c>
      <c r="I40" s="7" t="n">
        <v>75</v>
      </c>
      <c r="J40" s="28" t="n">
        <v>58</v>
      </c>
      <c r="K40" s="7" t="n">
        <v>73</v>
      </c>
      <c r="L40" s="7" t="n">
        <v>77</v>
      </c>
      <c r="M40" s="7" t="n">
        <v>78</v>
      </c>
      <c r="N40" s="7" t="n">
        <v>82</v>
      </c>
      <c r="O40" s="28" t="n">
        <v>64</v>
      </c>
      <c r="P40" s="7" t="n">
        <v>70</v>
      </c>
      <c r="Q40" s="7" t="n">
        <v>88</v>
      </c>
      <c r="R40" s="7" t="n">
        <v>81</v>
      </c>
      <c r="S40" s="27" t="n">
        <v>91</v>
      </c>
      <c r="T40" s="27" t="n">
        <v>98</v>
      </c>
      <c r="U40" s="28" t="n">
        <v>66</v>
      </c>
      <c r="V40" s="29">
        <f>AVERAGE(B40:U40)</f>
        <v/>
      </c>
      <c r="W40" s="30">
        <f>IF(V40&gt;=90,"A",IF(V40&gt;=80,"B",IF(V40&gt;=70,"C",IF(V40&gt;=60,"D","F"))))</f>
        <v/>
      </c>
    </row>
    <row r="41" ht="22" customHeight="1">
      <c r="A41" s="9" t="inlineStr">
        <is>
          <t>Nathan Nguyen</t>
        </is>
      </c>
      <c r="B41" s="32" t="n">
        <v>65</v>
      </c>
      <c r="C41" s="32" t="n">
        <v>66</v>
      </c>
      <c r="D41" s="32" t="n">
        <v>60</v>
      </c>
      <c r="E41" s="31" t="n">
        <v>94</v>
      </c>
      <c r="F41" s="10" t="n">
        <v>79</v>
      </c>
      <c r="G41" s="31" t="n">
        <v>94</v>
      </c>
      <c r="H41" s="31" t="n">
        <v>98</v>
      </c>
      <c r="I41" s="10" t="n">
        <v>70</v>
      </c>
      <c r="J41" s="10" t="n">
        <v>86</v>
      </c>
      <c r="K41" s="31" t="n">
        <v>92</v>
      </c>
      <c r="L41" s="32" t="n">
        <v>64</v>
      </c>
      <c r="M41" s="32" t="n">
        <v>69</v>
      </c>
      <c r="N41" s="10" t="n">
        <v>84</v>
      </c>
      <c r="O41" s="31" t="n">
        <v>95</v>
      </c>
      <c r="P41" s="10" t="n">
        <v>71</v>
      </c>
      <c r="Q41" s="10" t="n">
        <v>84</v>
      </c>
      <c r="R41" s="10" t="n">
        <v>71</v>
      </c>
      <c r="S41" s="31" t="n">
        <v>97</v>
      </c>
      <c r="T41" s="32" t="n">
        <v>55</v>
      </c>
      <c r="U41" s="10" t="n">
        <v>84</v>
      </c>
      <c r="V41" s="33">
        <f>AVERAGE(B41:U41)</f>
        <v/>
      </c>
      <c r="W41" s="34">
        <f>IF(V41&gt;=90,"A",IF(V41&gt;=80,"B",IF(V41&gt;=70,"C",IF(V41&gt;=60,"D","F"))))</f>
        <v/>
      </c>
    </row>
    <row r="42" ht="22" customHeight="1">
      <c r="A42" s="6" t="inlineStr">
        <is>
          <t>Aria Hill</t>
        </is>
      </c>
      <c r="B42" s="7" t="n">
        <v>73</v>
      </c>
      <c r="C42" s="27" t="n">
        <v>98</v>
      </c>
      <c r="D42" s="7" t="n">
        <v>89</v>
      </c>
      <c r="E42" s="28" t="n">
        <v>65</v>
      </c>
      <c r="F42" s="28" t="n">
        <v>59</v>
      </c>
      <c r="G42" s="7" t="n">
        <v>83</v>
      </c>
      <c r="H42" s="7" t="n">
        <v>77</v>
      </c>
      <c r="I42" s="27" t="n">
        <v>92</v>
      </c>
      <c r="J42" s="7" t="n">
        <v>74</v>
      </c>
      <c r="K42" s="27" t="n">
        <v>95</v>
      </c>
      <c r="L42" s="7" t="n">
        <v>82</v>
      </c>
      <c r="M42" s="27" t="n">
        <v>99</v>
      </c>
      <c r="N42" s="7" t="n">
        <v>71</v>
      </c>
      <c r="O42" s="7" t="n">
        <v>84</v>
      </c>
      <c r="P42" s="7" t="n">
        <v>74</v>
      </c>
      <c r="Q42" s="28" t="n">
        <v>67</v>
      </c>
      <c r="R42" s="7" t="n">
        <v>79</v>
      </c>
      <c r="S42" s="7" t="n">
        <v>85</v>
      </c>
      <c r="T42" s="28" t="n">
        <v>61</v>
      </c>
      <c r="U42" s="7" t="n">
        <v>70</v>
      </c>
      <c r="V42" s="29">
        <f>AVERAGE(B42:U42)</f>
        <v/>
      </c>
      <c r="W42" s="30">
        <f>IF(V42&gt;=90,"A",IF(V42&gt;=80,"B",IF(V42&gt;=70,"C",IF(V42&gt;=60,"D","F"))))</f>
        <v/>
      </c>
    </row>
    <row r="43" ht="22" customHeight="1">
      <c r="A43" s="9" t="inlineStr">
        <is>
          <t>Caleb Flores</t>
        </is>
      </c>
      <c r="B43" s="10" t="n">
        <v>79</v>
      </c>
      <c r="C43" s="31" t="n">
        <v>91</v>
      </c>
      <c r="D43" s="10" t="n">
        <v>77</v>
      </c>
      <c r="E43" s="31" t="n">
        <v>91</v>
      </c>
      <c r="F43" s="10" t="n">
        <v>73</v>
      </c>
      <c r="G43" s="31" t="n">
        <v>99</v>
      </c>
      <c r="H43" s="10" t="n">
        <v>73</v>
      </c>
      <c r="I43" s="32" t="n">
        <v>56</v>
      </c>
      <c r="J43" s="31" t="n">
        <v>97</v>
      </c>
      <c r="K43" s="10" t="n">
        <v>80</v>
      </c>
      <c r="L43" s="10" t="n">
        <v>72</v>
      </c>
      <c r="M43" s="32" t="n">
        <v>55</v>
      </c>
      <c r="N43" s="31" t="n">
        <v>91</v>
      </c>
      <c r="O43" s="31" t="n">
        <v>98</v>
      </c>
      <c r="P43" s="32" t="n">
        <v>58</v>
      </c>
      <c r="Q43" s="31" t="n">
        <v>93</v>
      </c>
      <c r="R43" s="10" t="n">
        <v>86</v>
      </c>
      <c r="S43" s="10" t="n">
        <v>73</v>
      </c>
      <c r="T43" s="32" t="n">
        <v>69</v>
      </c>
      <c r="U43" s="31" t="n">
        <v>93</v>
      </c>
      <c r="V43" s="33">
        <f>AVERAGE(B43:U43)</f>
        <v/>
      </c>
      <c r="W43" s="34">
        <f>IF(V43&gt;=90,"A",IF(V43&gt;=80,"B",IF(V43&gt;=70,"C",IF(V43&gt;=60,"D","F"))))</f>
        <v/>
      </c>
    </row>
    <row r="45">
      <c r="A45" s="35" t="inlineStr">
        <is>
          <t>CLASS AVERAGE</t>
        </is>
      </c>
      <c r="B45" s="36">
        <f>AVERAGE(B4:B43)</f>
        <v/>
      </c>
      <c r="C45" s="36">
        <f>AVERAGE(C4:C43)</f>
        <v/>
      </c>
      <c r="D45" s="36">
        <f>AVERAGE(D4:D43)</f>
        <v/>
      </c>
      <c r="E45" s="36">
        <f>AVERAGE(E4:E43)</f>
        <v/>
      </c>
      <c r="F45" s="36">
        <f>AVERAGE(F4:F43)</f>
        <v/>
      </c>
      <c r="G45" s="36">
        <f>AVERAGE(G4:G43)</f>
        <v/>
      </c>
      <c r="H45" s="36">
        <f>AVERAGE(H4:H43)</f>
        <v/>
      </c>
      <c r="I45" s="36">
        <f>AVERAGE(I4:I43)</f>
        <v/>
      </c>
      <c r="J45" s="36">
        <f>AVERAGE(J4:J43)</f>
        <v/>
      </c>
      <c r="K45" s="36">
        <f>AVERAGE(K4:K43)</f>
        <v/>
      </c>
      <c r="L45" s="36">
        <f>AVERAGE(L4:L43)</f>
        <v/>
      </c>
      <c r="M45" s="36">
        <f>AVERAGE(M4:M43)</f>
        <v/>
      </c>
      <c r="N45" s="36">
        <f>AVERAGE(N4:N43)</f>
        <v/>
      </c>
      <c r="O45" s="36">
        <f>AVERAGE(O4:O43)</f>
        <v/>
      </c>
      <c r="P45" s="36">
        <f>AVERAGE(P4:P43)</f>
        <v/>
      </c>
      <c r="Q45" s="36">
        <f>AVERAGE(Q4:Q43)</f>
        <v/>
      </c>
      <c r="R45" s="36">
        <f>AVERAGE(R4:R43)</f>
        <v/>
      </c>
      <c r="S45" s="36">
        <f>AVERAGE(S4:S43)</f>
        <v/>
      </c>
      <c r="T45" s="36">
        <f>AVERAGE(T4:T43)</f>
        <v/>
      </c>
      <c r="U45" s="36">
        <f>AVERAGE(U4:U43)</f>
        <v/>
      </c>
      <c r="V45" s="36">
        <f>AVERAGE(V4:V43)</f>
        <v/>
      </c>
    </row>
  </sheetData>
  <autoFilter ref="A3:W43"/>
  <mergeCells count="3">
    <mergeCell ref="A2:W2"/>
    <mergeCell ref="A1:W1"/>
    <mergeCell ref="A45"/>
  </mergeCells>
  <conditionalFormatting sqref="W4:W43">
    <cfRule type="cellIs" priority="1" operator="equal" dxfId="0">
      <formula>"A"</formula>
    </cfRule>
    <cfRule type="cellIs" priority="2" operator="equal" dxfId="1">
      <formula>"F"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69E2E"/>
    <outlinePr summaryBelow="1" summaryRight="1"/>
    <pageSetUpPr/>
  </sheetPr>
  <dimension ref="A1:AG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14" customWidth="1" min="33" max="33"/>
  </cols>
  <sheetData>
    <row r="1" ht="45" customHeight="1">
      <c r="A1" s="37" t="inlineStr">
        <is>
          <t>ATTENDANCE TRACKER  |  Teacher Classroom Planner 2026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</row>
    <row r="2" ht="25" customHeight="1">
      <c r="A2" s="39" t="inlineStr">
        <is>
          <t>P = Present  |  A = Absent  |  T = Tardy  |  E = Excused  — Monthly tracking for up to 31 days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</row>
    <row r="3" ht="30" customHeight="1">
      <c r="A3" s="41" t="inlineStr">
        <is>
          <t>Student Name</t>
        </is>
      </c>
      <c r="B3" s="41" t="inlineStr">
        <is>
          <t>Day 1</t>
        </is>
      </c>
      <c r="C3" s="41" t="inlineStr">
        <is>
          <t>Day 2</t>
        </is>
      </c>
      <c r="D3" s="41" t="inlineStr">
        <is>
          <t>Day 3</t>
        </is>
      </c>
      <c r="E3" s="41" t="inlineStr">
        <is>
          <t>Day 4</t>
        </is>
      </c>
      <c r="F3" s="41" t="inlineStr">
        <is>
          <t>Day 5</t>
        </is>
      </c>
      <c r="G3" s="41" t="inlineStr">
        <is>
          <t>Day 6</t>
        </is>
      </c>
      <c r="H3" s="41" t="inlineStr">
        <is>
          <t>Day 7</t>
        </is>
      </c>
      <c r="I3" s="41" t="inlineStr">
        <is>
          <t>Day 8</t>
        </is>
      </c>
      <c r="J3" s="41" t="inlineStr">
        <is>
          <t>Day 9</t>
        </is>
      </c>
      <c r="K3" s="41" t="inlineStr">
        <is>
          <t>Day 10</t>
        </is>
      </c>
      <c r="L3" s="41" t="inlineStr">
        <is>
          <t>Day 11</t>
        </is>
      </c>
      <c r="M3" s="41" t="inlineStr">
        <is>
          <t>Day 12</t>
        </is>
      </c>
      <c r="N3" s="41" t="inlineStr">
        <is>
          <t>Day 13</t>
        </is>
      </c>
      <c r="O3" s="41" t="inlineStr">
        <is>
          <t>Day 14</t>
        </is>
      </c>
      <c r="P3" s="41" t="inlineStr">
        <is>
          <t>Day 15</t>
        </is>
      </c>
      <c r="Q3" s="41" t="inlineStr">
        <is>
          <t>Day 16</t>
        </is>
      </c>
      <c r="R3" s="41" t="inlineStr">
        <is>
          <t>Day 17</t>
        </is>
      </c>
      <c r="S3" s="41" t="inlineStr">
        <is>
          <t>Day 18</t>
        </is>
      </c>
      <c r="T3" s="41" t="inlineStr">
        <is>
          <t>Day 19</t>
        </is>
      </c>
      <c r="U3" s="41" t="inlineStr">
        <is>
          <t>Day 20</t>
        </is>
      </c>
      <c r="V3" s="41" t="inlineStr">
        <is>
          <t>Day 21</t>
        </is>
      </c>
      <c r="W3" s="41" t="inlineStr">
        <is>
          <t>Day 22</t>
        </is>
      </c>
      <c r="X3" s="41" t="inlineStr">
        <is>
          <t>Day 23</t>
        </is>
      </c>
      <c r="Y3" s="41" t="inlineStr">
        <is>
          <t>Day 24</t>
        </is>
      </c>
      <c r="Z3" s="41" t="inlineStr">
        <is>
          <t>Day 25</t>
        </is>
      </c>
      <c r="AA3" s="41" t="inlineStr">
        <is>
          <t>Day 26</t>
        </is>
      </c>
      <c r="AB3" s="41" t="inlineStr">
        <is>
          <t>Day 27</t>
        </is>
      </c>
      <c r="AC3" s="41" t="inlineStr">
        <is>
          <t>Day 28</t>
        </is>
      </c>
      <c r="AD3" s="41" t="inlineStr">
        <is>
          <t>Day 29</t>
        </is>
      </c>
      <c r="AE3" s="41" t="inlineStr">
        <is>
          <t>Day 30</t>
        </is>
      </c>
      <c r="AF3" s="41" t="inlineStr">
        <is>
          <t>Day 31</t>
        </is>
      </c>
      <c r="AG3" s="41" t="inlineStr">
        <is>
          <t>Attendance %</t>
        </is>
      </c>
    </row>
    <row r="4" ht="20" customHeight="1">
      <c r="A4" s="6" t="inlineStr">
        <is>
          <t>Emma Smith</t>
        </is>
      </c>
      <c r="B4" s="42" t="inlineStr">
        <is>
          <t>P</t>
        </is>
      </c>
      <c r="C4" s="42" t="inlineStr">
        <is>
          <t>P</t>
        </is>
      </c>
      <c r="D4" s="42" t="inlineStr">
        <is>
          <t>P</t>
        </is>
      </c>
      <c r="E4" s="42" t="inlineStr">
        <is>
          <t>P</t>
        </is>
      </c>
      <c r="F4" s="42" t="inlineStr">
        <is>
          <t>P</t>
        </is>
      </c>
      <c r="G4" s="42" t="inlineStr">
        <is>
          <t>P</t>
        </is>
      </c>
      <c r="H4" s="42" t="inlineStr">
        <is>
          <t>P</t>
        </is>
      </c>
      <c r="I4" s="42" t="inlineStr">
        <is>
          <t>P</t>
        </is>
      </c>
      <c r="J4" s="43" t="inlineStr">
        <is>
          <t>A</t>
        </is>
      </c>
      <c r="K4" s="42" t="inlineStr">
        <is>
          <t>P</t>
        </is>
      </c>
      <c r="L4" s="42" t="inlineStr">
        <is>
          <t>P</t>
        </is>
      </c>
      <c r="M4" s="42" t="inlineStr">
        <is>
          <t>P</t>
        </is>
      </c>
      <c r="N4" s="42" t="inlineStr">
        <is>
          <t>P</t>
        </is>
      </c>
      <c r="O4" s="42" t="inlineStr">
        <is>
          <t>P</t>
        </is>
      </c>
      <c r="P4" s="42" t="inlineStr">
        <is>
          <t>P</t>
        </is>
      </c>
      <c r="Q4" s="43" t="inlineStr">
        <is>
          <t>A</t>
        </is>
      </c>
      <c r="R4" s="42" t="inlineStr">
        <is>
          <t>P</t>
        </is>
      </c>
      <c r="S4" s="42" t="inlineStr">
        <is>
          <t>P</t>
        </is>
      </c>
      <c r="T4" s="42" t="inlineStr">
        <is>
          <t>P</t>
        </is>
      </c>
      <c r="U4" s="42" t="inlineStr">
        <is>
          <t>P</t>
        </is>
      </c>
      <c r="V4" s="42" t="inlineStr">
        <is>
          <t>P</t>
        </is>
      </c>
      <c r="W4" s="42" t="inlineStr">
        <is>
          <t>E</t>
        </is>
      </c>
      <c r="X4" s="42" t="inlineStr">
        <is>
          <t>P</t>
        </is>
      </c>
      <c r="Y4" s="42" t="inlineStr">
        <is>
          <t>P</t>
        </is>
      </c>
      <c r="Z4" s="42" t="inlineStr">
        <is>
          <t>P</t>
        </is>
      </c>
      <c r="AA4" s="42" t="inlineStr">
        <is>
          <t>P</t>
        </is>
      </c>
      <c r="AB4" s="42" t="inlineStr">
        <is>
          <t>P</t>
        </is>
      </c>
      <c r="AC4" s="42" t="inlineStr">
        <is>
          <t>P</t>
        </is>
      </c>
      <c r="AD4" s="42" t="inlineStr">
        <is>
          <t>P</t>
        </is>
      </c>
      <c r="AE4" s="43" t="inlineStr">
        <is>
          <t>A</t>
        </is>
      </c>
      <c r="AF4" s="42" t="inlineStr">
        <is>
          <t>P</t>
        </is>
      </c>
      <c r="AG4" s="44">
        <f>COUNTIF(B4:AF4,"P")/COUNTA(B4:AF4)</f>
        <v/>
      </c>
    </row>
    <row r="5" ht="20" customHeight="1">
      <c r="A5" s="9" t="inlineStr">
        <is>
          <t>Liam Johnson</t>
        </is>
      </c>
      <c r="B5" s="45" t="inlineStr">
        <is>
          <t>P</t>
        </is>
      </c>
      <c r="C5" s="45" t="inlineStr">
        <is>
          <t>P</t>
        </is>
      </c>
      <c r="D5" s="45" t="inlineStr">
        <is>
          <t>P</t>
        </is>
      </c>
      <c r="E5" s="45" t="inlineStr">
        <is>
          <t>P</t>
        </is>
      </c>
      <c r="F5" s="45" t="inlineStr">
        <is>
          <t>P</t>
        </is>
      </c>
      <c r="G5" s="46" t="inlineStr">
        <is>
          <t>T</t>
        </is>
      </c>
      <c r="H5" s="45" t="inlineStr">
        <is>
          <t>E</t>
        </is>
      </c>
      <c r="I5" s="45" t="inlineStr">
        <is>
          <t>P</t>
        </is>
      </c>
      <c r="J5" s="45" t="inlineStr">
        <is>
          <t>P</t>
        </is>
      </c>
      <c r="K5" s="46" t="inlineStr">
        <is>
          <t>T</t>
        </is>
      </c>
      <c r="L5" s="45" t="inlineStr">
        <is>
          <t>P</t>
        </is>
      </c>
      <c r="M5" s="45" t="inlineStr">
        <is>
          <t>P</t>
        </is>
      </c>
      <c r="N5" s="45" t="inlineStr">
        <is>
          <t>E</t>
        </is>
      </c>
      <c r="O5" s="45" t="inlineStr">
        <is>
          <t>P</t>
        </is>
      </c>
      <c r="P5" s="45" t="inlineStr">
        <is>
          <t>P</t>
        </is>
      </c>
      <c r="Q5" s="45" t="inlineStr">
        <is>
          <t>P</t>
        </is>
      </c>
      <c r="R5" s="45" t="inlineStr">
        <is>
          <t>P</t>
        </is>
      </c>
      <c r="S5" s="45" t="inlineStr">
        <is>
          <t>P</t>
        </is>
      </c>
      <c r="T5" s="46" t="inlineStr">
        <is>
          <t>T</t>
        </is>
      </c>
      <c r="U5" s="45" t="inlineStr">
        <is>
          <t>P</t>
        </is>
      </c>
      <c r="V5" s="45" t="inlineStr">
        <is>
          <t>P</t>
        </is>
      </c>
      <c r="W5" s="45" t="inlineStr">
        <is>
          <t>P</t>
        </is>
      </c>
      <c r="X5" s="45" t="inlineStr">
        <is>
          <t>P</t>
        </is>
      </c>
      <c r="Y5" s="45" t="inlineStr">
        <is>
          <t>P</t>
        </is>
      </c>
      <c r="Z5" s="45" t="inlineStr">
        <is>
          <t>P</t>
        </is>
      </c>
      <c r="AA5" s="45" t="inlineStr">
        <is>
          <t>E</t>
        </is>
      </c>
      <c r="AB5" s="45" t="inlineStr">
        <is>
          <t>P</t>
        </is>
      </c>
      <c r="AC5" s="45" t="inlineStr">
        <is>
          <t>P</t>
        </is>
      </c>
      <c r="AD5" s="45" t="inlineStr">
        <is>
          <t>P</t>
        </is>
      </c>
      <c r="AE5" s="45" t="inlineStr">
        <is>
          <t>P</t>
        </is>
      </c>
      <c r="AF5" s="45" t="inlineStr">
        <is>
          <t>P</t>
        </is>
      </c>
      <c r="AG5" s="47">
        <f>COUNTIF(B5:AF5,"P")/COUNTA(B5:AF5)</f>
        <v/>
      </c>
    </row>
    <row r="6" ht="20" customHeight="1">
      <c r="A6" s="6" t="inlineStr">
        <is>
          <t>Olivia Williams</t>
        </is>
      </c>
      <c r="B6" s="43" t="inlineStr">
        <is>
          <t>A</t>
        </is>
      </c>
      <c r="C6" s="42" t="inlineStr">
        <is>
          <t>P</t>
        </is>
      </c>
      <c r="D6" s="42" t="inlineStr">
        <is>
          <t>P</t>
        </is>
      </c>
      <c r="E6" s="42" t="inlineStr">
        <is>
          <t>P</t>
        </is>
      </c>
      <c r="F6" s="42" t="inlineStr">
        <is>
          <t>P</t>
        </is>
      </c>
      <c r="G6" s="42" t="inlineStr">
        <is>
          <t>P</t>
        </is>
      </c>
      <c r="H6" s="43" t="inlineStr">
        <is>
          <t>A</t>
        </is>
      </c>
      <c r="I6" s="42" t="inlineStr">
        <is>
          <t>P</t>
        </is>
      </c>
      <c r="J6" s="42" t="inlineStr">
        <is>
          <t>P</t>
        </is>
      </c>
      <c r="K6" s="42" t="inlineStr">
        <is>
          <t>P</t>
        </is>
      </c>
      <c r="L6" s="42" t="inlineStr">
        <is>
          <t>P</t>
        </is>
      </c>
      <c r="M6" s="42" t="inlineStr">
        <is>
          <t>E</t>
        </is>
      </c>
      <c r="N6" s="42" t="inlineStr">
        <is>
          <t>P</t>
        </is>
      </c>
      <c r="O6" s="48" t="inlineStr">
        <is>
          <t>T</t>
        </is>
      </c>
      <c r="P6" s="42" t="inlineStr">
        <is>
          <t>P</t>
        </is>
      </c>
      <c r="Q6" s="42" t="inlineStr">
        <is>
          <t>P</t>
        </is>
      </c>
      <c r="R6" s="42" t="inlineStr">
        <is>
          <t>E</t>
        </is>
      </c>
      <c r="S6" s="42" t="inlineStr">
        <is>
          <t>P</t>
        </is>
      </c>
      <c r="T6" s="42" t="inlineStr">
        <is>
          <t>P</t>
        </is>
      </c>
      <c r="U6" s="42" t="inlineStr">
        <is>
          <t>P</t>
        </is>
      </c>
      <c r="V6" s="42" t="inlineStr">
        <is>
          <t>P</t>
        </is>
      </c>
      <c r="W6" s="42" t="inlineStr">
        <is>
          <t>P</t>
        </is>
      </c>
      <c r="X6" s="42" t="inlineStr">
        <is>
          <t>P</t>
        </is>
      </c>
      <c r="Y6" s="42" t="inlineStr">
        <is>
          <t>P</t>
        </is>
      </c>
      <c r="Z6" s="42" t="inlineStr">
        <is>
          <t>P</t>
        </is>
      </c>
      <c r="AA6" s="42" t="inlineStr">
        <is>
          <t>P</t>
        </is>
      </c>
      <c r="AB6" s="42" t="inlineStr">
        <is>
          <t>P</t>
        </is>
      </c>
      <c r="AC6" s="42" t="inlineStr">
        <is>
          <t>P</t>
        </is>
      </c>
      <c r="AD6" s="42" t="inlineStr">
        <is>
          <t>P</t>
        </is>
      </c>
      <c r="AE6" s="42" t="inlineStr">
        <is>
          <t>P</t>
        </is>
      </c>
      <c r="AF6" s="42" t="inlineStr">
        <is>
          <t>P</t>
        </is>
      </c>
      <c r="AG6" s="44">
        <f>COUNTIF(B6:AF6,"P")/COUNTA(B6:AF6)</f>
        <v/>
      </c>
    </row>
    <row r="7" ht="20" customHeight="1">
      <c r="A7" s="9" t="inlineStr">
        <is>
          <t>Noah Brown</t>
        </is>
      </c>
      <c r="B7" s="45" t="inlineStr">
        <is>
          <t>P</t>
        </is>
      </c>
      <c r="C7" s="45" t="inlineStr">
        <is>
          <t>P</t>
        </is>
      </c>
      <c r="D7" s="45" t="inlineStr">
        <is>
          <t>P</t>
        </is>
      </c>
      <c r="E7" s="45" t="inlineStr">
        <is>
          <t>P</t>
        </is>
      </c>
      <c r="F7" s="45" t="inlineStr">
        <is>
          <t>E</t>
        </is>
      </c>
      <c r="G7" s="45" t="inlineStr">
        <is>
          <t>P</t>
        </is>
      </c>
      <c r="H7" s="45" t="inlineStr">
        <is>
          <t>P</t>
        </is>
      </c>
      <c r="I7" s="46" t="inlineStr">
        <is>
          <t>T</t>
        </is>
      </c>
      <c r="J7" s="45" t="inlineStr">
        <is>
          <t>P</t>
        </is>
      </c>
      <c r="K7" s="45" t="inlineStr">
        <is>
          <t>P</t>
        </is>
      </c>
      <c r="L7" s="45" t="inlineStr">
        <is>
          <t>P</t>
        </is>
      </c>
      <c r="M7" s="45" t="inlineStr">
        <is>
          <t>P</t>
        </is>
      </c>
      <c r="N7" s="45" t="inlineStr">
        <is>
          <t>P</t>
        </is>
      </c>
      <c r="O7" s="45" t="inlineStr">
        <is>
          <t>P</t>
        </is>
      </c>
      <c r="P7" s="45" t="inlineStr">
        <is>
          <t>P</t>
        </is>
      </c>
      <c r="Q7" s="45" t="inlineStr">
        <is>
          <t>P</t>
        </is>
      </c>
      <c r="R7" s="45" t="inlineStr">
        <is>
          <t>P</t>
        </is>
      </c>
      <c r="S7" s="45" t="inlineStr">
        <is>
          <t>P</t>
        </is>
      </c>
      <c r="T7" s="45" t="inlineStr">
        <is>
          <t>P</t>
        </is>
      </c>
      <c r="U7" s="45" t="inlineStr">
        <is>
          <t>P</t>
        </is>
      </c>
      <c r="V7" s="45" t="inlineStr">
        <is>
          <t>P</t>
        </is>
      </c>
      <c r="W7" s="45" t="inlineStr">
        <is>
          <t>P</t>
        </is>
      </c>
      <c r="X7" s="45" t="inlineStr">
        <is>
          <t>P</t>
        </is>
      </c>
      <c r="Y7" s="45" t="inlineStr">
        <is>
          <t>E</t>
        </is>
      </c>
      <c r="Z7" s="45" t="inlineStr">
        <is>
          <t>P</t>
        </is>
      </c>
      <c r="AA7" s="45" t="inlineStr">
        <is>
          <t>P</t>
        </is>
      </c>
      <c r="AB7" s="45" t="inlineStr">
        <is>
          <t>P</t>
        </is>
      </c>
      <c r="AC7" s="45" t="inlineStr">
        <is>
          <t>P</t>
        </is>
      </c>
      <c r="AD7" s="45" t="inlineStr">
        <is>
          <t>P</t>
        </is>
      </c>
      <c r="AE7" s="45" t="inlineStr">
        <is>
          <t>P</t>
        </is>
      </c>
      <c r="AF7" s="45" t="inlineStr">
        <is>
          <t>P</t>
        </is>
      </c>
      <c r="AG7" s="47">
        <f>COUNTIF(B7:AF7,"P")/COUNTA(B7:AF7)</f>
        <v/>
      </c>
    </row>
    <row r="8" ht="20" customHeight="1">
      <c r="A8" s="6" t="inlineStr">
        <is>
          <t>Ava Jones</t>
        </is>
      </c>
      <c r="B8" s="42" t="inlineStr">
        <is>
          <t>P</t>
        </is>
      </c>
      <c r="C8" s="42" t="inlineStr">
        <is>
          <t>P</t>
        </is>
      </c>
      <c r="D8" s="42" t="inlineStr">
        <is>
          <t>P</t>
        </is>
      </c>
      <c r="E8" s="42" t="inlineStr">
        <is>
          <t>P</t>
        </is>
      </c>
      <c r="F8" s="42" t="inlineStr">
        <is>
          <t>E</t>
        </is>
      </c>
      <c r="G8" s="42" t="inlineStr">
        <is>
          <t>P</t>
        </is>
      </c>
      <c r="H8" s="42" t="inlineStr">
        <is>
          <t>P</t>
        </is>
      </c>
      <c r="I8" s="42" t="inlineStr">
        <is>
          <t>P</t>
        </is>
      </c>
      <c r="J8" s="42" t="inlineStr">
        <is>
          <t>P</t>
        </is>
      </c>
      <c r="K8" s="42" t="inlineStr">
        <is>
          <t>P</t>
        </is>
      </c>
      <c r="L8" s="42" t="inlineStr">
        <is>
          <t>P</t>
        </is>
      </c>
      <c r="M8" s="42" t="inlineStr">
        <is>
          <t>P</t>
        </is>
      </c>
      <c r="N8" s="42" t="inlineStr">
        <is>
          <t>P</t>
        </is>
      </c>
      <c r="O8" s="42" t="inlineStr">
        <is>
          <t>P</t>
        </is>
      </c>
      <c r="P8" s="42" t="inlineStr">
        <is>
          <t>P</t>
        </is>
      </c>
      <c r="Q8" s="42" t="inlineStr">
        <is>
          <t>P</t>
        </is>
      </c>
      <c r="R8" s="42" t="inlineStr">
        <is>
          <t>P</t>
        </is>
      </c>
      <c r="S8" s="42" t="inlineStr">
        <is>
          <t>P</t>
        </is>
      </c>
      <c r="T8" s="42" t="inlineStr">
        <is>
          <t>P</t>
        </is>
      </c>
      <c r="U8" s="42" t="inlineStr">
        <is>
          <t>P</t>
        </is>
      </c>
      <c r="V8" s="42" t="inlineStr">
        <is>
          <t>P</t>
        </is>
      </c>
      <c r="W8" s="42" t="inlineStr">
        <is>
          <t>P</t>
        </is>
      </c>
      <c r="X8" s="42" t="inlineStr">
        <is>
          <t>P</t>
        </is>
      </c>
      <c r="Y8" s="42" t="inlineStr">
        <is>
          <t>P</t>
        </is>
      </c>
      <c r="Z8" s="42" t="inlineStr">
        <is>
          <t>P</t>
        </is>
      </c>
      <c r="AA8" s="42" t="inlineStr">
        <is>
          <t>P</t>
        </is>
      </c>
      <c r="AB8" s="42" t="inlineStr">
        <is>
          <t>P</t>
        </is>
      </c>
      <c r="AC8" s="42" t="inlineStr">
        <is>
          <t>P</t>
        </is>
      </c>
      <c r="AD8" s="42" t="inlineStr">
        <is>
          <t>P</t>
        </is>
      </c>
      <c r="AE8" s="42" t="inlineStr">
        <is>
          <t>P</t>
        </is>
      </c>
      <c r="AF8" s="42" t="inlineStr">
        <is>
          <t>P</t>
        </is>
      </c>
      <c r="AG8" s="44">
        <f>COUNTIF(B8:AF8,"P")/COUNTA(B8:AF8)</f>
        <v/>
      </c>
    </row>
    <row r="9" ht="20" customHeight="1">
      <c r="A9" s="9" t="inlineStr">
        <is>
          <t>Ethan Garcia</t>
        </is>
      </c>
      <c r="B9" s="45" t="inlineStr">
        <is>
          <t>P</t>
        </is>
      </c>
      <c r="C9" s="45" t="inlineStr">
        <is>
          <t>P</t>
        </is>
      </c>
      <c r="D9" s="45" t="inlineStr">
        <is>
          <t>P</t>
        </is>
      </c>
      <c r="E9" s="45" t="inlineStr">
        <is>
          <t>P</t>
        </is>
      </c>
      <c r="F9" s="45" t="inlineStr">
        <is>
          <t>P</t>
        </is>
      </c>
      <c r="G9" s="49" t="inlineStr">
        <is>
          <t>A</t>
        </is>
      </c>
      <c r="H9" s="45" t="inlineStr">
        <is>
          <t>P</t>
        </is>
      </c>
      <c r="I9" s="45" t="inlineStr">
        <is>
          <t>P</t>
        </is>
      </c>
      <c r="J9" s="45" t="inlineStr">
        <is>
          <t>P</t>
        </is>
      </c>
      <c r="K9" s="45" t="inlineStr">
        <is>
          <t>P</t>
        </is>
      </c>
      <c r="L9" s="46" t="inlineStr">
        <is>
          <t>T</t>
        </is>
      </c>
      <c r="M9" s="45" t="inlineStr">
        <is>
          <t>P</t>
        </is>
      </c>
      <c r="N9" s="45" t="inlineStr">
        <is>
          <t>P</t>
        </is>
      </c>
      <c r="O9" s="45" t="inlineStr">
        <is>
          <t>P</t>
        </is>
      </c>
      <c r="P9" s="45" t="inlineStr">
        <is>
          <t>P</t>
        </is>
      </c>
      <c r="Q9" s="45" t="inlineStr">
        <is>
          <t>P</t>
        </is>
      </c>
      <c r="R9" s="45" t="inlineStr">
        <is>
          <t>P</t>
        </is>
      </c>
      <c r="S9" s="45" t="inlineStr">
        <is>
          <t>P</t>
        </is>
      </c>
      <c r="T9" s="45" t="inlineStr">
        <is>
          <t>P</t>
        </is>
      </c>
      <c r="U9" s="45" t="inlineStr">
        <is>
          <t>P</t>
        </is>
      </c>
      <c r="V9" s="45" t="inlineStr">
        <is>
          <t>P</t>
        </is>
      </c>
      <c r="W9" s="45" t="inlineStr">
        <is>
          <t>P</t>
        </is>
      </c>
      <c r="X9" s="45" t="inlineStr">
        <is>
          <t>P</t>
        </is>
      </c>
      <c r="Y9" s="45" t="inlineStr">
        <is>
          <t>P</t>
        </is>
      </c>
      <c r="Z9" s="45" t="inlineStr">
        <is>
          <t>P</t>
        </is>
      </c>
      <c r="AA9" s="45" t="inlineStr">
        <is>
          <t>E</t>
        </is>
      </c>
      <c r="AB9" s="45" t="inlineStr">
        <is>
          <t>P</t>
        </is>
      </c>
      <c r="AC9" s="46" t="inlineStr">
        <is>
          <t>T</t>
        </is>
      </c>
      <c r="AD9" s="45" t="inlineStr">
        <is>
          <t>P</t>
        </is>
      </c>
      <c r="AE9" s="45" t="inlineStr">
        <is>
          <t>P</t>
        </is>
      </c>
      <c r="AF9" s="49" t="inlineStr">
        <is>
          <t>A</t>
        </is>
      </c>
      <c r="AG9" s="47">
        <f>COUNTIF(B9:AF9,"P")/COUNTA(B9:AF9)</f>
        <v/>
      </c>
    </row>
    <row r="10" ht="20" customHeight="1">
      <c r="A10" s="6" t="inlineStr">
        <is>
          <t>Sophia Miller</t>
        </is>
      </c>
      <c r="B10" s="42" t="inlineStr">
        <is>
          <t>P</t>
        </is>
      </c>
      <c r="C10" s="42" t="inlineStr">
        <is>
          <t>P</t>
        </is>
      </c>
      <c r="D10" s="42" t="inlineStr">
        <is>
          <t>P</t>
        </is>
      </c>
      <c r="E10" s="42" t="inlineStr">
        <is>
          <t>P</t>
        </is>
      </c>
      <c r="F10" s="42" t="inlineStr">
        <is>
          <t>P</t>
        </is>
      </c>
      <c r="G10" s="42" t="inlineStr">
        <is>
          <t>P</t>
        </is>
      </c>
      <c r="H10" s="42" t="inlineStr">
        <is>
          <t>E</t>
        </is>
      </c>
      <c r="I10" s="42" t="inlineStr">
        <is>
          <t>P</t>
        </is>
      </c>
      <c r="J10" s="42" t="inlineStr">
        <is>
          <t>P</t>
        </is>
      </c>
      <c r="K10" s="42" t="inlineStr">
        <is>
          <t>P</t>
        </is>
      </c>
      <c r="L10" s="42" t="inlineStr">
        <is>
          <t>P</t>
        </is>
      </c>
      <c r="M10" s="42" t="inlineStr">
        <is>
          <t>P</t>
        </is>
      </c>
      <c r="N10" s="42" t="inlineStr">
        <is>
          <t>P</t>
        </is>
      </c>
      <c r="O10" s="42" t="inlineStr">
        <is>
          <t>P</t>
        </is>
      </c>
      <c r="P10" s="48" t="inlineStr">
        <is>
          <t>T</t>
        </is>
      </c>
      <c r="Q10" s="42" t="inlineStr">
        <is>
          <t>P</t>
        </is>
      </c>
      <c r="R10" s="42" t="inlineStr">
        <is>
          <t>P</t>
        </is>
      </c>
      <c r="S10" s="42" t="inlineStr">
        <is>
          <t>P</t>
        </is>
      </c>
      <c r="T10" s="42" t="inlineStr">
        <is>
          <t>P</t>
        </is>
      </c>
      <c r="U10" s="42" t="inlineStr">
        <is>
          <t>P</t>
        </is>
      </c>
      <c r="V10" s="42" t="inlineStr">
        <is>
          <t>P</t>
        </is>
      </c>
      <c r="W10" s="42" t="inlineStr">
        <is>
          <t>P</t>
        </is>
      </c>
      <c r="X10" s="42" t="inlineStr">
        <is>
          <t>P</t>
        </is>
      </c>
      <c r="Y10" s="42" t="inlineStr">
        <is>
          <t>P</t>
        </is>
      </c>
      <c r="Z10" s="42" t="inlineStr">
        <is>
          <t>P</t>
        </is>
      </c>
      <c r="AA10" s="42" t="inlineStr">
        <is>
          <t>P</t>
        </is>
      </c>
      <c r="AB10" s="42" t="inlineStr">
        <is>
          <t>P</t>
        </is>
      </c>
      <c r="AC10" s="42" t="inlineStr">
        <is>
          <t>P</t>
        </is>
      </c>
      <c r="AD10" s="42" t="inlineStr">
        <is>
          <t>P</t>
        </is>
      </c>
      <c r="AE10" s="42" t="inlineStr">
        <is>
          <t>P</t>
        </is>
      </c>
      <c r="AF10" s="42" t="inlineStr">
        <is>
          <t>P</t>
        </is>
      </c>
      <c r="AG10" s="44">
        <f>COUNTIF(B10:AF10,"P")/COUNTA(B10:AF10)</f>
        <v/>
      </c>
    </row>
    <row r="11" ht="20" customHeight="1">
      <c r="A11" s="9" t="inlineStr">
        <is>
          <t>Mason Davis</t>
        </is>
      </c>
      <c r="B11" s="45" t="inlineStr">
        <is>
          <t>P</t>
        </is>
      </c>
      <c r="C11" s="45" t="inlineStr">
        <is>
          <t>E</t>
        </is>
      </c>
      <c r="D11" s="45" t="inlineStr">
        <is>
          <t>P</t>
        </is>
      </c>
      <c r="E11" s="45" t="inlineStr">
        <is>
          <t>P</t>
        </is>
      </c>
      <c r="F11" s="45" t="inlineStr">
        <is>
          <t>E</t>
        </is>
      </c>
      <c r="G11" s="45" t="inlineStr">
        <is>
          <t>E</t>
        </is>
      </c>
      <c r="H11" s="45" t="inlineStr">
        <is>
          <t>P</t>
        </is>
      </c>
      <c r="I11" s="45" t="inlineStr">
        <is>
          <t>P</t>
        </is>
      </c>
      <c r="J11" s="45" t="inlineStr">
        <is>
          <t>P</t>
        </is>
      </c>
      <c r="K11" s="45" t="inlineStr">
        <is>
          <t>P</t>
        </is>
      </c>
      <c r="L11" s="45" t="inlineStr">
        <is>
          <t>P</t>
        </is>
      </c>
      <c r="M11" s="45" t="inlineStr">
        <is>
          <t>P</t>
        </is>
      </c>
      <c r="N11" s="49" t="inlineStr">
        <is>
          <t>A</t>
        </is>
      </c>
      <c r="O11" s="45" t="inlineStr">
        <is>
          <t>P</t>
        </is>
      </c>
      <c r="P11" s="49" t="inlineStr">
        <is>
          <t>A</t>
        </is>
      </c>
      <c r="Q11" s="45" t="inlineStr">
        <is>
          <t>P</t>
        </is>
      </c>
      <c r="R11" s="45" t="inlineStr">
        <is>
          <t>P</t>
        </is>
      </c>
      <c r="S11" s="45" t="inlineStr">
        <is>
          <t>P</t>
        </is>
      </c>
      <c r="T11" s="45" t="inlineStr">
        <is>
          <t>P</t>
        </is>
      </c>
      <c r="U11" s="45" t="inlineStr">
        <is>
          <t>P</t>
        </is>
      </c>
      <c r="V11" s="45" t="inlineStr">
        <is>
          <t>P</t>
        </is>
      </c>
      <c r="W11" s="45" t="inlineStr">
        <is>
          <t>P</t>
        </is>
      </c>
      <c r="X11" s="45" t="inlineStr">
        <is>
          <t>P</t>
        </is>
      </c>
      <c r="Y11" s="45" t="inlineStr">
        <is>
          <t>P</t>
        </is>
      </c>
      <c r="Z11" s="45" t="inlineStr">
        <is>
          <t>P</t>
        </is>
      </c>
      <c r="AA11" s="45" t="inlineStr">
        <is>
          <t>E</t>
        </is>
      </c>
      <c r="AB11" s="45" t="inlineStr">
        <is>
          <t>P</t>
        </is>
      </c>
      <c r="AC11" s="45" t="inlineStr">
        <is>
          <t>P</t>
        </is>
      </c>
      <c r="AD11" s="45" t="inlineStr">
        <is>
          <t>P</t>
        </is>
      </c>
      <c r="AE11" s="45" t="inlineStr">
        <is>
          <t>P</t>
        </is>
      </c>
      <c r="AF11" s="45" t="inlineStr">
        <is>
          <t>P</t>
        </is>
      </c>
      <c r="AG11" s="47">
        <f>COUNTIF(B11:AF11,"P")/COUNTA(B11:AF11)</f>
        <v/>
      </c>
    </row>
    <row r="12" ht="20" customHeight="1">
      <c r="A12" s="6" t="inlineStr">
        <is>
          <t>Isabella Rodriguez</t>
        </is>
      </c>
      <c r="B12" s="42" t="inlineStr">
        <is>
          <t>P</t>
        </is>
      </c>
      <c r="C12" s="42" t="inlineStr">
        <is>
          <t>E</t>
        </is>
      </c>
      <c r="D12" s="42" t="inlineStr">
        <is>
          <t>P</t>
        </is>
      </c>
      <c r="E12" s="42" t="inlineStr">
        <is>
          <t>P</t>
        </is>
      </c>
      <c r="F12" s="42" t="inlineStr">
        <is>
          <t>E</t>
        </is>
      </c>
      <c r="G12" s="42" t="inlineStr">
        <is>
          <t>P</t>
        </is>
      </c>
      <c r="H12" s="42" t="inlineStr">
        <is>
          <t>P</t>
        </is>
      </c>
      <c r="I12" s="42" t="inlineStr">
        <is>
          <t>P</t>
        </is>
      </c>
      <c r="J12" s="42" t="inlineStr">
        <is>
          <t>P</t>
        </is>
      </c>
      <c r="K12" s="42" t="inlineStr">
        <is>
          <t>P</t>
        </is>
      </c>
      <c r="L12" s="42" t="inlineStr">
        <is>
          <t>P</t>
        </is>
      </c>
      <c r="M12" s="43" t="inlineStr">
        <is>
          <t>A</t>
        </is>
      </c>
      <c r="N12" s="42" t="inlineStr">
        <is>
          <t>P</t>
        </is>
      </c>
      <c r="O12" s="42" t="inlineStr">
        <is>
          <t>P</t>
        </is>
      </c>
      <c r="P12" s="42" t="inlineStr">
        <is>
          <t>P</t>
        </is>
      </c>
      <c r="Q12" s="42" t="inlineStr">
        <is>
          <t>P</t>
        </is>
      </c>
      <c r="R12" s="42" t="inlineStr">
        <is>
          <t>P</t>
        </is>
      </c>
      <c r="S12" s="42" t="inlineStr">
        <is>
          <t>P</t>
        </is>
      </c>
      <c r="T12" s="48" t="inlineStr">
        <is>
          <t>T</t>
        </is>
      </c>
      <c r="U12" s="42" t="inlineStr">
        <is>
          <t>P</t>
        </is>
      </c>
      <c r="V12" s="42" t="inlineStr">
        <is>
          <t>P</t>
        </is>
      </c>
      <c r="W12" s="42" t="inlineStr">
        <is>
          <t>P</t>
        </is>
      </c>
      <c r="X12" s="42" t="inlineStr">
        <is>
          <t>P</t>
        </is>
      </c>
      <c r="Y12" s="42" t="inlineStr">
        <is>
          <t>P</t>
        </is>
      </c>
      <c r="Z12" s="42" t="inlineStr">
        <is>
          <t>P</t>
        </is>
      </c>
      <c r="AA12" s="48" t="inlineStr">
        <is>
          <t>T</t>
        </is>
      </c>
      <c r="AB12" s="42" t="inlineStr">
        <is>
          <t>P</t>
        </is>
      </c>
      <c r="AC12" s="42" t="inlineStr">
        <is>
          <t>P</t>
        </is>
      </c>
      <c r="AD12" s="42" t="inlineStr">
        <is>
          <t>P</t>
        </is>
      </c>
      <c r="AE12" s="42" t="inlineStr">
        <is>
          <t>P</t>
        </is>
      </c>
      <c r="AF12" s="42" t="inlineStr">
        <is>
          <t>P</t>
        </is>
      </c>
      <c r="AG12" s="44">
        <f>COUNTIF(B12:AF12,"P")/COUNTA(B12:AF12)</f>
        <v/>
      </c>
    </row>
    <row r="13" ht="20" customHeight="1">
      <c r="A13" s="9" t="inlineStr">
        <is>
          <t>William Martinez</t>
        </is>
      </c>
      <c r="B13" s="49" t="inlineStr">
        <is>
          <t>A</t>
        </is>
      </c>
      <c r="C13" s="45" t="inlineStr">
        <is>
          <t>P</t>
        </is>
      </c>
      <c r="D13" s="45" t="inlineStr">
        <is>
          <t>P</t>
        </is>
      </c>
      <c r="E13" s="45" t="inlineStr">
        <is>
          <t>P</t>
        </is>
      </c>
      <c r="F13" s="45" t="inlineStr">
        <is>
          <t>P</t>
        </is>
      </c>
      <c r="G13" s="45" t="inlineStr">
        <is>
          <t>P</t>
        </is>
      </c>
      <c r="H13" s="45" t="inlineStr">
        <is>
          <t>P</t>
        </is>
      </c>
      <c r="I13" s="45" t="inlineStr">
        <is>
          <t>P</t>
        </is>
      </c>
      <c r="J13" s="45" t="inlineStr">
        <is>
          <t>P</t>
        </is>
      </c>
      <c r="K13" s="45" t="inlineStr">
        <is>
          <t>P</t>
        </is>
      </c>
      <c r="L13" s="45" t="inlineStr">
        <is>
          <t>P</t>
        </is>
      </c>
      <c r="M13" s="45" t="inlineStr">
        <is>
          <t>P</t>
        </is>
      </c>
      <c r="N13" s="45" t="inlineStr">
        <is>
          <t>P</t>
        </is>
      </c>
      <c r="O13" s="45" t="inlineStr">
        <is>
          <t>P</t>
        </is>
      </c>
      <c r="P13" s="45" t="inlineStr">
        <is>
          <t>P</t>
        </is>
      </c>
      <c r="Q13" s="45" t="inlineStr">
        <is>
          <t>P</t>
        </is>
      </c>
      <c r="R13" s="45" t="inlineStr">
        <is>
          <t>P</t>
        </is>
      </c>
      <c r="S13" s="45" t="inlineStr">
        <is>
          <t>P</t>
        </is>
      </c>
      <c r="T13" s="45" t="inlineStr">
        <is>
          <t>P</t>
        </is>
      </c>
      <c r="U13" s="45" t="inlineStr">
        <is>
          <t>P</t>
        </is>
      </c>
      <c r="V13" s="45" t="inlineStr">
        <is>
          <t>P</t>
        </is>
      </c>
      <c r="W13" s="45" t="inlineStr">
        <is>
          <t>P</t>
        </is>
      </c>
      <c r="X13" s="45" t="inlineStr">
        <is>
          <t>P</t>
        </is>
      </c>
      <c r="Y13" s="45" t="inlineStr">
        <is>
          <t>P</t>
        </is>
      </c>
      <c r="Z13" s="45" t="inlineStr">
        <is>
          <t>P</t>
        </is>
      </c>
      <c r="AA13" s="49" t="inlineStr">
        <is>
          <t>A</t>
        </is>
      </c>
      <c r="AB13" s="45" t="inlineStr">
        <is>
          <t>P</t>
        </is>
      </c>
      <c r="AC13" s="45" t="inlineStr">
        <is>
          <t>P</t>
        </is>
      </c>
      <c r="AD13" s="45" t="inlineStr">
        <is>
          <t>P</t>
        </is>
      </c>
      <c r="AE13" s="49" t="inlineStr">
        <is>
          <t>A</t>
        </is>
      </c>
      <c r="AF13" s="45" t="inlineStr">
        <is>
          <t>P</t>
        </is>
      </c>
      <c r="AG13" s="47">
        <f>COUNTIF(B13:AF13,"P")/COUNTA(B13:AF13)</f>
        <v/>
      </c>
    </row>
    <row r="14" ht="20" customHeight="1">
      <c r="A14" s="6" t="inlineStr">
        <is>
          <t>Mia Hernandez</t>
        </is>
      </c>
      <c r="B14" s="42" t="inlineStr">
        <is>
          <t>P</t>
        </is>
      </c>
      <c r="C14" s="48" t="inlineStr">
        <is>
          <t>T</t>
        </is>
      </c>
      <c r="D14" s="42" t="inlineStr">
        <is>
          <t>P</t>
        </is>
      </c>
      <c r="E14" s="42" t="inlineStr">
        <is>
          <t>P</t>
        </is>
      </c>
      <c r="F14" s="42" t="inlineStr">
        <is>
          <t>P</t>
        </is>
      </c>
      <c r="G14" s="42" t="inlineStr">
        <is>
          <t>P</t>
        </is>
      </c>
      <c r="H14" s="43" t="inlineStr">
        <is>
          <t>A</t>
        </is>
      </c>
      <c r="I14" s="42" t="inlineStr">
        <is>
          <t>P</t>
        </is>
      </c>
      <c r="J14" s="42" t="inlineStr">
        <is>
          <t>P</t>
        </is>
      </c>
      <c r="K14" s="42" t="inlineStr">
        <is>
          <t>P</t>
        </is>
      </c>
      <c r="L14" s="43" t="inlineStr">
        <is>
          <t>A</t>
        </is>
      </c>
      <c r="M14" s="42" t="inlineStr">
        <is>
          <t>P</t>
        </is>
      </c>
      <c r="N14" s="42" t="inlineStr">
        <is>
          <t>P</t>
        </is>
      </c>
      <c r="O14" s="42" t="inlineStr">
        <is>
          <t>P</t>
        </is>
      </c>
      <c r="P14" s="42" t="inlineStr">
        <is>
          <t>P</t>
        </is>
      </c>
      <c r="Q14" s="42" t="inlineStr">
        <is>
          <t>P</t>
        </is>
      </c>
      <c r="R14" s="42" t="inlineStr">
        <is>
          <t>P</t>
        </is>
      </c>
      <c r="S14" s="42" t="inlineStr">
        <is>
          <t>P</t>
        </is>
      </c>
      <c r="T14" s="48" t="inlineStr">
        <is>
          <t>T</t>
        </is>
      </c>
      <c r="U14" s="42" t="inlineStr">
        <is>
          <t>E</t>
        </is>
      </c>
      <c r="V14" s="42" t="inlineStr">
        <is>
          <t>P</t>
        </is>
      </c>
      <c r="W14" s="42" t="inlineStr">
        <is>
          <t>P</t>
        </is>
      </c>
      <c r="X14" s="42" t="inlineStr">
        <is>
          <t>E</t>
        </is>
      </c>
      <c r="Y14" s="42" t="inlineStr">
        <is>
          <t>P</t>
        </is>
      </c>
      <c r="Z14" s="42" t="inlineStr">
        <is>
          <t>P</t>
        </is>
      </c>
      <c r="AA14" s="48" t="inlineStr">
        <is>
          <t>T</t>
        </is>
      </c>
      <c r="AB14" s="42" t="inlineStr">
        <is>
          <t>P</t>
        </is>
      </c>
      <c r="AC14" s="42" t="inlineStr">
        <is>
          <t>P</t>
        </is>
      </c>
      <c r="AD14" s="42" t="inlineStr">
        <is>
          <t>P</t>
        </is>
      </c>
      <c r="AE14" s="42" t="inlineStr">
        <is>
          <t>P</t>
        </is>
      </c>
      <c r="AF14" s="42" t="inlineStr">
        <is>
          <t>P</t>
        </is>
      </c>
      <c r="AG14" s="44">
        <f>COUNTIF(B14:AF14,"P")/COUNTA(B14:AF14)</f>
        <v/>
      </c>
    </row>
    <row r="15" ht="20" customHeight="1">
      <c r="A15" s="9" t="inlineStr">
        <is>
          <t>James Lopez</t>
        </is>
      </c>
      <c r="B15" s="45" t="inlineStr">
        <is>
          <t>P</t>
        </is>
      </c>
      <c r="C15" s="45" t="inlineStr">
        <is>
          <t>P</t>
        </is>
      </c>
      <c r="D15" s="45" t="inlineStr">
        <is>
          <t>P</t>
        </is>
      </c>
      <c r="E15" s="45" t="inlineStr">
        <is>
          <t>P</t>
        </is>
      </c>
      <c r="F15" s="46" t="inlineStr">
        <is>
          <t>T</t>
        </is>
      </c>
      <c r="G15" s="45" t="inlineStr">
        <is>
          <t>P</t>
        </is>
      </c>
      <c r="H15" s="49" t="inlineStr">
        <is>
          <t>A</t>
        </is>
      </c>
      <c r="I15" s="45" t="inlineStr">
        <is>
          <t>P</t>
        </is>
      </c>
      <c r="J15" s="46" t="inlineStr">
        <is>
          <t>T</t>
        </is>
      </c>
      <c r="K15" s="45" t="inlineStr">
        <is>
          <t>P</t>
        </is>
      </c>
      <c r="L15" s="45" t="inlineStr">
        <is>
          <t>P</t>
        </is>
      </c>
      <c r="M15" s="45" t="inlineStr">
        <is>
          <t>P</t>
        </is>
      </c>
      <c r="N15" s="45" t="inlineStr">
        <is>
          <t>P</t>
        </is>
      </c>
      <c r="O15" s="45" t="inlineStr">
        <is>
          <t>P</t>
        </is>
      </c>
      <c r="P15" s="45" t="inlineStr">
        <is>
          <t>P</t>
        </is>
      </c>
      <c r="Q15" s="45" t="inlineStr">
        <is>
          <t>P</t>
        </is>
      </c>
      <c r="R15" s="45" t="inlineStr">
        <is>
          <t>P</t>
        </is>
      </c>
      <c r="S15" s="45" t="inlineStr">
        <is>
          <t>P</t>
        </is>
      </c>
      <c r="T15" s="45" t="inlineStr">
        <is>
          <t>P</t>
        </is>
      </c>
      <c r="U15" s="45" t="inlineStr">
        <is>
          <t>P</t>
        </is>
      </c>
      <c r="V15" s="45" t="inlineStr">
        <is>
          <t>P</t>
        </is>
      </c>
      <c r="W15" s="46" t="inlineStr">
        <is>
          <t>T</t>
        </is>
      </c>
      <c r="X15" s="45" t="inlineStr">
        <is>
          <t>P</t>
        </is>
      </c>
      <c r="Y15" s="45" t="inlineStr">
        <is>
          <t>P</t>
        </is>
      </c>
      <c r="Z15" s="46" t="inlineStr">
        <is>
          <t>T</t>
        </is>
      </c>
      <c r="AA15" s="49" t="inlineStr">
        <is>
          <t>A</t>
        </is>
      </c>
      <c r="AB15" s="45" t="inlineStr">
        <is>
          <t>P</t>
        </is>
      </c>
      <c r="AC15" s="45" t="inlineStr">
        <is>
          <t>P</t>
        </is>
      </c>
      <c r="AD15" s="45" t="inlineStr">
        <is>
          <t>P</t>
        </is>
      </c>
      <c r="AE15" s="45" t="inlineStr">
        <is>
          <t>P</t>
        </is>
      </c>
      <c r="AF15" s="45" t="inlineStr">
        <is>
          <t>P</t>
        </is>
      </c>
      <c r="AG15" s="47">
        <f>COUNTIF(B15:AF15,"P")/COUNTA(B15:AF15)</f>
        <v/>
      </c>
    </row>
    <row r="16" ht="20" customHeight="1">
      <c r="A16" s="6" t="inlineStr">
        <is>
          <t>Charlotte Gonzalez</t>
        </is>
      </c>
      <c r="B16" s="42" t="inlineStr">
        <is>
          <t>P</t>
        </is>
      </c>
      <c r="C16" s="42" t="inlineStr">
        <is>
          <t>P</t>
        </is>
      </c>
      <c r="D16" s="42" t="inlineStr">
        <is>
          <t>P</t>
        </is>
      </c>
      <c r="E16" s="42" t="inlineStr">
        <is>
          <t>P</t>
        </is>
      </c>
      <c r="F16" s="42" t="inlineStr">
        <is>
          <t>P</t>
        </is>
      </c>
      <c r="G16" s="42" t="inlineStr">
        <is>
          <t>P</t>
        </is>
      </c>
      <c r="H16" s="42" t="inlineStr">
        <is>
          <t>P</t>
        </is>
      </c>
      <c r="I16" s="42" t="inlineStr">
        <is>
          <t>P</t>
        </is>
      </c>
      <c r="J16" s="42" t="inlineStr">
        <is>
          <t>P</t>
        </is>
      </c>
      <c r="K16" s="42" t="inlineStr">
        <is>
          <t>P</t>
        </is>
      </c>
      <c r="L16" s="42" t="inlineStr">
        <is>
          <t>P</t>
        </is>
      </c>
      <c r="M16" s="42" t="inlineStr">
        <is>
          <t>P</t>
        </is>
      </c>
      <c r="N16" s="42" t="inlineStr">
        <is>
          <t>P</t>
        </is>
      </c>
      <c r="O16" s="42" t="inlineStr">
        <is>
          <t>P</t>
        </is>
      </c>
      <c r="P16" s="42" t="inlineStr">
        <is>
          <t>P</t>
        </is>
      </c>
      <c r="Q16" s="42" t="inlineStr">
        <is>
          <t>P</t>
        </is>
      </c>
      <c r="R16" s="42" t="inlineStr">
        <is>
          <t>P</t>
        </is>
      </c>
      <c r="S16" s="42" t="inlineStr">
        <is>
          <t>P</t>
        </is>
      </c>
      <c r="T16" s="42" t="inlineStr">
        <is>
          <t>P</t>
        </is>
      </c>
      <c r="U16" s="42" t="inlineStr">
        <is>
          <t>P</t>
        </is>
      </c>
      <c r="V16" s="42" t="inlineStr">
        <is>
          <t>P</t>
        </is>
      </c>
      <c r="W16" s="42" t="inlineStr">
        <is>
          <t>P</t>
        </is>
      </c>
      <c r="X16" s="42" t="inlineStr">
        <is>
          <t>P</t>
        </is>
      </c>
      <c r="Y16" s="42" t="inlineStr">
        <is>
          <t>P</t>
        </is>
      </c>
      <c r="Z16" s="42" t="inlineStr">
        <is>
          <t>P</t>
        </is>
      </c>
      <c r="AA16" s="42" t="inlineStr">
        <is>
          <t>P</t>
        </is>
      </c>
      <c r="AB16" s="42" t="inlineStr">
        <is>
          <t>P</t>
        </is>
      </c>
      <c r="AC16" s="42" t="inlineStr">
        <is>
          <t>P</t>
        </is>
      </c>
      <c r="AD16" s="42" t="inlineStr">
        <is>
          <t>P</t>
        </is>
      </c>
      <c r="AE16" s="42" t="inlineStr">
        <is>
          <t>P</t>
        </is>
      </c>
      <c r="AF16" s="42" t="inlineStr">
        <is>
          <t>P</t>
        </is>
      </c>
      <c r="AG16" s="44">
        <f>COUNTIF(B16:AF16,"P")/COUNTA(B16:AF16)</f>
        <v/>
      </c>
    </row>
    <row r="17" ht="20" customHeight="1">
      <c r="A17" s="9" t="inlineStr">
        <is>
          <t>Benjamin Wilson</t>
        </is>
      </c>
      <c r="B17" s="45" t="inlineStr">
        <is>
          <t>P</t>
        </is>
      </c>
      <c r="C17" s="49" t="inlineStr">
        <is>
          <t>A</t>
        </is>
      </c>
      <c r="D17" s="45" t="inlineStr">
        <is>
          <t>P</t>
        </is>
      </c>
      <c r="E17" s="45" t="inlineStr">
        <is>
          <t>P</t>
        </is>
      </c>
      <c r="F17" s="45" t="inlineStr">
        <is>
          <t>P</t>
        </is>
      </c>
      <c r="G17" s="45" t="inlineStr">
        <is>
          <t>P</t>
        </is>
      </c>
      <c r="H17" s="45" t="inlineStr">
        <is>
          <t>P</t>
        </is>
      </c>
      <c r="I17" s="45" t="inlineStr">
        <is>
          <t>P</t>
        </is>
      </c>
      <c r="J17" s="49" t="inlineStr">
        <is>
          <t>A</t>
        </is>
      </c>
      <c r="K17" s="45" t="inlineStr">
        <is>
          <t>P</t>
        </is>
      </c>
      <c r="L17" s="45" t="inlineStr">
        <is>
          <t>P</t>
        </is>
      </c>
      <c r="M17" s="45" t="inlineStr">
        <is>
          <t>P</t>
        </is>
      </c>
      <c r="N17" s="45" t="inlineStr">
        <is>
          <t>P</t>
        </is>
      </c>
      <c r="O17" s="45" t="inlineStr">
        <is>
          <t>P</t>
        </is>
      </c>
      <c r="P17" s="49" t="inlineStr">
        <is>
          <t>A</t>
        </is>
      </c>
      <c r="Q17" s="45" t="inlineStr">
        <is>
          <t>P</t>
        </is>
      </c>
      <c r="R17" s="45" t="inlineStr">
        <is>
          <t>P</t>
        </is>
      </c>
      <c r="S17" s="45" t="inlineStr">
        <is>
          <t>P</t>
        </is>
      </c>
      <c r="T17" s="45" t="inlineStr">
        <is>
          <t>P</t>
        </is>
      </c>
      <c r="U17" s="45" t="inlineStr">
        <is>
          <t>P</t>
        </is>
      </c>
      <c r="V17" s="46" t="inlineStr">
        <is>
          <t>T</t>
        </is>
      </c>
      <c r="W17" s="45" t="inlineStr">
        <is>
          <t>P</t>
        </is>
      </c>
      <c r="X17" s="45" t="inlineStr">
        <is>
          <t>P</t>
        </is>
      </c>
      <c r="Y17" s="45" t="inlineStr">
        <is>
          <t>E</t>
        </is>
      </c>
      <c r="Z17" s="45" t="inlineStr">
        <is>
          <t>P</t>
        </is>
      </c>
      <c r="AA17" s="45" t="inlineStr">
        <is>
          <t>P</t>
        </is>
      </c>
      <c r="AB17" s="45" t="inlineStr">
        <is>
          <t>P</t>
        </is>
      </c>
      <c r="AC17" s="45" t="inlineStr">
        <is>
          <t>P</t>
        </is>
      </c>
      <c r="AD17" s="45" t="inlineStr">
        <is>
          <t>P</t>
        </is>
      </c>
      <c r="AE17" s="45" t="inlineStr">
        <is>
          <t>P</t>
        </is>
      </c>
      <c r="AF17" s="45" t="inlineStr">
        <is>
          <t>P</t>
        </is>
      </c>
      <c r="AG17" s="47">
        <f>COUNTIF(B17:AF17,"P")/COUNTA(B17:AF17)</f>
        <v/>
      </c>
    </row>
    <row r="18" ht="20" customHeight="1">
      <c r="A18" s="6" t="inlineStr">
        <is>
          <t>Amelia Anderson</t>
        </is>
      </c>
      <c r="B18" s="42" t="inlineStr">
        <is>
          <t>P</t>
        </is>
      </c>
      <c r="C18" s="42" t="inlineStr">
        <is>
          <t>P</t>
        </is>
      </c>
      <c r="D18" s="42" t="inlineStr">
        <is>
          <t>P</t>
        </is>
      </c>
      <c r="E18" s="42" t="inlineStr">
        <is>
          <t>P</t>
        </is>
      </c>
      <c r="F18" s="42" t="inlineStr">
        <is>
          <t>P</t>
        </is>
      </c>
      <c r="G18" s="42" t="inlineStr">
        <is>
          <t>P</t>
        </is>
      </c>
      <c r="H18" s="42" t="inlineStr">
        <is>
          <t>P</t>
        </is>
      </c>
      <c r="I18" s="42" t="inlineStr">
        <is>
          <t>P</t>
        </is>
      </c>
      <c r="J18" s="42" t="inlineStr">
        <is>
          <t>P</t>
        </is>
      </c>
      <c r="K18" s="42" t="inlineStr">
        <is>
          <t>P</t>
        </is>
      </c>
      <c r="L18" s="42" t="inlineStr">
        <is>
          <t>P</t>
        </is>
      </c>
      <c r="M18" s="42" t="inlineStr">
        <is>
          <t>P</t>
        </is>
      </c>
      <c r="N18" s="42" t="inlineStr">
        <is>
          <t>P</t>
        </is>
      </c>
      <c r="O18" s="42" t="inlineStr">
        <is>
          <t>P</t>
        </is>
      </c>
      <c r="P18" s="42" t="inlineStr">
        <is>
          <t>P</t>
        </is>
      </c>
      <c r="Q18" s="42" t="inlineStr">
        <is>
          <t>P</t>
        </is>
      </c>
      <c r="R18" s="42" t="inlineStr">
        <is>
          <t>P</t>
        </is>
      </c>
      <c r="S18" s="42" t="inlineStr">
        <is>
          <t>P</t>
        </is>
      </c>
      <c r="T18" s="42" t="inlineStr">
        <is>
          <t>P</t>
        </is>
      </c>
      <c r="U18" s="43" t="inlineStr">
        <is>
          <t>A</t>
        </is>
      </c>
      <c r="V18" s="48" t="inlineStr">
        <is>
          <t>T</t>
        </is>
      </c>
      <c r="W18" s="42" t="inlineStr">
        <is>
          <t>P</t>
        </is>
      </c>
      <c r="X18" s="42" t="inlineStr">
        <is>
          <t>P</t>
        </is>
      </c>
      <c r="Y18" s="42" t="inlineStr">
        <is>
          <t>P</t>
        </is>
      </c>
      <c r="Z18" s="42" t="inlineStr">
        <is>
          <t>P</t>
        </is>
      </c>
      <c r="AA18" s="42" t="inlineStr">
        <is>
          <t>P</t>
        </is>
      </c>
      <c r="AB18" s="42" t="inlineStr">
        <is>
          <t>P</t>
        </is>
      </c>
      <c r="AC18" s="42" t="inlineStr">
        <is>
          <t>P</t>
        </is>
      </c>
      <c r="AD18" s="42" t="inlineStr">
        <is>
          <t>P</t>
        </is>
      </c>
      <c r="AE18" s="42" t="inlineStr">
        <is>
          <t>E</t>
        </is>
      </c>
      <c r="AF18" s="48" t="inlineStr">
        <is>
          <t>T</t>
        </is>
      </c>
      <c r="AG18" s="44">
        <f>COUNTIF(B18:AF18,"P")/COUNTA(B18:AF18)</f>
        <v/>
      </c>
    </row>
    <row r="19" ht="20" customHeight="1">
      <c r="A19" s="9" t="inlineStr">
        <is>
          <t>Lucas Thomas</t>
        </is>
      </c>
      <c r="B19" s="49" t="inlineStr">
        <is>
          <t>A</t>
        </is>
      </c>
      <c r="C19" s="45" t="inlineStr">
        <is>
          <t>P</t>
        </is>
      </c>
      <c r="D19" s="45" t="inlineStr">
        <is>
          <t>P</t>
        </is>
      </c>
      <c r="E19" s="45" t="inlineStr">
        <is>
          <t>P</t>
        </is>
      </c>
      <c r="F19" s="45" t="inlineStr">
        <is>
          <t>P</t>
        </is>
      </c>
      <c r="G19" s="45" t="inlineStr">
        <is>
          <t>P</t>
        </is>
      </c>
      <c r="H19" s="45" t="inlineStr">
        <is>
          <t>P</t>
        </is>
      </c>
      <c r="I19" s="45" t="inlineStr">
        <is>
          <t>P</t>
        </is>
      </c>
      <c r="J19" s="45" t="inlineStr">
        <is>
          <t>P</t>
        </is>
      </c>
      <c r="K19" s="49" t="inlineStr">
        <is>
          <t>A</t>
        </is>
      </c>
      <c r="L19" s="46" t="inlineStr">
        <is>
          <t>T</t>
        </is>
      </c>
      <c r="M19" s="45" t="inlineStr">
        <is>
          <t>P</t>
        </is>
      </c>
      <c r="N19" s="45" t="inlineStr">
        <is>
          <t>P</t>
        </is>
      </c>
      <c r="O19" s="45" t="inlineStr">
        <is>
          <t>P</t>
        </is>
      </c>
      <c r="P19" s="49" t="inlineStr">
        <is>
          <t>A</t>
        </is>
      </c>
      <c r="Q19" s="45" t="inlineStr">
        <is>
          <t>E</t>
        </is>
      </c>
      <c r="R19" s="46" t="inlineStr">
        <is>
          <t>T</t>
        </is>
      </c>
      <c r="S19" s="45" t="inlineStr">
        <is>
          <t>P</t>
        </is>
      </c>
      <c r="T19" s="45" t="inlineStr">
        <is>
          <t>P</t>
        </is>
      </c>
      <c r="U19" s="45" t="inlineStr">
        <is>
          <t>P</t>
        </is>
      </c>
      <c r="V19" s="45" t="inlineStr">
        <is>
          <t>P</t>
        </is>
      </c>
      <c r="W19" s="45" t="inlineStr">
        <is>
          <t>P</t>
        </is>
      </c>
      <c r="X19" s="45" t="inlineStr">
        <is>
          <t>P</t>
        </is>
      </c>
      <c r="Y19" s="45" t="inlineStr">
        <is>
          <t>P</t>
        </is>
      </c>
      <c r="Z19" s="45" t="inlineStr">
        <is>
          <t>P</t>
        </is>
      </c>
      <c r="AA19" s="45" t="inlineStr">
        <is>
          <t>P</t>
        </is>
      </c>
      <c r="AB19" s="49" t="inlineStr">
        <is>
          <t>A</t>
        </is>
      </c>
      <c r="AC19" s="45" t="inlineStr">
        <is>
          <t>P</t>
        </is>
      </c>
      <c r="AD19" s="45" t="inlineStr">
        <is>
          <t>P</t>
        </is>
      </c>
      <c r="AE19" s="45" t="inlineStr">
        <is>
          <t>P</t>
        </is>
      </c>
      <c r="AF19" s="45" t="inlineStr">
        <is>
          <t>P</t>
        </is>
      </c>
      <c r="AG19" s="47">
        <f>COUNTIF(B19:AF19,"P")/COUNTA(B19:AF19)</f>
        <v/>
      </c>
    </row>
    <row r="20" ht="20" customHeight="1">
      <c r="A20" s="6" t="inlineStr">
        <is>
          <t>Harper Taylor</t>
        </is>
      </c>
      <c r="B20" s="42" t="inlineStr">
        <is>
          <t>P</t>
        </is>
      </c>
      <c r="C20" s="42" t="inlineStr">
        <is>
          <t>P</t>
        </is>
      </c>
      <c r="D20" s="42" t="inlineStr">
        <is>
          <t>P</t>
        </is>
      </c>
      <c r="E20" s="42" t="inlineStr">
        <is>
          <t>P</t>
        </is>
      </c>
      <c r="F20" s="42" t="inlineStr">
        <is>
          <t>P</t>
        </is>
      </c>
      <c r="G20" s="43" t="inlineStr">
        <is>
          <t>A</t>
        </is>
      </c>
      <c r="H20" s="42" t="inlineStr">
        <is>
          <t>P</t>
        </is>
      </c>
      <c r="I20" s="42" t="inlineStr">
        <is>
          <t>P</t>
        </is>
      </c>
      <c r="J20" s="42" t="inlineStr">
        <is>
          <t>E</t>
        </is>
      </c>
      <c r="K20" s="42" t="inlineStr">
        <is>
          <t>P</t>
        </is>
      </c>
      <c r="L20" s="42" t="inlineStr">
        <is>
          <t>P</t>
        </is>
      </c>
      <c r="M20" s="42" t="inlineStr">
        <is>
          <t>P</t>
        </is>
      </c>
      <c r="N20" s="42" t="inlineStr">
        <is>
          <t>P</t>
        </is>
      </c>
      <c r="O20" s="42" t="inlineStr">
        <is>
          <t>P</t>
        </is>
      </c>
      <c r="P20" s="42" t="inlineStr">
        <is>
          <t>P</t>
        </is>
      </c>
      <c r="Q20" s="48" t="inlineStr">
        <is>
          <t>T</t>
        </is>
      </c>
      <c r="R20" s="42" t="inlineStr">
        <is>
          <t>P</t>
        </is>
      </c>
      <c r="S20" s="42" t="inlineStr">
        <is>
          <t>P</t>
        </is>
      </c>
      <c r="T20" s="42" t="inlineStr">
        <is>
          <t>P</t>
        </is>
      </c>
      <c r="U20" s="42" t="inlineStr">
        <is>
          <t>P</t>
        </is>
      </c>
      <c r="V20" s="42" t="inlineStr">
        <is>
          <t>P</t>
        </is>
      </c>
      <c r="W20" s="42" t="inlineStr">
        <is>
          <t>P</t>
        </is>
      </c>
      <c r="X20" s="42" t="inlineStr">
        <is>
          <t>P</t>
        </is>
      </c>
      <c r="Y20" s="42" t="inlineStr">
        <is>
          <t>P</t>
        </is>
      </c>
      <c r="Z20" s="42" t="inlineStr">
        <is>
          <t>P</t>
        </is>
      </c>
      <c r="AA20" s="42" t="inlineStr">
        <is>
          <t>P</t>
        </is>
      </c>
      <c r="AB20" s="42" t="inlineStr">
        <is>
          <t>P</t>
        </is>
      </c>
      <c r="AC20" s="42" t="inlineStr">
        <is>
          <t>P</t>
        </is>
      </c>
      <c r="AD20" s="43" t="inlineStr">
        <is>
          <t>A</t>
        </is>
      </c>
      <c r="AE20" s="42" t="inlineStr">
        <is>
          <t>P</t>
        </is>
      </c>
      <c r="AF20" s="42" t="inlineStr">
        <is>
          <t>P</t>
        </is>
      </c>
      <c r="AG20" s="44">
        <f>COUNTIF(B20:AF20,"P")/COUNTA(B20:AF20)</f>
        <v/>
      </c>
    </row>
    <row r="21" ht="20" customHeight="1">
      <c r="A21" s="9" t="inlineStr">
        <is>
          <t>Henry Moore</t>
        </is>
      </c>
      <c r="B21" s="45" t="inlineStr">
        <is>
          <t>E</t>
        </is>
      </c>
      <c r="C21" s="45" t="inlineStr">
        <is>
          <t>P</t>
        </is>
      </c>
      <c r="D21" s="49" t="inlineStr">
        <is>
          <t>A</t>
        </is>
      </c>
      <c r="E21" s="45" t="inlineStr">
        <is>
          <t>P</t>
        </is>
      </c>
      <c r="F21" s="45" t="inlineStr">
        <is>
          <t>P</t>
        </is>
      </c>
      <c r="G21" s="45" t="inlineStr">
        <is>
          <t>P</t>
        </is>
      </c>
      <c r="H21" s="45" t="inlineStr">
        <is>
          <t>P</t>
        </is>
      </c>
      <c r="I21" s="45" t="inlineStr">
        <is>
          <t>P</t>
        </is>
      </c>
      <c r="J21" s="45" t="inlineStr">
        <is>
          <t>P</t>
        </is>
      </c>
      <c r="K21" s="49" t="inlineStr">
        <is>
          <t>A</t>
        </is>
      </c>
      <c r="L21" s="46" t="inlineStr">
        <is>
          <t>T</t>
        </is>
      </c>
      <c r="M21" s="45" t="inlineStr">
        <is>
          <t>P</t>
        </is>
      </c>
      <c r="N21" s="45" t="inlineStr">
        <is>
          <t>P</t>
        </is>
      </c>
      <c r="O21" s="45" t="inlineStr">
        <is>
          <t>P</t>
        </is>
      </c>
      <c r="P21" s="45" t="inlineStr">
        <is>
          <t>P</t>
        </is>
      </c>
      <c r="Q21" s="45" t="inlineStr">
        <is>
          <t>P</t>
        </is>
      </c>
      <c r="R21" s="45" t="inlineStr">
        <is>
          <t>P</t>
        </is>
      </c>
      <c r="S21" s="45" t="inlineStr">
        <is>
          <t>P</t>
        </is>
      </c>
      <c r="T21" s="45" t="inlineStr">
        <is>
          <t>P</t>
        </is>
      </c>
      <c r="U21" s="45" t="inlineStr">
        <is>
          <t>P</t>
        </is>
      </c>
      <c r="V21" s="45" t="inlineStr">
        <is>
          <t>P</t>
        </is>
      </c>
      <c r="W21" s="45" t="inlineStr">
        <is>
          <t>P</t>
        </is>
      </c>
      <c r="X21" s="45" t="inlineStr">
        <is>
          <t>E</t>
        </is>
      </c>
      <c r="Y21" s="45" t="inlineStr">
        <is>
          <t>P</t>
        </is>
      </c>
      <c r="Z21" s="45" t="inlineStr">
        <is>
          <t>P</t>
        </is>
      </c>
      <c r="AA21" s="45" t="inlineStr">
        <is>
          <t>P</t>
        </is>
      </c>
      <c r="AB21" s="49" t="inlineStr">
        <is>
          <t>A</t>
        </is>
      </c>
      <c r="AC21" s="45" t="inlineStr">
        <is>
          <t>P</t>
        </is>
      </c>
      <c r="AD21" s="45" t="inlineStr">
        <is>
          <t>P</t>
        </is>
      </c>
      <c r="AE21" s="45" t="inlineStr">
        <is>
          <t>P</t>
        </is>
      </c>
      <c r="AF21" s="45" t="inlineStr">
        <is>
          <t>P</t>
        </is>
      </c>
      <c r="AG21" s="47">
        <f>COUNTIF(B21:AF21,"P")/COUNTA(B21:AF21)</f>
        <v/>
      </c>
    </row>
    <row r="22" ht="20" customHeight="1">
      <c r="A22" s="6" t="inlineStr">
        <is>
          <t>Evelyn Jackson</t>
        </is>
      </c>
      <c r="B22" s="42" t="inlineStr">
        <is>
          <t>P</t>
        </is>
      </c>
      <c r="C22" s="42" t="inlineStr">
        <is>
          <t>P</t>
        </is>
      </c>
      <c r="D22" s="42" t="inlineStr">
        <is>
          <t>P</t>
        </is>
      </c>
      <c r="E22" s="42" t="inlineStr">
        <is>
          <t>P</t>
        </is>
      </c>
      <c r="F22" s="42" t="inlineStr">
        <is>
          <t>P</t>
        </is>
      </c>
      <c r="G22" s="42" t="inlineStr">
        <is>
          <t>P</t>
        </is>
      </c>
      <c r="H22" s="42" t="inlineStr">
        <is>
          <t>P</t>
        </is>
      </c>
      <c r="I22" s="42" t="inlineStr">
        <is>
          <t>P</t>
        </is>
      </c>
      <c r="J22" s="42" t="inlineStr">
        <is>
          <t>P</t>
        </is>
      </c>
      <c r="K22" s="42" t="inlineStr">
        <is>
          <t>P</t>
        </is>
      </c>
      <c r="L22" s="48" t="inlineStr">
        <is>
          <t>T</t>
        </is>
      </c>
      <c r="M22" s="42" t="inlineStr">
        <is>
          <t>P</t>
        </is>
      </c>
      <c r="N22" s="42" t="inlineStr">
        <is>
          <t>P</t>
        </is>
      </c>
      <c r="O22" s="42" t="inlineStr">
        <is>
          <t>P</t>
        </is>
      </c>
      <c r="P22" s="48" t="inlineStr">
        <is>
          <t>T</t>
        </is>
      </c>
      <c r="Q22" s="42" t="inlineStr">
        <is>
          <t>P</t>
        </is>
      </c>
      <c r="R22" s="42" t="inlineStr">
        <is>
          <t>P</t>
        </is>
      </c>
      <c r="S22" s="42" t="inlineStr">
        <is>
          <t>P</t>
        </is>
      </c>
      <c r="T22" s="42" t="inlineStr">
        <is>
          <t>P</t>
        </is>
      </c>
      <c r="U22" s="42" t="inlineStr">
        <is>
          <t>P</t>
        </is>
      </c>
      <c r="V22" s="42" t="inlineStr">
        <is>
          <t>P</t>
        </is>
      </c>
      <c r="W22" s="42" t="inlineStr">
        <is>
          <t>P</t>
        </is>
      </c>
      <c r="X22" s="42" t="inlineStr">
        <is>
          <t>P</t>
        </is>
      </c>
      <c r="Y22" s="42" t="inlineStr">
        <is>
          <t>P</t>
        </is>
      </c>
      <c r="Z22" s="42" t="inlineStr">
        <is>
          <t>P</t>
        </is>
      </c>
      <c r="AA22" s="43" t="inlineStr">
        <is>
          <t>A</t>
        </is>
      </c>
      <c r="AB22" s="42" t="inlineStr">
        <is>
          <t>P</t>
        </is>
      </c>
      <c r="AC22" s="42" t="inlineStr">
        <is>
          <t>P</t>
        </is>
      </c>
      <c r="AD22" s="42" t="inlineStr">
        <is>
          <t>P</t>
        </is>
      </c>
      <c r="AE22" s="42" t="inlineStr">
        <is>
          <t>P</t>
        </is>
      </c>
      <c r="AF22" s="42" t="inlineStr">
        <is>
          <t>P</t>
        </is>
      </c>
      <c r="AG22" s="44">
        <f>COUNTIF(B22:AF22,"P")/COUNTA(B22:AF22)</f>
        <v/>
      </c>
    </row>
    <row r="23" ht="20" customHeight="1">
      <c r="A23" s="9" t="inlineStr">
        <is>
          <t>Alexander Martin</t>
        </is>
      </c>
      <c r="B23" s="45" t="inlineStr">
        <is>
          <t>P</t>
        </is>
      </c>
      <c r="C23" s="45" t="inlineStr">
        <is>
          <t>P</t>
        </is>
      </c>
      <c r="D23" s="45" t="inlineStr">
        <is>
          <t>P</t>
        </is>
      </c>
      <c r="E23" s="45" t="inlineStr">
        <is>
          <t>P</t>
        </is>
      </c>
      <c r="F23" s="45" t="inlineStr">
        <is>
          <t>P</t>
        </is>
      </c>
      <c r="G23" s="45" t="inlineStr">
        <is>
          <t>P</t>
        </is>
      </c>
      <c r="H23" s="45" t="inlineStr">
        <is>
          <t>E</t>
        </is>
      </c>
      <c r="I23" s="45" t="inlineStr">
        <is>
          <t>P</t>
        </is>
      </c>
      <c r="J23" s="45" t="inlineStr">
        <is>
          <t>P</t>
        </is>
      </c>
      <c r="K23" s="45" t="inlineStr">
        <is>
          <t>P</t>
        </is>
      </c>
      <c r="L23" s="45" t="inlineStr">
        <is>
          <t>P</t>
        </is>
      </c>
      <c r="M23" s="49" t="inlineStr">
        <is>
          <t>A</t>
        </is>
      </c>
      <c r="N23" s="45" t="inlineStr">
        <is>
          <t>P</t>
        </is>
      </c>
      <c r="O23" s="49" t="inlineStr">
        <is>
          <t>A</t>
        </is>
      </c>
      <c r="P23" s="45" t="inlineStr">
        <is>
          <t>P</t>
        </is>
      </c>
      <c r="Q23" s="45" t="inlineStr">
        <is>
          <t>P</t>
        </is>
      </c>
      <c r="R23" s="45" t="inlineStr">
        <is>
          <t>P</t>
        </is>
      </c>
      <c r="S23" s="45" t="inlineStr">
        <is>
          <t>P</t>
        </is>
      </c>
      <c r="T23" s="45" t="inlineStr">
        <is>
          <t>P</t>
        </is>
      </c>
      <c r="U23" s="45" t="inlineStr">
        <is>
          <t>P</t>
        </is>
      </c>
      <c r="V23" s="45" t="inlineStr">
        <is>
          <t>P</t>
        </is>
      </c>
      <c r="W23" s="45" t="inlineStr">
        <is>
          <t>P</t>
        </is>
      </c>
      <c r="X23" s="45" t="inlineStr">
        <is>
          <t>P</t>
        </is>
      </c>
      <c r="Y23" s="45" t="inlineStr">
        <is>
          <t>P</t>
        </is>
      </c>
      <c r="Z23" s="45" t="inlineStr">
        <is>
          <t>E</t>
        </is>
      </c>
      <c r="AA23" s="45" t="inlineStr">
        <is>
          <t>P</t>
        </is>
      </c>
      <c r="AB23" s="45" t="inlineStr">
        <is>
          <t>P</t>
        </is>
      </c>
      <c r="AC23" s="45" t="inlineStr">
        <is>
          <t>P</t>
        </is>
      </c>
      <c r="AD23" s="45" t="inlineStr">
        <is>
          <t>P</t>
        </is>
      </c>
      <c r="AE23" s="45" t="inlineStr">
        <is>
          <t>P</t>
        </is>
      </c>
      <c r="AF23" s="49" t="inlineStr">
        <is>
          <t>A</t>
        </is>
      </c>
      <c r="AG23" s="47">
        <f>COUNTIF(B23:AF23,"P")/COUNTA(B23:AF23)</f>
        <v/>
      </c>
    </row>
    <row r="24" ht="20" customHeight="1">
      <c r="A24" s="6" t="inlineStr">
        <is>
          <t>Abigail Lee</t>
        </is>
      </c>
      <c r="B24" s="42" t="inlineStr">
        <is>
          <t>P</t>
        </is>
      </c>
      <c r="C24" s="42" t="inlineStr">
        <is>
          <t>P</t>
        </is>
      </c>
      <c r="D24" s="42" t="inlineStr">
        <is>
          <t>P</t>
        </is>
      </c>
      <c r="E24" s="42" t="inlineStr">
        <is>
          <t>P</t>
        </is>
      </c>
      <c r="F24" s="42" t="inlineStr">
        <is>
          <t>P</t>
        </is>
      </c>
      <c r="G24" s="42" t="inlineStr">
        <is>
          <t>P</t>
        </is>
      </c>
      <c r="H24" s="42" t="inlineStr">
        <is>
          <t>P</t>
        </is>
      </c>
      <c r="I24" s="42" t="inlineStr">
        <is>
          <t>P</t>
        </is>
      </c>
      <c r="J24" s="42" t="inlineStr">
        <is>
          <t>P</t>
        </is>
      </c>
      <c r="K24" s="42" t="inlineStr">
        <is>
          <t>P</t>
        </is>
      </c>
      <c r="L24" s="42" t="inlineStr">
        <is>
          <t>P</t>
        </is>
      </c>
      <c r="M24" s="42" t="inlineStr">
        <is>
          <t>P</t>
        </is>
      </c>
      <c r="N24" s="42" t="inlineStr">
        <is>
          <t>P</t>
        </is>
      </c>
      <c r="O24" s="42" t="inlineStr">
        <is>
          <t>E</t>
        </is>
      </c>
      <c r="P24" s="42" t="inlineStr">
        <is>
          <t>P</t>
        </is>
      </c>
      <c r="Q24" s="42" t="inlineStr">
        <is>
          <t>P</t>
        </is>
      </c>
      <c r="R24" s="42" t="inlineStr">
        <is>
          <t>E</t>
        </is>
      </c>
      <c r="S24" s="42" t="inlineStr">
        <is>
          <t>P</t>
        </is>
      </c>
      <c r="T24" s="48" t="inlineStr">
        <is>
          <t>T</t>
        </is>
      </c>
      <c r="U24" s="42" t="inlineStr">
        <is>
          <t>P</t>
        </is>
      </c>
      <c r="V24" s="42" t="inlineStr">
        <is>
          <t>P</t>
        </is>
      </c>
      <c r="W24" s="48" t="inlineStr">
        <is>
          <t>T</t>
        </is>
      </c>
      <c r="X24" s="42" t="inlineStr">
        <is>
          <t>P</t>
        </is>
      </c>
      <c r="Y24" s="42" t="inlineStr">
        <is>
          <t>P</t>
        </is>
      </c>
      <c r="Z24" s="42" t="inlineStr">
        <is>
          <t>P</t>
        </is>
      </c>
      <c r="AA24" s="42" t="inlineStr">
        <is>
          <t>P</t>
        </is>
      </c>
      <c r="AB24" s="42" t="inlineStr">
        <is>
          <t>P</t>
        </is>
      </c>
      <c r="AC24" s="42" t="inlineStr">
        <is>
          <t>P</t>
        </is>
      </c>
      <c r="AD24" s="42" t="inlineStr">
        <is>
          <t>P</t>
        </is>
      </c>
      <c r="AE24" s="42" t="inlineStr">
        <is>
          <t>P</t>
        </is>
      </c>
      <c r="AF24" s="42" t="inlineStr">
        <is>
          <t>P</t>
        </is>
      </c>
      <c r="AG24" s="44">
        <f>COUNTIF(B24:AF24,"P")/COUNTA(B24:AF24)</f>
        <v/>
      </c>
    </row>
    <row r="25" ht="20" customHeight="1">
      <c r="A25" s="9" t="inlineStr">
        <is>
          <t>Daniel Perez</t>
        </is>
      </c>
      <c r="B25" s="45" t="inlineStr">
        <is>
          <t>P</t>
        </is>
      </c>
      <c r="C25" s="45" t="inlineStr">
        <is>
          <t>P</t>
        </is>
      </c>
      <c r="D25" s="45" t="inlineStr">
        <is>
          <t>P</t>
        </is>
      </c>
      <c r="E25" s="45" t="inlineStr">
        <is>
          <t>P</t>
        </is>
      </c>
      <c r="F25" s="45" t="inlineStr">
        <is>
          <t>E</t>
        </is>
      </c>
      <c r="G25" s="45" t="inlineStr">
        <is>
          <t>P</t>
        </is>
      </c>
      <c r="H25" s="45" t="inlineStr">
        <is>
          <t>P</t>
        </is>
      </c>
      <c r="I25" s="45" t="inlineStr">
        <is>
          <t>P</t>
        </is>
      </c>
      <c r="J25" s="45" t="inlineStr">
        <is>
          <t>P</t>
        </is>
      </c>
      <c r="K25" s="45" t="inlineStr">
        <is>
          <t>P</t>
        </is>
      </c>
      <c r="L25" s="45" t="inlineStr">
        <is>
          <t>P</t>
        </is>
      </c>
      <c r="M25" s="45" t="inlineStr">
        <is>
          <t>P</t>
        </is>
      </c>
      <c r="N25" s="45" t="inlineStr">
        <is>
          <t>P</t>
        </is>
      </c>
      <c r="O25" s="45" t="inlineStr">
        <is>
          <t>P</t>
        </is>
      </c>
      <c r="P25" s="49" t="inlineStr">
        <is>
          <t>A</t>
        </is>
      </c>
      <c r="Q25" s="45" t="inlineStr">
        <is>
          <t>P</t>
        </is>
      </c>
      <c r="R25" s="45" t="inlineStr">
        <is>
          <t>P</t>
        </is>
      </c>
      <c r="S25" s="45" t="inlineStr">
        <is>
          <t>P</t>
        </is>
      </c>
      <c r="T25" s="45" t="inlineStr">
        <is>
          <t>P</t>
        </is>
      </c>
      <c r="U25" s="45" t="inlineStr">
        <is>
          <t>P</t>
        </is>
      </c>
      <c r="V25" s="49" t="inlineStr">
        <is>
          <t>A</t>
        </is>
      </c>
      <c r="W25" s="45" t="inlineStr">
        <is>
          <t>P</t>
        </is>
      </c>
      <c r="X25" s="46" t="inlineStr">
        <is>
          <t>T</t>
        </is>
      </c>
      <c r="Y25" s="45" t="inlineStr">
        <is>
          <t>E</t>
        </is>
      </c>
      <c r="Z25" s="45" t="inlineStr">
        <is>
          <t>P</t>
        </is>
      </c>
      <c r="AA25" s="45" t="inlineStr">
        <is>
          <t>P</t>
        </is>
      </c>
      <c r="AB25" s="45" t="inlineStr">
        <is>
          <t>P</t>
        </is>
      </c>
      <c r="AC25" s="45" t="inlineStr">
        <is>
          <t>P</t>
        </is>
      </c>
      <c r="AD25" s="49" t="inlineStr">
        <is>
          <t>A</t>
        </is>
      </c>
      <c r="AE25" s="45" t="inlineStr">
        <is>
          <t>P</t>
        </is>
      </c>
      <c r="AF25" s="45" t="inlineStr">
        <is>
          <t>P</t>
        </is>
      </c>
      <c r="AG25" s="47">
        <f>COUNTIF(B25:AF25,"P")/COUNTA(B25:AF25)</f>
        <v/>
      </c>
    </row>
    <row r="26" ht="20" customHeight="1">
      <c r="A26" s="6" t="inlineStr">
        <is>
          <t>Emily Thompson</t>
        </is>
      </c>
      <c r="B26" s="42" t="inlineStr">
        <is>
          <t>P</t>
        </is>
      </c>
      <c r="C26" s="42" t="inlineStr">
        <is>
          <t>P</t>
        </is>
      </c>
      <c r="D26" s="42" t="inlineStr">
        <is>
          <t>P</t>
        </is>
      </c>
      <c r="E26" s="42" t="inlineStr">
        <is>
          <t>P</t>
        </is>
      </c>
      <c r="F26" s="42" t="inlineStr">
        <is>
          <t>P</t>
        </is>
      </c>
      <c r="G26" s="48" t="inlineStr">
        <is>
          <t>T</t>
        </is>
      </c>
      <c r="H26" s="42" t="inlineStr">
        <is>
          <t>P</t>
        </is>
      </c>
      <c r="I26" s="48" t="inlineStr">
        <is>
          <t>T</t>
        </is>
      </c>
      <c r="J26" s="42" t="inlineStr">
        <is>
          <t>P</t>
        </is>
      </c>
      <c r="K26" s="42" t="inlineStr">
        <is>
          <t>P</t>
        </is>
      </c>
      <c r="L26" s="42" t="inlineStr">
        <is>
          <t>P</t>
        </is>
      </c>
      <c r="M26" s="42" t="inlineStr">
        <is>
          <t>P</t>
        </is>
      </c>
      <c r="N26" s="42" t="inlineStr">
        <is>
          <t>P</t>
        </is>
      </c>
      <c r="O26" s="42" t="inlineStr">
        <is>
          <t>P</t>
        </is>
      </c>
      <c r="P26" s="42" t="inlineStr">
        <is>
          <t>P</t>
        </is>
      </c>
      <c r="Q26" s="42" t="inlineStr">
        <is>
          <t>P</t>
        </is>
      </c>
      <c r="R26" s="42" t="inlineStr">
        <is>
          <t>P</t>
        </is>
      </c>
      <c r="S26" s="42" t="inlineStr">
        <is>
          <t>P</t>
        </is>
      </c>
      <c r="T26" s="42" t="inlineStr">
        <is>
          <t>P</t>
        </is>
      </c>
      <c r="U26" s="42" t="inlineStr">
        <is>
          <t>P</t>
        </is>
      </c>
      <c r="V26" s="42" t="inlineStr">
        <is>
          <t>P</t>
        </is>
      </c>
      <c r="W26" s="42" t="inlineStr">
        <is>
          <t>E</t>
        </is>
      </c>
      <c r="X26" s="43" t="inlineStr">
        <is>
          <t>A</t>
        </is>
      </c>
      <c r="Y26" s="42" t="inlineStr">
        <is>
          <t>P</t>
        </is>
      </c>
      <c r="Z26" s="42" t="inlineStr">
        <is>
          <t>P</t>
        </is>
      </c>
      <c r="AA26" s="42" t="inlineStr">
        <is>
          <t>P</t>
        </is>
      </c>
      <c r="AB26" s="42" t="inlineStr">
        <is>
          <t>P</t>
        </is>
      </c>
      <c r="AC26" s="43" t="inlineStr">
        <is>
          <t>A</t>
        </is>
      </c>
      <c r="AD26" s="43" t="inlineStr">
        <is>
          <t>A</t>
        </is>
      </c>
      <c r="AE26" s="42" t="inlineStr">
        <is>
          <t>P</t>
        </is>
      </c>
      <c r="AF26" s="42" t="inlineStr">
        <is>
          <t>P</t>
        </is>
      </c>
      <c r="AG26" s="44">
        <f>COUNTIF(B26:AF26,"P")/COUNTA(B26:AF26)</f>
        <v/>
      </c>
    </row>
    <row r="27" ht="20" customHeight="1">
      <c r="A27" s="9" t="inlineStr">
        <is>
          <t>Michael White</t>
        </is>
      </c>
      <c r="B27" s="45" t="inlineStr">
        <is>
          <t>P</t>
        </is>
      </c>
      <c r="C27" s="45" t="inlineStr">
        <is>
          <t>P</t>
        </is>
      </c>
      <c r="D27" s="45" t="inlineStr">
        <is>
          <t>P</t>
        </is>
      </c>
      <c r="E27" s="45" t="inlineStr">
        <is>
          <t>P</t>
        </is>
      </c>
      <c r="F27" s="45" t="inlineStr">
        <is>
          <t>P</t>
        </is>
      </c>
      <c r="G27" s="45" t="inlineStr">
        <is>
          <t>P</t>
        </is>
      </c>
      <c r="H27" s="45" t="inlineStr">
        <is>
          <t>P</t>
        </is>
      </c>
      <c r="I27" s="45" t="inlineStr">
        <is>
          <t>P</t>
        </is>
      </c>
      <c r="J27" s="45" t="inlineStr">
        <is>
          <t>P</t>
        </is>
      </c>
      <c r="K27" s="45" t="inlineStr">
        <is>
          <t>P</t>
        </is>
      </c>
      <c r="L27" s="45" t="inlineStr">
        <is>
          <t>P</t>
        </is>
      </c>
      <c r="M27" s="45" t="inlineStr">
        <is>
          <t>P</t>
        </is>
      </c>
      <c r="N27" s="46" t="inlineStr">
        <is>
          <t>T</t>
        </is>
      </c>
      <c r="O27" s="45" t="inlineStr">
        <is>
          <t>P</t>
        </is>
      </c>
      <c r="P27" s="45" t="inlineStr">
        <is>
          <t>P</t>
        </is>
      </c>
      <c r="Q27" s="45" t="inlineStr">
        <is>
          <t>P</t>
        </is>
      </c>
      <c r="R27" s="45" t="inlineStr">
        <is>
          <t>P</t>
        </is>
      </c>
      <c r="S27" s="45" t="inlineStr">
        <is>
          <t>P</t>
        </is>
      </c>
      <c r="T27" s="45" t="inlineStr">
        <is>
          <t>P</t>
        </is>
      </c>
      <c r="U27" s="45" t="inlineStr">
        <is>
          <t>P</t>
        </is>
      </c>
      <c r="V27" s="45" t="inlineStr">
        <is>
          <t>P</t>
        </is>
      </c>
      <c r="W27" s="45" t="inlineStr">
        <is>
          <t>P</t>
        </is>
      </c>
      <c r="X27" s="45" t="inlineStr">
        <is>
          <t>P</t>
        </is>
      </c>
      <c r="Y27" s="45" t="inlineStr">
        <is>
          <t>P</t>
        </is>
      </c>
      <c r="Z27" s="45" t="inlineStr">
        <is>
          <t>P</t>
        </is>
      </c>
      <c r="AA27" s="45" t="inlineStr">
        <is>
          <t>P</t>
        </is>
      </c>
      <c r="AB27" s="46" t="inlineStr">
        <is>
          <t>T</t>
        </is>
      </c>
      <c r="AC27" s="45" t="inlineStr">
        <is>
          <t>P</t>
        </is>
      </c>
      <c r="AD27" s="45" t="inlineStr">
        <is>
          <t>P</t>
        </is>
      </c>
      <c r="AE27" s="45" t="inlineStr">
        <is>
          <t>P</t>
        </is>
      </c>
      <c r="AF27" s="45" t="inlineStr">
        <is>
          <t>P</t>
        </is>
      </c>
      <c r="AG27" s="47">
        <f>COUNTIF(B27:AF27,"P")/COUNTA(B27:AF27)</f>
        <v/>
      </c>
    </row>
    <row r="28" ht="20" customHeight="1">
      <c r="A28" s="6" t="inlineStr">
        <is>
          <t>Ella Harris</t>
        </is>
      </c>
      <c r="B28" s="42" t="inlineStr">
        <is>
          <t>P</t>
        </is>
      </c>
      <c r="C28" s="42" t="inlineStr">
        <is>
          <t>P</t>
        </is>
      </c>
      <c r="D28" s="42" t="inlineStr">
        <is>
          <t>P</t>
        </is>
      </c>
      <c r="E28" s="42" t="inlineStr">
        <is>
          <t>P</t>
        </is>
      </c>
      <c r="F28" s="42" t="inlineStr">
        <is>
          <t>P</t>
        </is>
      </c>
      <c r="G28" s="42" t="inlineStr">
        <is>
          <t>P</t>
        </is>
      </c>
      <c r="H28" s="42" t="inlineStr">
        <is>
          <t>P</t>
        </is>
      </c>
      <c r="I28" s="42" t="inlineStr">
        <is>
          <t>P</t>
        </is>
      </c>
      <c r="J28" s="42" t="inlineStr">
        <is>
          <t>P</t>
        </is>
      </c>
      <c r="K28" s="48" t="inlineStr">
        <is>
          <t>T</t>
        </is>
      </c>
      <c r="L28" s="42" t="inlineStr">
        <is>
          <t>P</t>
        </is>
      </c>
      <c r="M28" s="42" t="inlineStr">
        <is>
          <t>P</t>
        </is>
      </c>
      <c r="N28" s="42" t="inlineStr">
        <is>
          <t>P</t>
        </is>
      </c>
      <c r="O28" s="42" t="inlineStr">
        <is>
          <t>P</t>
        </is>
      </c>
      <c r="P28" s="42" t="inlineStr">
        <is>
          <t>P</t>
        </is>
      </c>
      <c r="Q28" s="42" t="inlineStr">
        <is>
          <t>P</t>
        </is>
      </c>
      <c r="R28" s="42" t="inlineStr">
        <is>
          <t>P</t>
        </is>
      </c>
      <c r="S28" s="42" t="inlineStr">
        <is>
          <t>P</t>
        </is>
      </c>
      <c r="T28" s="48" t="inlineStr">
        <is>
          <t>T</t>
        </is>
      </c>
      <c r="U28" s="42" t="inlineStr">
        <is>
          <t>E</t>
        </is>
      </c>
      <c r="V28" s="42" t="inlineStr">
        <is>
          <t>P</t>
        </is>
      </c>
      <c r="W28" s="42" t="inlineStr">
        <is>
          <t>P</t>
        </is>
      </c>
      <c r="X28" s="42" t="inlineStr">
        <is>
          <t>P</t>
        </is>
      </c>
      <c r="Y28" s="42" t="inlineStr">
        <is>
          <t>P</t>
        </is>
      </c>
      <c r="Z28" s="42" t="inlineStr">
        <is>
          <t>P</t>
        </is>
      </c>
      <c r="AA28" s="42" t="inlineStr">
        <is>
          <t>P</t>
        </is>
      </c>
      <c r="AB28" s="43" t="inlineStr">
        <is>
          <t>A</t>
        </is>
      </c>
      <c r="AC28" s="42" t="inlineStr">
        <is>
          <t>P</t>
        </is>
      </c>
      <c r="AD28" s="42" t="inlineStr">
        <is>
          <t>P</t>
        </is>
      </c>
      <c r="AE28" s="42" t="inlineStr">
        <is>
          <t>P</t>
        </is>
      </c>
      <c r="AF28" s="42" t="inlineStr">
        <is>
          <t>P</t>
        </is>
      </c>
      <c r="AG28" s="44">
        <f>COUNTIF(B28:AF28,"P")/COUNTA(B28:AF28)</f>
        <v/>
      </c>
    </row>
    <row r="29" ht="20" customHeight="1">
      <c r="A29" s="9" t="inlineStr">
        <is>
          <t>Sebastian Sanchez</t>
        </is>
      </c>
      <c r="B29" s="45" t="inlineStr">
        <is>
          <t>P</t>
        </is>
      </c>
      <c r="C29" s="45" t="inlineStr">
        <is>
          <t>P</t>
        </is>
      </c>
      <c r="D29" s="45" t="inlineStr">
        <is>
          <t>P</t>
        </is>
      </c>
      <c r="E29" s="45" t="inlineStr">
        <is>
          <t>P</t>
        </is>
      </c>
      <c r="F29" s="45" t="inlineStr">
        <is>
          <t>P</t>
        </is>
      </c>
      <c r="G29" s="45" t="inlineStr">
        <is>
          <t>P</t>
        </is>
      </c>
      <c r="H29" s="45" t="inlineStr">
        <is>
          <t>P</t>
        </is>
      </c>
      <c r="I29" s="45" t="inlineStr">
        <is>
          <t>P</t>
        </is>
      </c>
      <c r="J29" s="45" t="inlineStr">
        <is>
          <t>E</t>
        </is>
      </c>
      <c r="K29" s="45" t="inlineStr">
        <is>
          <t>E</t>
        </is>
      </c>
      <c r="L29" s="49" t="inlineStr">
        <is>
          <t>A</t>
        </is>
      </c>
      <c r="M29" s="49" t="inlineStr">
        <is>
          <t>A</t>
        </is>
      </c>
      <c r="N29" s="45" t="inlineStr">
        <is>
          <t>P</t>
        </is>
      </c>
      <c r="O29" s="45" t="inlineStr">
        <is>
          <t>P</t>
        </is>
      </c>
      <c r="P29" s="45" t="inlineStr">
        <is>
          <t>P</t>
        </is>
      </c>
      <c r="Q29" s="45" t="inlineStr">
        <is>
          <t>P</t>
        </is>
      </c>
      <c r="R29" s="45" t="inlineStr">
        <is>
          <t>P</t>
        </is>
      </c>
      <c r="S29" s="45" t="inlineStr">
        <is>
          <t>P</t>
        </is>
      </c>
      <c r="T29" s="45" t="inlineStr">
        <is>
          <t>P</t>
        </is>
      </c>
      <c r="U29" s="45" t="inlineStr">
        <is>
          <t>P</t>
        </is>
      </c>
      <c r="V29" s="45" t="inlineStr">
        <is>
          <t>P</t>
        </is>
      </c>
      <c r="W29" s="45" t="inlineStr">
        <is>
          <t>P</t>
        </is>
      </c>
      <c r="X29" s="45" t="inlineStr">
        <is>
          <t>P</t>
        </is>
      </c>
      <c r="Y29" s="45" t="inlineStr">
        <is>
          <t>P</t>
        </is>
      </c>
      <c r="Z29" s="45" t="inlineStr">
        <is>
          <t>E</t>
        </is>
      </c>
      <c r="AA29" s="45" t="inlineStr">
        <is>
          <t>P</t>
        </is>
      </c>
      <c r="AB29" s="45" t="inlineStr">
        <is>
          <t>P</t>
        </is>
      </c>
      <c r="AC29" s="45" t="inlineStr">
        <is>
          <t>P</t>
        </is>
      </c>
      <c r="AD29" s="45" t="inlineStr">
        <is>
          <t>E</t>
        </is>
      </c>
      <c r="AE29" s="45" t="inlineStr">
        <is>
          <t>P</t>
        </is>
      </c>
      <c r="AF29" s="45" t="inlineStr">
        <is>
          <t>P</t>
        </is>
      </c>
      <c r="AG29" s="47">
        <f>COUNTIF(B29:AF29,"P")/COUNTA(B29:AF29)</f>
        <v/>
      </c>
    </row>
    <row r="30" ht="20" customHeight="1">
      <c r="A30" s="6" t="inlineStr">
        <is>
          <t>Avery Clark</t>
        </is>
      </c>
      <c r="B30" s="42" t="inlineStr">
        <is>
          <t>P</t>
        </is>
      </c>
      <c r="C30" s="42" t="inlineStr">
        <is>
          <t>P</t>
        </is>
      </c>
      <c r="D30" s="43" t="inlineStr">
        <is>
          <t>A</t>
        </is>
      </c>
      <c r="E30" s="48" t="inlineStr">
        <is>
          <t>T</t>
        </is>
      </c>
      <c r="F30" s="42" t="inlineStr">
        <is>
          <t>P</t>
        </is>
      </c>
      <c r="G30" s="42" t="inlineStr">
        <is>
          <t>P</t>
        </is>
      </c>
      <c r="H30" s="42" t="inlineStr">
        <is>
          <t>P</t>
        </is>
      </c>
      <c r="I30" s="42" t="inlineStr">
        <is>
          <t>P</t>
        </is>
      </c>
      <c r="J30" s="42" t="inlineStr">
        <is>
          <t>P</t>
        </is>
      </c>
      <c r="K30" s="42" t="inlineStr">
        <is>
          <t>P</t>
        </is>
      </c>
      <c r="L30" s="42" t="inlineStr">
        <is>
          <t>P</t>
        </is>
      </c>
      <c r="M30" s="42" t="inlineStr">
        <is>
          <t>P</t>
        </is>
      </c>
      <c r="N30" s="42" t="inlineStr">
        <is>
          <t>P</t>
        </is>
      </c>
      <c r="O30" s="42" t="inlineStr">
        <is>
          <t>P</t>
        </is>
      </c>
      <c r="P30" s="42" t="inlineStr">
        <is>
          <t>P</t>
        </is>
      </c>
      <c r="Q30" s="42" t="inlineStr">
        <is>
          <t>P</t>
        </is>
      </c>
      <c r="R30" s="42" t="inlineStr">
        <is>
          <t>P</t>
        </is>
      </c>
      <c r="S30" s="42" t="inlineStr">
        <is>
          <t>P</t>
        </is>
      </c>
      <c r="T30" s="42" t="inlineStr">
        <is>
          <t>E</t>
        </is>
      </c>
      <c r="U30" s="42" t="inlineStr">
        <is>
          <t>P</t>
        </is>
      </c>
      <c r="V30" s="42" t="inlineStr">
        <is>
          <t>P</t>
        </is>
      </c>
      <c r="W30" s="42" t="inlineStr">
        <is>
          <t>P</t>
        </is>
      </c>
      <c r="X30" s="42" t="inlineStr">
        <is>
          <t>P</t>
        </is>
      </c>
      <c r="Y30" s="42" t="inlineStr">
        <is>
          <t>P</t>
        </is>
      </c>
      <c r="Z30" s="42" t="inlineStr">
        <is>
          <t>P</t>
        </is>
      </c>
      <c r="AA30" s="42" t="inlineStr">
        <is>
          <t>P</t>
        </is>
      </c>
      <c r="AB30" s="42" t="inlineStr">
        <is>
          <t>P</t>
        </is>
      </c>
      <c r="AC30" s="42" t="inlineStr">
        <is>
          <t>P</t>
        </is>
      </c>
      <c r="AD30" s="43" t="inlineStr">
        <is>
          <t>A</t>
        </is>
      </c>
      <c r="AE30" s="42" t="inlineStr">
        <is>
          <t>P</t>
        </is>
      </c>
      <c r="AF30" s="42" t="inlineStr">
        <is>
          <t>P</t>
        </is>
      </c>
      <c r="AG30" s="44">
        <f>COUNTIF(B30:AF30,"P")/COUNTA(B30:AF30)</f>
        <v/>
      </c>
    </row>
    <row r="31" ht="20" customHeight="1">
      <c r="A31" s="9" t="inlineStr">
        <is>
          <t>Jack Ramirez</t>
        </is>
      </c>
      <c r="B31" s="45" t="inlineStr">
        <is>
          <t>P</t>
        </is>
      </c>
      <c r="C31" s="45" t="inlineStr">
        <is>
          <t>P</t>
        </is>
      </c>
      <c r="D31" s="45" t="inlineStr">
        <is>
          <t>P</t>
        </is>
      </c>
      <c r="E31" s="45" t="inlineStr">
        <is>
          <t>P</t>
        </is>
      </c>
      <c r="F31" s="49" t="inlineStr">
        <is>
          <t>A</t>
        </is>
      </c>
      <c r="G31" s="45" t="inlineStr">
        <is>
          <t>P</t>
        </is>
      </c>
      <c r="H31" s="45" t="inlineStr">
        <is>
          <t>P</t>
        </is>
      </c>
      <c r="I31" s="45" t="inlineStr">
        <is>
          <t>P</t>
        </is>
      </c>
      <c r="J31" s="45" t="inlineStr">
        <is>
          <t>E</t>
        </is>
      </c>
      <c r="K31" s="45" t="inlineStr">
        <is>
          <t>P</t>
        </is>
      </c>
      <c r="L31" s="45" t="inlineStr">
        <is>
          <t>P</t>
        </is>
      </c>
      <c r="M31" s="49" t="inlineStr">
        <is>
          <t>A</t>
        </is>
      </c>
      <c r="N31" s="45" t="inlineStr">
        <is>
          <t>P</t>
        </is>
      </c>
      <c r="O31" s="45" t="inlineStr">
        <is>
          <t>E</t>
        </is>
      </c>
      <c r="P31" s="45" t="inlineStr">
        <is>
          <t>P</t>
        </is>
      </c>
      <c r="Q31" s="45" t="inlineStr">
        <is>
          <t>P</t>
        </is>
      </c>
      <c r="R31" s="45" t="inlineStr">
        <is>
          <t>P</t>
        </is>
      </c>
      <c r="S31" s="45" t="inlineStr">
        <is>
          <t>P</t>
        </is>
      </c>
      <c r="T31" s="45" t="inlineStr">
        <is>
          <t>P</t>
        </is>
      </c>
      <c r="U31" s="45" t="inlineStr">
        <is>
          <t>P</t>
        </is>
      </c>
      <c r="V31" s="45" t="inlineStr">
        <is>
          <t>P</t>
        </is>
      </c>
      <c r="W31" s="45" t="inlineStr">
        <is>
          <t>P</t>
        </is>
      </c>
      <c r="X31" s="45" t="inlineStr">
        <is>
          <t>P</t>
        </is>
      </c>
      <c r="Y31" s="45" t="inlineStr">
        <is>
          <t>P</t>
        </is>
      </c>
      <c r="Z31" s="45" t="inlineStr">
        <is>
          <t>P</t>
        </is>
      </c>
      <c r="AA31" s="45" t="inlineStr">
        <is>
          <t>P</t>
        </is>
      </c>
      <c r="AB31" s="45" t="inlineStr">
        <is>
          <t>P</t>
        </is>
      </c>
      <c r="AC31" s="45" t="inlineStr">
        <is>
          <t>P</t>
        </is>
      </c>
      <c r="AD31" s="45" t="inlineStr">
        <is>
          <t>P</t>
        </is>
      </c>
      <c r="AE31" s="45" t="inlineStr">
        <is>
          <t>P</t>
        </is>
      </c>
      <c r="AF31" s="45" t="inlineStr">
        <is>
          <t>P</t>
        </is>
      </c>
      <c r="AG31" s="47">
        <f>COUNTIF(B31:AF31,"P")/COUNTA(B31:AF31)</f>
        <v/>
      </c>
    </row>
    <row r="32" ht="20" customHeight="1">
      <c r="A32" s="6" t="inlineStr">
        <is>
          <t>Scarlett Lewis</t>
        </is>
      </c>
      <c r="B32" s="42" t="inlineStr">
        <is>
          <t>P</t>
        </is>
      </c>
      <c r="C32" s="42" t="inlineStr">
        <is>
          <t>P</t>
        </is>
      </c>
      <c r="D32" s="42" t="inlineStr">
        <is>
          <t>P</t>
        </is>
      </c>
      <c r="E32" s="42" t="inlineStr">
        <is>
          <t>P</t>
        </is>
      </c>
      <c r="F32" s="42" t="inlineStr">
        <is>
          <t>P</t>
        </is>
      </c>
      <c r="G32" s="42" t="inlineStr">
        <is>
          <t>P</t>
        </is>
      </c>
      <c r="H32" s="42" t="inlineStr">
        <is>
          <t>E</t>
        </is>
      </c>
      <c r="I32" s="43" t="inlineStr">
        <is>
          <t>A</t>
        </is>
      </c>
      <c r="J32" s="43" t="inlineStr">
        <is>
          <t>A</t>
        </is>
      </c>
      <c r="K32" s="42" t="inlineStr">
        <is>
          <t>P</t>
        </is>
      </c>
      <c r="L32" s="42" t="inlineStr">
        <is>
          <t>P</t>
        </is>
      </c>
      <c r="M32" s="48" t="inlineStr">
        <is>
          <t>T</t>
        </is>
      </c>
      <c r="N32" s="43" t="inlineStr">
        <is>
          <t>A</t>
        </is>
      </c>
      <c r="O32" s="42" t="inlineStr">
        <is>
          <t>P</t>
        </is>
      </c>
      <c r="P32" s="42" t="inlineStr">
        <is>
          <t>P</t>
        </is>
      </c>
      <c r="Q32" s="42" t="inlineStr">
        <is>
          <t>P</t>
        </is>
      </c>
      <c r="R32" s="42" t="inlineStr">
        <is>
          <t>P</t>
        </is>
      </c>
      <c r="S32" s="42" t="inlineStr">
        <is>
          <t>P</t>
        </is>
      </c>
      <c r="T32" s="42" t="inlineStr">
        <is>
          <t>P</t>
        </is>
      </c>
      <c r="U32" s="42" t="inlineStr">
        <is>
          <t>P</t>
        </is>
      </c>
      <c r="V32" s="42" t="inlineStr">
        <is>
          <t>P</t>
        </is>
      </c>
      <c r="W32" s="42" t="inlineStr">
        <is>
          <t>P</t>
        </is>
      </c>
      <c r="X32" s="42" t="inlineStr">
        <is>
          <t>P</t>
        </is>
      </c>
      <c r="Y32" s="42" t="inlineStr">
        <is>
          <t>P</t>
        </is>
      </c>
      <c r="Z32" s="42" t="inlineStr">
        <is>
          <t>P</t>
        </is>
      </c>
      <c r="AA32" s="42" t="inlineStr">
        <is>
          <t>P</t>
        </is>
      </c>
      <c r="AB32" s="42" t="inlineStr">
        <is>
          <t>P</t>
        </is>
      </c>
      <c r="AC32" s="42" t="inlineStr">
        <is>
          <t>P</t>
        </is>
      </c>
      <c r="AD32" s="48" t="inlineStr">
        <is>
          <t>T</t>
        </is>
      </c>
      <c r="AE32" s="42" t="inlineStr">
        <is>
          <t>P</t>
        </is>
      </c>
      <c r="AF32" s="42" t="inlineStr">
        <is>
          <t>P</t>
        </is>
      </c>
      <c r="AG32" s="44">
        <f>COUNTIF(B32:AF32,"P")/COUNTA(B32:AF32)</f>
        <v/>
      </c>
    </row>
    <row r="33" ht="20" customHeight="1">
      <c r="A33" s="9" t="inlineStr">
        <is>
          <t>Aiden Robinson</t>
        </is>
      </c>
      <c r="B33" s="45" t="inlineStr">
        <is>
          <t>P</t>
        </is>
      </c>
      <c r="C33" s="45" t="inlineStr">
        <is>
          <t>E</t>
        </is>
      </c>
      <c r="D33" s="45" t="inlineStr">
        <is>
          <t>P</t>
        </is>
      </c>
      <c r="E33" s="45" t="inlineStr">
        <is>
          <t>P</t>
        </is>
      </c>
      <c r="F33" s="45" t="inlineStr">
        <is>
          <t>P</t>
        </is>
      </c>
      <c r="G33" s="45" t="inlineStr">
        <is>
          <t>P</t>
        </is>
      </c>
      <c r="H33" s="45" t="inlineStr">
        <is>
          <t>P</t>
        </is>
      </c>
      <c r="I33" s="45" t="inlineStr">
        <is>
          <t>P</t>
        </is>
      </c>
      <c r="J33" s="45" t="inlineStr">
        <is>
          <t>P</t>
        </is>
      </c>
      <c r="K33" s="45" t="inlineStr">
        <is>
          <t>P</t>
        </is>
      </c>
      <c r="L33" s="45" t="inlineStr">
        <is>
          <t>P</t>
        </is>
      </c>
      <c r="M33" s="45" t="inlineStr">
        <is>
          <t>P</t>
        </is>
      </c>
      <c r="N33" s="45" t="inlineStr">
        <is>
          <t>P</t>
        </is>
      </c>
      <c r="O33" s="49" t="inlineStr">
        <is>
          <t>A</t>
        </is>
      </c>
      <c r="P33" s="46" t="inlineStr">
        <is>
          <t>T</t>
        </is>
      </c>
      <c r="Q33" s="45" t="inlineStr">
        <is>
          <t>P</t>
        </is>
      </c>
      <c r="R33" s="45" t="inlineStr">
        <is>
          <t>P</t>
        </is>
      </c>
      <c r="S33" s="45" t="inlineStr">
        <is>
          <t>P</t>
        </is>
      </c>
      <c r="T33" s="45" t="inlineStr">
        <is>
          <t>P</t>
        </is>
      </c>
      <c r="U33" s="45" t="inlineStr">
        <is>
          <t>P</t>
        </is>
      </c>
      <c r="V33" s="45" t="inlineStr">
        <is>
          <t>P</t>
        </is>
      </c>
      <c r="W33" s="45" t="inlineStr">
        <is>
          <t>P</t>
        </is>
      </c>
      <c r="X33" s="45" t="inlineStr">
        <is>
          <t>P</t>
        </is>
      </c>
      <c r="Y33" s="45" t="inlineStr">
        <is>
          <t>P</t>
        </is>
      </c>
      <c r="Z33" s="45" t="inlineStr">
        <is>
          <t>P</t>
        </is>
      </c>
      <c r="AA33" s="45" t="inlineStr">
        <is>
          <t>P</t>
        </is>
      </c>
      <c r="AB33" s="45" t="inlineStr">
        <is>
          <t>P</t>
        </is>
      </c>
      <c r="AC33" s="45" t="inlineStr">
        <is>
          <t>P</t>
        </is>
      </c>
      <c r="AD33" s="49" t="inlineStr">
        <is>
          <t>A</t>
        </is>
      </c>
      <c r="AE33" s="45" t="inlineStr">
        <is>
          <t>P</t>
        </is>
      </c>
      <c r="AF33" s="45" t="inlineStr">
        <is>
          <t>P</t>
        </is>
      </c>
      <c r="AG33" s="47">
        <f>COUNTIF(B33:AF33,"P")/COUNTA(B33:AF33)</f>
        <v/>
      </c>
    </row>
    <row r="34" ht="20" customHeight="1">
      <c r="A34" s="6" t="inlineStr">
        <is>
          <t>Grace Walker</t>
        </is>
      </c>
      <c r="B34" s="42" t="inlineStr">
        <is>
          <t>P</t>
        </is>
      </c>
      <c r="C34" s="48" t="inlineStr">
        <is>
          <t>T</t>
        </is>
      </c>
      <c r="D34" s="42" t="inlineStr">
        <is>
          <t>P</t>
        </is>
      </c>
      <c r="E34" s="42" t="inlineStr">
        <is>
          <t>P</t>
        </is>
      </c>
      <c r="F34" s="42" t="inlineStr">
        <is>
          <t>P</t>
        </is>
      </c>
      <c r="G34" s="42" t="inlineStr">
        <is>
          <t>P</t>
        </is>
      </c>
      <c r="H34" s="42" t="inlineStr">
        <is>
          <t>P</t>
        </is>
      </c>
      <c r="I34" s="42" t="inlineStr">
        <is>
          <t>P</t>
        </is>
      </c>
      <c r="J34" s="42" t="inlineStr">
        <is>
          <t>P</t>
        </is>
      </c>
      <c r="K34" s="42" t="inlineStr">
        <is>
          <t>P</t>
        </is>
      </c>
      <c r="L34" s="43" t="inlineStr">
        <is>
          <t>A</t>
        </is>
      </c>
      <c r="M34" s="42" t="inlineStr">
        <is>
          <t>P</t>
        </is>
      </c>
      <c r="N34" s="42" t="inlineStr">
        <is>
          <t>P</t>
        </is>
      </c>
      <c r="O34" s="42" t="inlineStr">
        <is>
          <t>P</t>
        </is>
      </c>
      <c r="P34" s="43" t="inlineStr">
        <is>
          <t>A</t>
        </is>
      </c>
      <c r="Q34" s="42" t="inlineStr">
        <is>
          <t>E</t>
        </is>
      </c>
      <c r="R34" s="42" t="inlineStr">
        <is>
          <t>P</t>
        </is>
      </c>
      <c r="S34" s="42" t="inlineStr">
        <is>
          <t>P</t>
        </is>
      </c>
      <c r="T34" s="42" t="inlineStr">
        <is>
          <t>P</t>
        </is>
      </c>
      <c r="U34" s="42" t="inlineStr">
        <is>
          <t>P</t>
        </is>
      </c>
      <c r="V34" s="42" t="inlineStr">
        <is>
          <t>P</t>
        </is>
      </c>
      <c r="W34" s="42" t="inlineStr">
        <is>
          <t>P</t>
        </is>
      </c>
      <c r="X34" s="48" t="inlineStr">
        <is>
          <t>T</t>
        </is>
      </c>
      <c r="Y34" s="42" t="inlineStr">
        <is>
          <t>P</t>
        </is>
      </c>
      <c r="Z34" s="42" t="inlineStr">
        <is>
          <t>P</t>
        </is>
      </c>
      <c r="AA34" s="48" t="inlineStr">
        <is>
          <t>T</t>
        </is>
      </c>
      <c r="AB34" s="42" t="inlineStr">
        <is>
          <t>P</t>
        </is>
      </c>
      <c r="AC34" s="42" t="inlineStr">
        <is>
          <t>P</t>
        </is>
      </c>
      <c r="AD34" s="42" t="inlineStr">
        <is>
          <t>E</t>
        </is>
      </c>
      <c r="AE34" s="42" t="inlineStr">
        <is>
          <t>P</t>
        </is>
      </c>
      <c r="AF34" s="42" t="inlineStr">
        <is>
          <t>P</t>
        </is>
      </c>
      <c r="AG34" s="44">
        <f>COUNTIF(B34:AF34,"P")/COUNTA(B34:AF34)</f>
        <v/>
      </c>
    </row>
    <row r="35" ht="20" customHeight="1">
      <c r="A35" s="9" t="inlineStr">
        <is>
          <t>Owen Young</t>
        </is>
      </c>
      <c r="B35" s="45" t="inlineStr">
        <is>
          <t>E</t>
        </is>
      </c>
      <c r="C35" s="49" t="inlineStr">
        <is>
          <t>A</t>
        </is>
      </c>
      <c r="D35" s="45" t="inlineStr">
        <is>
          <t>P</t>
        </is>
      </c>
      <c r="E35" s="46" t="inlineStr">
        <is>
          <t>T</t>
        </is>
      </c>
      <c r="F35" s="45" t="inlineStr">
        <is>
          <t>P</t>
        </is>
      </c>
      <c r="G35" s="45" t="inlineStr">
        <is>
          <t>P</t>
        </is>
      </c>
      <c r="H35" s="45" t="inlineStr">
        <is>
          <t>E</t>
        </is>
      </c>
      <c r="I35" s="45" t="inlineStr">
        <is>
          <t>P</t>
        </is>
      </c>
      <c r="J35" s="45" t="inlineStr">
        <is>
          <t>P</t>
        </is>
      </c>
      <c r="K35" s="45" t="inlineStr">
        <is>
          <t>P</t>
        </is>
      </c>
      <c r="L35" s="45" t="inlineStr">
        <is>
          <t>P</t>
        </is>
      </c>
      <c r="M35" s="45" t="inlineStr">
        <is>
          <t>P</t>
        </is>
      </c>
      <c r="N35" s="45" t="inlineStr">
        <is>
          <t>P</t>
        </is>
      </c>
      <c r="O35" s="46" t="inlineStr">
        <is>
          <t>T</t>
        </is>
      </c>
      <c r="P35" s="45" t="inlineStr">
        <is>
          <t>P</t>
        </is>
      </c>
      <c r="Q35" s="45" t="inlineStr">
        <is>
          <t>P</t>
        </is>
      </c>
      <c r="R35" s="45" t="inlineStr">
        <is>
          <t>E</t>
        </is>
      </c>
      <c r="S35" s="45" t="inlineStr">
        <is>
          <t>P</t>
        </is>
      </c>
      <c r="T35" s="45" t="inlineStr">
        <is>
          <t>P</t>
        </is>
      </c>
      <c r="U35" s="45" t="inlineStr">
        <is>
          <t>P</t>
        </is>
      </c>
      <c r="V35" s="45" t="inlineStr">
        <is>
          <t>P</t>
        </is>
      </c>
      <c r="W35" s="45" t="inlineStr">
        <is>
          <t>P</t>
        </is>
      </c>
      <c r="X35" s="46" t="inlineStr">
        <is>
          <t>T</t>
        </is>
      </c>
      <c r="Y35" s="45" t="inlineStr">
        <is>
          <t>P</t>
        </is>
      </c>
      <c r="Z35" s="45" t="inlineStr">
        <is>
          <t>P</t>
        </is>
      </c>
      <c r="AA35" s="45" t="inlineStr">
        <is>
          <t>P</t>
        </is>
      </c>
      <c r="AB35" s="45" t="inlineStr">
        <is>
          <t>P</t>
        </is>
      </c>
      <c r="AC35" s="45" t="inlineStr">
        <is>
          <t>P</t>
        </is>
      </c>
      <c r="AD35" s="45" t="inlineStr">
        <is>
          <t>P</t>
        </is>
      </c>
      <c r="AE35" s="45" t="inlineStr">
        <is>
          <t>P</t>
        </is>
      </c>
      <c r="AF35" s="45" t="inlineStr">
        <is>
          <t>P</t>
        </is>
      </c>
      <c r="AG35" s="47">
        <f>COUNTIF(B35:AF35,"P")/COUNTA(B35:AF35)</f>
        <v/>
      </c>
    </row>
    <row r="36" ht="20" customHeight="1">
      <c r="A36" s="6" t="inlineStr">
        <is>
          <t>Chloe Allen</t>
        </is>
      </c>
      <c r="B36" s="42" t="inlineStr">
        <is>
          <t>P</t>
        </is>
      </c>
      <c r="C36" s="42" t="inlineStr">
        <is>
          <t>P</t>
        </is>
      </c>
      <c r="D36" s="42" t="inlineStr">
        <is>
          <t>P</t>
        </is>
      </c>
      <c r="E36" s="42" t="inlineStr">
        <is>
          <t>P</t>
        </is>
      </c>
      <c r="F36" s="42" t="inlineStr">
        <is>
          <t>P</t>
        </is>
      </c>
      <c r="G36" s="42" t="inlineStr">
        <is>
          <t>P</t>
        </is>
      </c>
      <c r="H36" s="42" t="inlineStr">
        <is>
          <t>P</t>
        </is>
      </c>
      <c r="I36" s="42" t="inlineStr">
        <is>
          <t>P</t>
        </is>
      </c>
      <c r="J36" s="42" t="inlineStr">
        <is>
          <t>P</t>
        </is>
      </c>
      <c r="K36" s="48" t="inlineStr">
        <is>
          <t>T</t>
        </is>
      </c>
      <c r="L36" s="42" t="inlineStr">
        <is>
          <t>P</t>
        </is>
      </c>
      <c r="M36" s="43" t="inlineStr">
        <is>
          <t>A</t>
        </is>
      </c>
      <c r="N36" s="42" t="inlineStr">
        <is>
          <t>P</t>
        </is>
      </c>
      <c r="O36" s="42" t="inlineStr">
        <is>
          <t>P</t>
        </is>
      </c>
      <c r="P36" s="42" t="inlineStr">
        <is>
          <t>P</t>
        </is>
      </c>
      <c r="Q36" s="42" t="inlineStr">
        <is>
          <t>P</t>
        </is>
      </c>
      <c r="R36" s="42" t="inlineStr">
        <is>
          <t>E</t>
        </is>
      </c>
      <c r="S36" s="42" t="inlineStr">
        <is>
          <t>P</t>
        </is>
      </c>
      <c r="T36" s="42" t="inlineStr">
        <is>
          <t>P</t>
        </is>
      </c>
      <c r="U36" s="43" t="inlineStr">
        <is>
          <t>A</t>
        </is>
      </c>
      <c r="V36" s="42" t="inlineStr">
        <is>
          <t>P</t>
        </is>
      </c>
      <c r="W36" s="42" t="inlineStr">
        <is>
          <t>P</t>
        </is>
      </c>
      <c r="X36" s="42" t="inlineStr">
        <is>
          <t>P</t>
        </is>
      </c>
      <c r="Y36" s="42" t="inlineStr">
        <is>
          <t>P</t>
        </is>
      </c>
      <c r="Z36" s="42" t="inlineStr">
        <is>
          <t>P</t>
        </is>
      </c>
      <c r="AA36" s="42" t="inlineStr">
        <is>
          <t>P</t>
        </is>
      </c>
      <c r="AB36" s="42" t="inlineStr">
        <is>
          <t>P</t>
        </is>
      </c>
      <c r="AC36" s="43" t="inlineStr">
        <is>
          <t>A</t>
        </is>
      </c>
      <c r="AD36" s="42" t="inlineStr">
        <is>
          <t>P</t>
        </is>
      </c>
      <c r="AE36" s="42" t="inlineStr">
        <is>
          <t>P</t>
        </is>
      </c>
      <c r="AF36" s="42" t="inlineStr">
        <is>
          <t>P</t>
        </is>
      </c>
      <c r="AG36" s="44">
        <f>COUNTIF(B36:AF36,"P")/COUNTA(B36:AF36)</f>
        <v/>
      </c>
    </row>
    <row r="37" ht="20" customHeight="1">
      <c r="A37" s="9" t="inlineStr">
        <is>
          <t>Samuel King</t>
        </is>
      </c>
      <c r="B37" s="45" t="inlineStr">
        <is>
          <t>P</t>
        </is>
      </c>
      <c r="C37" s="45" t="inlineStr">
        <is>
          <t>P</t>
        </is>
      </c>
      <c r="D37" s="45" t="inlineStr">
        <is>
          <t>P</t>
        </is>
      </c>
      <c r="E37" s="45" t="inlineStr">
        <is>
          <t>P</t>
        </is>
      </c>
      <c r="F37" s="45" t="inlineStr">
        <is>
          <t>P</t>
        </is>
      </c>
      <c r="G37" s="45" t="inlineStr">
        <is>
          <t>P</t>
        </is>
      </c>
      <c r="H37" s="45" t="inlineStr">
        <is>
          <t>P</t>
        </is>
      </c>
      <c r="I37" s="45" t="inlineStr">
        <is>
          <t>P</t>
        </is>
      </c>
      <c r="J37" s="45" t="inlineStr">
        <is>
          <t>P</t>
        </is>
      </c>
      <c r="K37" s="45" t="inlineStr">
        <is>
          <t>P</t>
        </is>
      </c>
      <c r="L37" s="46" t="inlineStr">
        <is>
          <t>T</t>
        </is>
      </c>
      <c r="M37" s="45" t="inlineStr">
        <is>
          <t>P</t>
        </is>
      </c>
      <c r="N37" s="45" t="inlineStr">
        <is>
          <t>P</t>
        </is>
      </c>
      <c r="O37" s="45" t="inlineStr">
        <is>
          <t>P</t>
        </is>
      </c>
      <c r="P37" s="45" t="inlineStr">
        <is>
          <t>P</t>
        </is>
      </c>
      <c r="Q37" s="45" t="inlineStr">
        <is>
          <t>P</t>
        </is>
      </c>
      <c r="R37" s="45" t="inlineStr">
        <is>
          <t>P</t>
        </is>
      </c>
      <c r="S37" s="45" t="inlineStr">
        <is>
          <t>P</t>
        </is>
      </c>
      <c r="T37" s="45" t="inlineStr">
        <is>
          <t>P</t>
        </is>
      </c>
      <c r="U37" s="45" t="inlineStr">
        <is>
          <t>P</t>
        </is>
      </c>
      <c r="V37" s="45" t="inlineStr">
        <is>
          <t>P</t>
        </is>
      </c>
      <c r="W37" s="45" t="inlineStr">
        <is>
          <t>P</t>
        </is>
      </c>
      <c r="X37" s="45" t="inlineStr">
        <is>
          <t>P</t>
        </is>
      </c>
      <c r="Y37" s="45" t="inlineStr">
        <is>
          <t>P</t>
        </is>
      </c>
      <c r="Z37" s="45" t="inlineStr">
        <is>
          <t>P</t>
        </is>
      </c>
      <c r="AA37" s="45" t="inlineStr">
        <is>
          <t>P</t>
        </is>
      </c>
      <c r="AB37" s="45" t="inlineStr">
        <is>
          <t>P</t>
        </is>
      </c>
      <c r="AC37" s="45" t="inlineStr">
        <is>
          <t>P</t>
        </is>
      </c>
      <c r="AD37" s="45" t="inlineStr">
        <is>
          <t>P</t>
        </is>
      </c>
      <c r="AE37" s="45" t="inlineStr">
        <is>
          <t>P</t>
        </is>
      </c>
      <c r="AF37" s="45" t="inlineStr">
        <is>
          <t>P</t>
        </is>
      </c>
      <c r="AG37" s="47">
        <f>COUNTIF(B37:AF37,"P")/COUNTA(B37:AF37)</f>
        <v/>
      </c>
    </row>
    <row r="38" ht="20" customHeight="1">
      <c r="A38" s="6" t="inlineStr">
        <is>
          <t>Victoria Wright</t>
        </is>
      </c>
      <c r="B38" s="42" t="inlineStr">
        <is>
          <t>P</t>
        </is>
      </c>
      <c r="C38" s="42" t="inlineStr">
        <is>
          <t>E</t>
        </is>
      </c>
      <c r="D38" s="42" t="inlineStr">
        <is>
          <t>P</t>
        </is>
      </c>
      <c r="E38" s="42" t="inlineStr">
        <is>
          <t>P</t>
        </is>
      </c>
      <c r="F38" s="42" t="inlineStr">
        <is>
          <t>P</t>
        </is>
      </c>
      <c r="G38" s="48" t="inlineStr">
        <is>
          <t>T</t>
        </is>
      </c>
      <c r="H38" s="42" t="inlineStr">
        <is>
          <t>P</t>
        </is>
      </c>
      <c r="I38" s="42" t="inlineStr">
        <is>
          <t>P</t>
        </is>
      </c>
      <c r="J38" s="42" t="inlineStr">
        <is>
          <t>P</t>
        </is>
      </c>
      <c r="K38" s="42" t="inlineStr">
        <is>
          <t>E</t>
        </is>
      </c>
      <c r="L38" s="42" t="inlineStr">
        <is>
          <t>P</t>
        </is>
      </c>
      <c r="M38" s="42" t="inlineStr">
        <is>
          <t>E</t>
        </is>
      </c>
      <c r="N38" s="42" t="inlineStr">
        <is>
          <t>P</t>
        </is>
      </c>
      <c r="O38" s="42" t="inlineStr">
        <is>
          <t>P</t>
        </is>
      </c>
      <c r="P38" s="42" t="inlineStr">
        <is>
          <t>P</t>
        </is>
      </c>
      <c r="Q38" s="42" t="inlineStr">
        <is>
          <t>P</t>
        </is>
      </c>
      <c r="R38" s="42" t="inlineStr">
        <is>
          <t>P</t>
        </is>
      </c>
      <c r="S38" s="42" t="inlineStr">
        <is>
          <t>P</t>
        </is>
      </c>
      <c r="T38" s="42" t="inlineStr">
        <is>
          <t>P</t>
        </is>
      </c>
      <c r="U38" s="42" t="inlineStr">
        <is>
          <t>E</t>
        </is>
      </c>
      <c r="V38" s="43" t="inlineStr">
        <is>
          <t>A</t>
        </is>
      </c>
      <c r="W38" s="42" t="inlineStr">
        <is>
          <t>P</t>
        </is>
      </c>
      <c r="X38" s="43" t="inlineStr">
        <is>
          <t>A</t>
        </is>
      </c>
      <c r="Y38" s="43" t="inlineStr">
        <is>
          <t>A</t>
        </is>
      </c>
      <c r="Z38" s="42" t="inlineStr">
        <is>
          <t>P</t>
        </is>
      </c>
      <c r="AA38" s="42" t="inlineStr">
        <is>
          <t>P</t>
        </is>
      </c>
      <c r="AB38" s="42" t="inlineStr">
        <is>
          <t>P</t>
        </is>
      </c>
      <c r="AC38" s="42" t="inlineStr">
        <is>
          <t>P</t>
        </is>
      </c>
      <c r="AD38" s="42" t="inlineStr">
        <is>
          <t>P</t>
        </is>
      </c>
      <c r="AE38" s="42" t="inlineStr">
        <is>
          <t>E</t>
        </is>
      </c>
      <c r="AF38" s="42" t="inlineStr">
        <is>
          <t>P</t>
        </is>
      </c>
      <c r="AG38" s="44">
        <f>COUNTIF(B38:AF38,"P")/COUNTA(B38:AF38)</f>
        <v/>
      </c>
    </row>
    <row r="39" ht="20" customHeight="1">
      <c r="A39" s="9" t="inlineStr">
        <is>
          <t>Ryan Scott</t>
        </is>
      </c>
      <c r="B39" s="49" t="inlineStr">
        <is>
          <t>A</t>
        </is>
      </c>
      <c r="C39" s="45" t="inlineStr">
        <is>
          <t>P</t>
        </is>
      </c>
      <c r="D39" s="45" t="inlineStr">
        <is>
          <t>P</t>
        </is>
      </c>
      <c r="E39" s="45" t="inlineStr">
        <is>
          <t>E</t>
        </is>
      </c>
      <c r="F39" s="46" t="inlineStr">
        <is>
          <t>T</t>
        </is>
      </c>
      <c r="G39" s="46" t="inlineStr">
        <is>
          <t>T</t>
        </is>
      </c>
      <c r="H39" s="45" t="inlineStr">
        <is>
          <t>P</t>
        </is>
      </c>
      <c r="I39" s="45" t="inlineStr">
        <is>
          <t>P</t>
        </is>
      </c>
      <c r="J39" s="49" t="inlineStr">
        <is>
          <t>A</t>
        </is>
      </c>
      <c r="K39" s="45" t="inlineStr">
        <is>
          <t>P</t>
        </is>
      </c>
      <c r="L39" s="49" t="inlineStr">
        <is>
          <t>A</t>
        </is>
      </c>
      <c r="M39" s="45" t="inlineStr">
        <is>
          <t>P</t>
        </is>
      </c>
      <c r="N39" s="45" t="inlineStr">
        <is>
          <t>P</t>
        </is>
      </c>
      <c r="O39" s="45" t="inlineStr">
        <is>
          <t>P</t>
        </is>
      </c>
      <c r="P39" s="45" t="inlineStr">
        <is>
          <t>P</t>
        </is>
      </c>
      <c r="Q39" s="45" t="inlineStr">
        <is>
          <t>P</t>
        </is>
      </c>
      <c r="R39" s="45" t="inlineStr">
        <is>
          <t>P</t>
        </is>
      </c>
      <c r="S39" s="45" t="inlineStr">
        <is>
          <t>P</t>
        </is>
      </c>
      <c r="T39" s="45" t="inlineStr">
        <is>
          <t>E</t>
        </is>
      </c>
      <c r="U39" s="45" t="inlineStr">
        <is>
          <t>P</t>
        </is>
      </c>
      <c r="V39" s="45" t="inlineStr">
        <is>
          <t>E</t>
        </is>
      </c>
      <c r="W39" s="45" t="inlineStr">
        <is>
          <t>P</t>
        </is>
      </c>
      <c r="X39" s="45" t="inlineStr">
        <is>
          <t>P</t>
        </is>
      </c>
      <c r="Y39" s="45" t="inlineStr">
        <is>
          <t>P</t>
        </is>
      </c>
      <c r="Z39" s="45" t="inlineStr">
        <is>
          <t>P</t>
        </is>
      </c>
      <c r="AA39" s="45" t="inlineStr">
        <is>
          <t>P</t>
        </is>
      </c>
      <c r="AB39" s="45" t="inlineStr">
        <is>
          <t>P</t>
        </is>
      </c>
      <c r="AC39" s="45" t="inlineStr">
        <is>
          <t>P</t>
        </is>
      </c>
      <c r="AD39" s="45" t="inlineStr">
        <is>
          <t>P</t>
        </is>
      </c>
      <c r="AE39" s="45" t="inlineStr">
        <is>
          <t>P</t>
        </is>
      </c>
      <c r="AF39" s="45" t="inlineStr">
        <is>
          <t>P</t>
        </is>
      </c>
      <c r="AG39" s="47">
        <f>COUNTIF(B39:AF39,"P")/COUNTA(B39:AF39)</f>
        <v/>
      </c>
    </row>
    <row r="40" ht="20" customHeight="1">
      <c r="A40" s="6" t="inlineStr">
        <is>
          <t>Riley Torres</t>
        </is>
      </c>
      <c r="B40" s="42" t="inlineStr">
        <is>
          <t>P</t>
        </is>
      </c>
      <c r="C40" s="42" t="inlineStr">
        <is>
          <t>P</t>
        </is>
      </c>
      <c r="D40" s="42" t="inlineStr">
        <is>
          <t>P</t>
        </is>
      </c>
      <c r="E40" s="42" t="inlineStr">
        <is>
          <t>P</t>
        </is>
      </c>
      <c r="F40" s="42" t="inlineStr">
        <is>
          <t>P</t>
        </is>
      </c>
      <c r="G40" s="42" t="inlineStr">
        <is>
          <t>P</t>
        </is>
      </c>
      <c r="H40" s="42" t="inlineStr">
        <is>
          <t>P</t>
        </is>
      </c>
      <c r="I40" s="42" t="inlineStr">
        <is>
          <t>P</t>
        </is>
      </c>
      <c r="J40" s="42" t="inlineStr">
        <is>
          <t>P</t>
        </is>
      </c>
      <c r="K40" s="42" t="inlineStr">
        <is>
          <t>E</t>
        </is>
      </c>
      <c r="L40" s="42" t="inlineStr">
        <is>
          <t>P</t>
        </is>
      </c>
      <c r="M40" s="42" t="inlineStr">
        <is>
          <t>P</t>
        </is>
      </c>
      <c r="N40" s="42" t="inlineStr">
        <is>
          <t>P</t>
        </is>
      </c>
      <c r="O40" s="42" t="inlineStr">
        <is>
          <t>P</t>
        </is>
      </c>
      <c r="P40" s="42" t="inlineStr">
        <is>
          <t>P</t>
        </is>
      </c>
      <c r="Q40" s="43" t="inlineStr">
        <is>
          <t>A</t>
        </is>
      </c>
      <c r="R40" s="42" t="inlineStr">
        <is>
          <t>P</t>
        </is>
      </c>
      <c r="S40" s="43" t="inlineStr">
        <is>
          <t>A</t>
        </is>
      </c>
      <c r="T40" s="42" t="inlineStr">
        <is>
          <t>P</t>
        </is>
      </c>
      <c r="U40" s="42" t="inlineStr">
        <is>
          <t>P</t>
        </is>
      </c>
      <c r="V40" s="42" t="inlineStr">
        <is>
          <t>P</t>
        </is>
      </c>
      <c r="W40" s="42" t="inlineStr">
        <is>
          <t>P</t>
        </is>
      </c>
      <c r="X40" s="42" t="inlineStr">
        <is>
          <t>E</t>
        </is>
      </c>
      <c r="Y40" s="42" t="inlineStr">
        <is>
          <t>P</t>
        </is>
      </c>
      <c r="Z40" s="42" t="inlineStr">
        <is>
          <t>P</t>
        </is>
      </c>
      <c r="AA40" s="42" t="inlineStr">
        <is>
          <t>P</t>
        </is>
      </c>
      <c r="AB40" s="42" t="inlineStr">
        <is>
          <t>P</t>
        </is>
      </c>
      <c r="AC40" s="42" t="inlineStr">
        <is>
          <t>P</t>
        </is>
      </c>
      <c r="AD40" s="48" t="inlineStr">
        <is>
          <t>T</t>
        </is>
      </c>
      <c r="AE40" s="42" t="inlineStr">
        <is>
          <t>P</t>
        </is>
      </c>
      <c r="AF40" s="42" t="inlineStr">
        <is>
          <t>P</t>
        </is>
      </c>
      <c r="AG40" s="44">
        <f>COUNTIF(B40:AF40,"P")/COUNTA(B40:AF40)</f>
        <v/>
      </c>
    </row>
    <row r="41" ht="20" customHeight="1">
      <c r="A41" s="9" t="inlineStr">
        <is>
          <t>Nathan Nguyen</t>
        </is>
      </c>
      <c r="B41" s="49" t="inlineStr">
        <is>
          <t>A</t>
        </is>
      </c>
      <c r="C41" s="45" t="inlineStr">
        <is>
          <t>P</t>
        </is>
      </c>
      <c r="D41" s="45" t="inlineStr">
        <is>
          <t>P</t>
        </is>
      </c>
      <c r="E41" s="49" t="inlineStr">
        <is>
          <t>A</t>
        </is>
      </c>
      <c r="F41" s="45" t="inlineStr">
        <is>
          <t>P</t>
        </is>
      </c>
      <c r="G41" s="45" t="inlineStr">
        <is>
          <t>P</t>
        </is>
      </c>
      <c r="H41" s="45" t="inlineStr">
        <is>
          <t>P</t>
        </is>
      </c>
      <c r="I41" s="45" t="inlineStr">
        <is>
          <t>P</t>
        </is>
      </c>
      <c r="J41" s="49" t="inlineStr">
        <is>
          <t>A</t>
        </is>
      </c>
      <c r="K41" s="45" t="inlineStr">
        <is>
          <t>P</t>
        </is>
      </c>
      <c r="L41" s="45" t="inlineStr">
        <is>
          <t>E</t>
        </is>
      </c>
      <c r="M41" s="45" t="inlineStr">
        <is>
          <t>P</t>
        </is>
      </c>
      <c r="N41" s="45" t="inlineStr">
        <is>
          <t>P</t>
        </is>
      </c>
      <c r="O41" s="45" t="inlineStr">
        <is>
          <t>P</t>
        </is>
      </c>
      <c r="P41" s="45" t="inlineStr">
        <is>
          <t>P</t>
        </is>
      </c>
      <c r="Q41" s="45" t="inlineStr">
        <is>
          <t>P</t>
        </is>
      </c>
      <c r="R41" s="45" t="inlineStr">
        <is>
          <t>P</t>
        </is>
      </c>
      <c r="S41" s="45" t="inlineStr">
        <is>
          <t>P</t>
        </is>
      </c>
      <c r="T41" s="45" t="inlineStr">
        <is>
          <t>P</t>
        </is>
      </c>
      <c r="U41" s="45" t="inlineStr">
        <is>
          <t>P</t>
        </is>
      </c>
      <c r="V41" s="45" t="inlineStr">
        <is>
          <t>P</t>
        </is>
      </c>
      <c r="W41" s="45" t="inlineStr">
        <is>
          <t>P</t>
        </is>
      </c>
      <c r="X41" s="45" t="inlineStr">
        <is>
          <t>P</t>
        </is>
      </c>
      <c r="Y41" s="45" t="inlineStr">
        <is>
          <t>P</t>
        </is>
      </c>
      <c r="Z41" s="45" t="inlineStr">
        <is>
          <t>P</t>
        </is>
      </c>
      <c r="AA41" s="45" t="inlineStr">
        <is>
          <t>P</t>
        </is>
      </c>
      <c r="AB41" s="49" t="inlineStr">
        <is>
          <t>A</t>
        </is>
      </c>
      <c r="AC41" s="45" t="inlineStr">
        <is>
          <t>P</t>
        </is>
      </c>
      <c r="AD41" s="45" t="inlineStr">
        <is>
          <t>P</t>
        </is>
      </c>
      <c r="AE41" s="45" t="inlineStr">
        <is>
          <t>P</t>
        </is>
      </c>
      <c r="AF41" s="45" t="inlineStr">
        <is>
          <t>P</t>
        </is>
      </c>
      <c r="AG41" s="47">
        <f>COUNTIF(B41:AF41,"P")/COUNTA(B41:AF41)</f>
        <v/>
      </c>
    </row>
    <row r="42" ht="20" customHeight="1">
      <c r="A42" s="6" t="inlineStr">
        <is>
          <t>Aria Hill</t>
        </is>
      </c>
      <c r="B42" s="48" t="inlineStr">
        <is>
          <t>T</t>
        </is>
      </c>
      <c r="C42" s="42" t="inlineStr">
        <is>
          <t>P</t>
        </is>
      </c>
      <c r="D42" s="42" t="inlineStr">
        <is>
          <t>P</t>
        </is>
      </c>
      <c r="E42" s="42" t="inlineStr">
        <is>
          <t>P</t>
        </is>
      </c>
      <c r="F42" s="42" t="inlineStr">
        <is>
          <t>P</t>
        </is>
      </c>
      <c r="G42" s="48" t="inlineStr">
        <is>
          <t>T</t>
        </is>
      </c>
      <c r="H42" s="42" t="inlineStr">
        <is>
          <t>P</t>
        </is>
      </c>
      <c r="I42" s="42" t="inlineStr">
        <is>
          <t>P</t>
        </is>
      </c>
      <c r="J42" s="42" t="inlineStr">
        <is>
          <t>P</t>
        </is>
      </c>
      <c r="K42" s="42" t="inlineStr">
        <is>
          <t>P</t>
        </is>
      </c>
      <c r="L42" s="42" t="inlineStr">
        <is>
          <t>P</t>
        </is>
      </c>
      <c r="M42" s="42" t="inlineStr">
        <is>
          <t>P</t>
        </is>
      </c>
      <c r="N42" s="42" t="inlineStr">
        <is>
          <t>P</t>
        </is>
      </c>
      <c r="O42" s="42" t="inlineStr">
        <is>
          <t>P</t>
        </is>
      </c>
      <c r="P42" s="48" t="inlineStr">
        <is>
          <t>T</t>
        </is>
      </c>
      <c r="Q42" s="42" t="inlineStr">
        <is>
          <t>P</t>
        </is>
      </c>
      <c r="R42" s="42" t="inlineStr">
        <is>
          <t>P</t>
        </is>
      </c>
      <c r="S42" s="42" t="inlineStr">
        <is>
          <t>P</t>
        </is>
      </c>
      <c r="T42" s="42" t="inlineStr">
        <is>
          <t>P</t>
        </is>
      </c>
      <c r="U42" s="43" t="inlineStr">
        <is>
          <t>A</t>
        </is>
      </c>
      <c r="V42" s="42" t="inlineStr">
        <is>
          <t>P</t>
        </is>
      </c>
      <c r="W42" s="42" t="inlineStr">
        <is>
          <t>P</t>
        </is>
      </c>
      <c r="X42" s="42" t="inlineStr">
        <is>
          <t>P</t>
        </is>
      </c>
      <c r="Y42" s="42" t="inlineStr">
        <is>
          <t>P</t>
        </is>
      </c>
      <c r="Z42" s="42" t="inlineStr">
        <is>
          <t>P</t>
        </is>
      </c>
      <c r="AA42" s="42" t="inlineStr">
        <is>
          <t>P</t>
        </is>
      </c>
      <c r="AB42" s="42" t="inlineStr">
        <is>
          <t>P</t>
        </is>
      </c>
      <c r="AC42" s="42" t="inlineStr">
        <is>
          <t>P</t>
        </is>
      </c>
      <c r="AD42" s="42" t="inlineStr">
        <is>
          <t>P</t>
        </is>
      </c>
      <c r="AE42" s="43" t="inlineStr">
        <is>
          <t>A</t>
        </is>
      </c>
      <c r="AF42" s="42" t="inlineStr">
        <is>
          <t>P</t>
        </is>
      </c>
      <c r="AG42" s="44">
        <f>COUNTIF(B42:AF42,"P")/COUNTA(B42:AF42)</f>
        <v/>
      </c>
    </row>
    <row r="43" ht="20" customHeight="1">
      <c r="A43" s="9" t="inlineStr">
        <is>
          <t>Caleb Flores</t>
        </is>
      </c>
      <c r="B43" s="46" t="inlineStr">
        <is>
          <t>T</t>
        </is>
      </c>
      <c r="C43" s="45" t="inlineStr">
        <is>
          <t>P</t>
        </is>
      </c>
      <c r="D43" s="49" t="inlineStr">
        <is>
          <t>A</t>
        </is>
      </c>
      <c r="E43" s="45" t="inlineStr">
        <is>
          <t>P</t>
        </is>
      </c>
      <c r="F43" s="49" t="inlineStr">
        <is>
          <t>A</t>
        </is>
      </c>
      <c r="G43" s="45" t="inlineStr">
        <is>
          <t>P</t>
        </is>
      </c>
      <c r="H43" s="45" t="inlineStr">
        <is>
          <t>P</t>
        </is>
      </c>
      <c r="I43" s="45" t="inlineStr">
        <is>
          <t>P</t>
        </is>
      </c>
      <c r="J43" s="45" t="inlineStr">
        <is>
          <t>P</t>
        </is>
      </c>
      <c r="K43" s="45" t="inlineStr">
        <is>
          <t>P</t>
        </is>
      </c>
      <c r="L43" s="45" t="inlineStr">
        <is>
          <t>P</t>
        </is>
      </c>
      <c r="M43" s="45" t="inlineStr">
        <is>
          <t>P</t>
        </is>
      </c>
      <c r="N43" s="45" t="inlineStr">
        <is>
          <t>P</t>
        </is>
      </c>
      <c r="O43" s="45" t="inlineStr">
        <is>
          <t>P</t>
        </is>
      </c>
      <c r="P43" s="45" t="inlineStr">
        <is>
          <t>P</t>
        </is>
      </c>
      <c r="Q43" s="45" t="inlineStr">
        <is>
          <t>P</t>
        </is>
      </c>
      <c r="R43" s="45" t="inlineStr">
        <is>
          <t>E</t>
        </is>
      </c>
      <c r="S43" s="45" t="inlineStr">
        <is>
          <t>P</t>
        </is>
      </c>
      <c r="T43" s="45" t="inlineStr">
        <is>
          <t>E</t>
        </is>
      </c>
      <c r="U43" s="45" t="inlineStr">
        <is>
          <t>P</t>
        </is>
      </c>
      <c r="V43" s="45" t="inlineStr">
        <is>
          <t>P</t>
        </is>
      </c>
      <c r="W43" s="45" t="inlineStr">
        <is>
          <t>P</t>
        </is>
      </c>
      <c r="X43" s="45" t="inlineStr">
        <is>
          <t>P</t>
        </is>
      </c>
      <c r="Y43" s="45" t="inlineStr">
        <is>
          <t>P</t>
        </is>
      </c>
      <c r="Z43" s="45" t="inlineStr">
        <is>
          <t>P</t>
        </is>
      </c>
      <c r="AA43" s="45" t="inlineStr">
        <is>
          <t>P</t>
        </is>
      </c>
      <c r="AB43" s="45" t="inlineStr">
        <is>
          <t>P</t>
        </is>
      </c>
      <c r="AC43" s="45" t="inlineStr">
        <is>
          <t>P</t>
        </is>
      </c>
      <c r="AD43" s="45" t="inlineStr">
        <is>
          <t>P</t>
        </is>
      </c>
      <c r="AE43" s="45" t="inlineStr">
        <is>
          <t>P</t>
        </is>
      </c>
      <c r="AF43" s="45" t="inlineStr">
        <is>
          <t>P</t>
        </is>
      </c>
      <c r="AG43" s="47">
        <f>COUNTIF(B43:AF43,"P")/COUNTA(B43:AF43)</f>
        <v/>
      </c>
    </row>
    <row r="45">
      <c r="A45" s="50" t="inlineStr">
        <is>
          <t>CLASS RATE</t>
        </is>
      </c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2">
        <f>AVERAGE(AG4:AG43)</f>
        <v/>
      </c>
    </row>
  </sheetData>
  <mergeCells count="2">
    <mergeCell ref="A2:AG2"/>
    <mergeCell ref="A1:AG1"/>
  </mergeCells>
  <dataValidations count="1">
    <dataValidation sqref="B4:AF43" showDropDown="0" showInputMessage="0" showErrorMessage="0" allowBlank="1" error="Use P, A, T, or E" prompt="P=Present, A=Absent, T=Tardy, E=Excused" type="list">
      <formula1>"P,A,T,E"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8A169"/>
    <outlinePr summaryBelow="1" summaryRight="1"/>
    <pageSetUpPr/>
  </sheetPr>
  <dimension ref="A1:I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45" customHeight="1">
      <c r="A1" s="22" t="inlineStr">
        <is>
          <t>CLASSROOM BUDGET  |  Teacher Classroom Planner 2026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</row>
    <row r="2" ht="25" customHeight="1">
      <c r="A2" s="24" t="inlineStr">
        <is>
          <t>Track every classroom expense, funding source, and reimbursement status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</row>
    <row r="3" ht="30" customHeight="1">
      <c r="A3" s="26" t="inlineStr">
        <is>
          <t>Category</t>
        </is>
      </c>
      <c r="B3" s="26" t="inlineStr">
        <is>
          <t>Item</t>
        </is>
      </c>
      <c r="C3" s="26" t="inlineStr">
        <is>
          <t>Qty</t>
        </is>
      </c>
      <c r="D3" s="26" t="inlineStr">
        <is>
          <t>Cost Per</t>
        </is>
      </c>
      <c r="E3" s="26" t="inlineStr">
        <is>
          <t>Total Cost</t>
        </is>
      </c>
      <c r="F3" s="26" t="inlineStr">
        <is>
          <t>Source</t>
        </is>
      </c>
      <c r="G3" s="26" t="inlineStr">
        <is>
          <t>Reimbursed</t>
        </is>
      </c>
      <c r="H3" s="26" t="inlineStr">
        <is>
          <t>Date</t>
        </is>
      </c>
      <c r="I3" s="26" t="inlineStr">
        <is>
          <t>Notes</t>
        </is>
      </c>
    </row>
    <row r="4" ht="22" customHeight="1">
      <c r="A4" s="6" t="inlineStr">
        <is>
          <t>Supplies</t>
        </is>
      </c>
      <c r="B4" s="7" t="inlineStr">
        <is>
          <t>Dry erase markers (24-pack)</t>
        </is>
      </c>
      <c r="C4" s="7" t="n">
        <v>3</v>
      </c>
      <c r="D4" s="53" t="n">
        <v>8.99</v>
      </c>
      <c r="E4" s="54">
        <f>C4*D4</f>
        <v/>
      </c>
      <c r="F4" s="7" t="inlineStr">
        <is>
          <t>School</t>
        </is>
      </c>
      <c r="G4" s="7" t="inlineStr">
        <is>
          <t>N/A</t>
        </is>
      </c>
      <c r="H4" s="7" t="inlineStr">
        <is>
          <t>12/17/2026</t>
        </is>
      </c>
      <c r="I4" s="7" t="inlineStr"/>
    </row>
    <row r="5" ht="22" customHeight="1">
      <c r="A5" s="9" t="inlineStr">
        <is>
          <t>Supplies</t>
        </is>
      </c>
      <c r="B5" s="10" t="inlineStr">
        <is>
          <t>Construction paper (500 sheets)</t>
        </is>
      </c>
      <c r="C5" s="10" t="n">
        <v>2</v>
      </c>
      <c r="D5" s="55" t="n">
        <v>12.49</v>
      </c>
      <c r="E5" s="56">
        <f>C5*D5</f>
        <v/>
      </c>
      <c r="F5" s="10" t="inlineStr">
        <is>
          <t>School</t>
        </is>
      </c>
      <c r="G5" s="10" t="inlineStr">
        <is>
          <t>N/A</t>
        </is>
      </c>
      <c r="H5" s="10" t="inlineStr">
        <is>
          <t>09/19/2026</t>
        </is>
      </c>
      <c r="I5" s="10" t="inlineStr"/>
    </row>
    <row r="6" ht="22" customHeight="1">
      <c r="A6" s="6" t="inlineStr">
        <is>
          <t>Books</t>
        </is>
      </c>
      <c r="B6" s="7" t="inlineStr">
        <is>
          <t>Class novel set - Charlotte's Web</t>
        </is>
      </c>
      <c r="C6" s="7" t="n">
        <v>30</v>
      </c>
      <c r="D6" s="53" t="n">
        <v>6.99</v>
      </c>
      <c r="E6" s="54">
        <f>C6*D6</f>
        <v/>
      </c>
      <c r="F6" s="7" t="inlineStr">
        <is>
          <t>School</t>
        </is>
      </c>
      <c r="G6" s="7" t="inlineStr">
        <is>
          <t>N/A</t>
        </is>
      </c>
      <c r="H6" s="7" t="inlineStr">
        <is>
          <t>12/05/2026</t>
        </is>
      </c>
      <c r="I6" s="7" t="inlineStr"/>
    </row>
    <row r="7" ht="22" customHeight="1">
      <c r="A7" s="9" t="inlineStr">
        <is>
          <t>Technology</t>
        </is>
      </c>
      <c r="B7" s="10" t="inlineStr">
        <is>
          <t>iPad stylus pens</t>
        </is>
      </c>
      <c r="C7" s="10" t="n">
        <v>10</v>
      </c>
      <c r="D7" s="55" t="n">
        <v>9.99</v>
      </c>
      <c r="E7" s="56">
        <f>C7*D7</f>
        <v/>
      </c>
      <c r="F7" s="10" t="inlineStr">
        <is>
          <t>Grant</t>
        </is>
      </c>
      <c r="G7" s="10" t="inlineStr">
        <is>
          <t>N/A</t>
        </is>
      </c>
      <c r="H7" s="10" t="inlineStr">
        <is>
          <t>09/11/2026</t>
        </is>
      </c>
      <c r="I7" s="10" t="inlineStr"/>
    </row>
    <row r="8" ht="22" customHeight="1">
      <c r="A8" s="6" t="inlineStr">
        <is>
          <t>Decorations</t>
        </is>
      </c>
      <c r="B8" s="7" t="inlineStr">
        <is>
          <t>Bulletin board borders</t>
        </is>
      </c>
      <c r="C8" s="7" t="n">
        <v>5</v>
      </c>
      <c r="D8" s="53" t="n">
        <v>4.99</v>
      </c>
      <c r="E8" s="54">
        <f>C8*D8</f>
        <v/>
      </c>
      <c r="F8" s="7" t="inlineStr">
        <is>
          <t>Personal</t>
        </is>
      </c>
      <c r="G8" s="7" t="inlineStr">
        <is>
          <t>Pending</t>
        </is>
      </c>
      <c r="H8" s="7" t="inlineStr">
        <is>
          <t>12/15/2026</t>
        </is>
      </c>
      <c r="I8" s="7" t="inlineStr"/>
    </row>
    <row r="9" ht="22" customHeight="1">
      <c r="A9" s="9" t="inlineStr">
        <is>
          <t>Crafts</t>
        </is>
      </c>
      <c r="B9" s="10" t="inlineStr">
        <is>
          <t>Glue sticks (bulk 100)</t>
        </is>
      </c>
      <c r="C9" s="10" t="n">
        <v>1</v>
      </c>
      <c r="D9" s="55" t="n">
        <v>15.99</v>
      </c>
      <c r="E9" s="56">
        <f>C9*D9</f>
        <v/>
      </c>
      <c r="F9" s="10" t="inlineStr">
        <is>
          <t>School</t>
        </is>
      </c>
      <c r="G9" s="10" t="inlineStr">
        <is>
          <t>N/A</t>
        </is>
      </c>
      <c r="H9" s="10" t="inlineStr">
        <is>
          <t>08/22/2026</t>
        </is>
      </c>
      <c r="I9" s="10" t="inlineStr"/>
    </row>
    <row r="10" ht="22" customHeight="1">
      <c r="A10" s="6" t="inlineStr">
        <is>
          <t>Supplies</t>
        </is>
      </c>
      <c r="B10" s="7" t="inlineStr">
        <is>
          <t>Pencils (gross box)</t>
        </is>
      </c>
      <c r="C10" s="7" t="n">
        <v>2</v>
      </c>
      <c r="D10" s="53" t="n">
        <v>11.99</v>
      </c>
      <c r="E10" s="54">
        <f>C10*D10</f>
        <v/>
      </c>
      <c r="F10" s="7" t="inlineStr">
        <is>
          <t>Donation</t>
        </is>
      </c>
      <c r="G10" s="7" t="inlineStr">
        <is>
          <t>N/A</t>
        </is>
      </c>
      <c r="H10" s="7" t="inlineStr">
        <is>
          <t>09/23/2026</t>
        </is>
      </c>
      <c r="I10" s="7" t="inlineStr"/>
    </row>
    <row r="11" ht="22" customHeight="1">
      <c r="A11" s="9" t="inlineStr">
        <is>
          <t>Snacks</t>
        </is>
      </c>
      <c r="B11" s="10" t="inlineStr">
        <is>
          <t>Goldfish crackers (30-ct)</t>
        </is>
      </c>
      <c r="C11" s="10" t="n">
        <v>4</v>
      </c>
      <c r="D11" s="55" t="n">
        <v>8.49</v>
      </c>
      <c r="E11" s="56">
        <f>C11*D11</f>
        <v/>
      </c>
      <c r="F11" s="10" t="inlineStr">
        <is>
          <t>Personal</t>
        </is>
      </c>
      <c r="G11" s="10" t="inlineStr">
        <is>
          <t>No</t>
        </is>
      </c>
      <c r="H11" s="10" t="inlineStr">
        <is>
          <t>12/16/2026</t>
        </is>
      </c>
      <c r="I11" s="10" t="inlineStr"/>
    </row>
    <row r="12" ht="22" customHeight="1">
      <c r="A12" s="6" t="inlineStr">
        <is>
          <t>Field Trips</t>
        </is>
      </c>
      <c r="B12" s="7" t="inlineStr">
        <is>
          <t>Science museum bus</t>
        </is>
      </c>
      <c r="C12" s="7" t="n">
        <v>1</v>
      </c>
      <c r="D12" s="53" t="n">
        <v>350</v>
      </c>
      <c r="E12" s="54">
        <f>C12*D12</f>
        <v/>
      </c>
      <c r="F12" s="7" t="inlineStr">
        <is>
          <t>School</t>
        </is>
      </c>
      <c r="G12" s="7" t="inlineStr">
        <is>
          <t>N/A</t>
        </is>
      </c>
      <c r="H12" s="7" t="inlineStr">
        <is>
          <t>08/17/2026</t>
        </is>
      </c>
      <c r="I12" s="7" t="inlineStr"/>
    </row>
    <row r="13" ht="22" customHeight="1">
      <c r="A13" s="9" t="inlineStr">
        <is>
          <t>Books</t>
        </is>
      </c>
      <c r="B13" s="10" t="inlineStr">
        <is>
          <t>Math workbooks</t>
        </is>
      </c>
      <c r="C13" s="10" t="n">
        <v>30</v>
      </c>
      <c r="D13" s="55" t="n">
        <v>8.5</v>
      </c>
      <c r="E13" s="56">
        <f>C13*D13</f>
        <v/>
      </c>
      <c r="F13" s="10" t="inlineStr">
        <is>
          <t>School</t>
        </is>
      </c>
      <c r="G13" s="10" t="inlineStr">
        <is>
          <t>N/A</t>
        </is>
      </c>
      <c r="H13" s="10" t="inlineStr">
        <is>
          <t>11/26/2026</t>
        </is>
      </c>
      <c r="I13" s="10" t="inlineStr"/>
    </row>
    <row r="14" ht="22" customHeight="1">
      <c r="A14" s="6" t="inlineStr">
        <is>
          <t>Technology</t>
        </is>
      </c>
      <c r="B14" s="7" t="inlineStr">
        <is>
          <t>Replacement charger cables</t>
        </is>
      </c>
      <c r="C14" s="7" t="n">
        <v>5</v>
      </c>
      <c r="D14" s="53" t="n">
        <v>7.99</v>
      </c>
      <c r="E14" s="54">
        <f>C14*D14</f>
        <v/>
      </c>
      <c r="F14" s="7" t="inlineStr">
        <is>
          <t>Personal</t>
        </is>
      </c>
      <c r="G14" s="7" t="inlineStr">
        <is>
          <t>Yes</t>
        </is>
      </c>
      <c r="H14" s="7" t="inlineStr">
        <is>
          <t>08/15/2026</t>
        </is>
      </c>
      <c r="I14" s="7" t="inlineStr"/>
    </row>
    <row r="15" ht="22" customHeight="1">
      <c r="A15" s="9" t="inlineStr">
        <is>
          <t>Decorations</t>
        </is>
      </c>
      <c r="B15" s="10" t="inlineStr">
        <is>
          <t>Classroom calendar set</t>
        </is>
      </c>
      <c r="C15" s="10" t="n">
        <v>1</v>
      </c>
      <c r="D15" s="55" t="n">
        <v>19.99</v>
      </c>
      <c r="E15" s="56">
        <f>C15*D15</f>
        <v/>
      </c>
      <c r="F15" s="10" t="inlineStr">
        <is>
          <t>Personal</t>
        </is>
      </c>
      <c r="G15" s="10" t="inlineStr">
        <is>
          <t>Pending</t>
        </is>
      </c>
      <c r="H15" s="10" t="inlineStr">
        <is>
          <t>09/17/2026</t>
        </is>
      </c>
      <c r="I15" s="10" t="inlineStr"/>
    </row>
    <row r="16" ht="22" customHeight="1">
      <c r="A16" s="6" t="inlineStr">
        <is>
          <t>Supplies</t>
        </is>
      </c>
      <c r="B16" s="7" t="inlineStr">
        <is>
          <t>Whiteboard cleaner spray</t>
        </is>
      </c>
      <c r="C16" s="7" t="n">
        <v>3</v>
      </c>
      <c r="D16" s="53" t="n">
        <v>5.49</v>
      </c>
      <c r="E16" s="54">
        <f>C16*D16</f>
        <v/>
      </c>
      <c r="F16" s="7" t="inlineStr">
        <is>
          <t>School</t>
        </is>
      </c>
      <c r="G16" s="7" t="inlineStr">
        <is>
          <t>N/A</t>
        </is>
      </c>
      <c r="H16" s="7" t="inlineStr">
        <is>
          <t>11/15/2026</t>
        </is>
      </c>
      <c r="I16" s="7" t="inlineStr"/>
    </row>
    <row r="17" ht="22" customHeight="1">
      <c r="A17" s="9" t="inlineStr">
        <is>
          <t>Crafts</t>
        </is>
      </c>
      <c r="B17" s="10" t="inlineStr">
        <is>
          <t>Pipe cleaners (500-ct)</t>
        </is>
      </c>
      <c r="C17" s="10" t="n">
        <v>2</v>
      </c>
      <c r="D17" s="55" t="n">
        <v>6.99</v>
      </c>
      <c r="E17" s="56">
        <f>C17*D17</f>
        <v/>
      </c>
      <c r="F17" s="10" t="inlineStr">
        <is>
          <t>Donation</t>
        </is>
      </c>
      <c r="G17" s="10" t="inlineStr">
        <is>
          <t>N/A</t>
        </is>
      </c>
      <c r="H17" s="10" t="inlineStr">
        <is>
          <t>12/02/2026</t>
        </is>
      </c>
      <c r="I17" s="10" t="inlineStr"/>
    </row>
    <row r="18" ht="22" customHeight="1">
      <c r="A18" s="6" t="inlineStr">
        <is>
          <t>Snacks</t>
        </is>
      </c>
      <c r="B18" s="7" t="inlineStr">
        <is>
          <t>Animal crackers (individual)</t>
        </is>
      </c>
      <c r="C18" s="7" t="n">
        <v>30</v>
      </c>
      <c r="D18" s="53" t="n">
        <v>0.5</v>
      </c>
      <c r="E18" s="54">
        <f>C18*D18</f>
        <v/>
      </c>
      <c r="F18" s="7" t="inlineStr">
        <is>
          <t>Personal</t>
        </is>
      </c>
      <c r="G18" s="7" t="inlineStr">
        <is>
          <t>No</t>
        </is>
      </c>
      <c r="H18" s="7" t="inlineStr">
        <is>
          <t>12/15/2026</t>
        </is>
      </c>
      <c r="I18" s="7" t="inlineStr"/>
    </row>
    <row r="19">
      <c r="A19" s="9" t="inlineStr"/>
      <c r="B19" s="10" t="inlineStr"/>
      <c r="C19" s="10" t="inlineStr"/>
      <c r="D19" s="10" t="inlineStr"/>
      <c r="E19" s="57">
        <f>IF(C19*D19=0,"",C19*D19)</f>
        <v/>
      </c>
      <c r="F19" s="10" t="inlineStr"/>
      <c r="G19" s="10" t="inlineStr"/>
      <c r="H19" s="10" t="inlineStr"/>
      <c r="I19" s="10" t="inlineStr"/>
    </row>
    <row r="20">
      <c r="A20" s="6" t="inlineStr"/>
      <c r="B20" s="7" t="inlineStr"/>
      <c r="C20" s="7" t="inlineStr"/>
      <c r="D20" s="7" t="inlineStr"/>
      <c r="E20" s="58">
        <f>IF(C20*D20=0,"",C20*D20)</f>
        <v/>
      </c>
      <c r="F20" s="7" t="inlineStr"/>
      <c r="G20" s="7" t="inlineStr"/>
      <c r="H20" s="7" t="inlineStr"/>
      <c r="I20" s="7" t="inlineStr"/>
    </row>
    <row r="21">
      <c r="A21" s="9" t="inlineStr"/>
      <c r="B21" s="10" t="inlineStr"/>
      <c r="C21" s="10" t="inlineStr"/>
      <c r="D21" s="10" t="inlineStr"/>
      <c r="E21" s="57">
        <f>IF(C21*D21=0,"",C21*D21)</f>
        <v/>
      </c>
      <c r="F21" s="10" t="inlineStr"/>
      <c r="G21" s="10" t="inlineStr"/>
      <c r="H21" s="10" t="inlineStr"/>
      <c r="I21" s="10" t="inlineStr"/>
    </row>
    <row r="22">
      <c r="A22" s="6" t="inlineStr"/>
      <c r="B22" s="7" t="inlineStr"/>
      <c r="C22" s="7" t="inlineStr"/>
      <c r="D22" s="7" t="inlineStr"/>
      <c r="E22" s="58">
        <f>IF(C22*D22=0,"",C22*D22)</f>
        <v/>
      </c>
      <c r="F22" s="7" t="inlineStr"/>
      <c r="G22" s="7" t="inlineStr"/>
      <c r="H22" s="7" t="inlineStr"/>
      <c r="I22" s="7" t="inlineStr"/>
    </row>
    <row r="23">
      <c r="A23" s="9" t="inlineStr"/>
      <c r="B23" s="10" t="inlineStr"/>
      <c r="C23" s="10" t="inlineStr"/>
      <c r="D23" s="10" t="inlineStr"/>
      <c r="E23" s="57">
        <f>IF(C23*D23=0,"",C23*D23)</f>
        <v/>
      </c>
      <c r="F23" s="10" t="inlineStr"/>
      <c r="G23" s="10" t="inlineStr"/>
      <c r="H23" s="10" t="inlineStr"/>
      <c r="I23" s="10" t="inlineStr"/>
    </row>
    <row r="24">
      <c r="A24" s="6" t="inlineStr"/>
      <c r="B24" s="7" t="inlineStr"/>
      <c r="C24" s="7" t="inlineStr"/>
      <c r="D24" s="7" t="inlineStr"/>
      <c r="E24" s="58">
        <f>IF(C24*D24=0,"",C24*D24)</f>
        <v/>
      </c>
      <c r="F24" s="7" t="inlineStr"/>
      <c r="G24" s="7" t="inlineStr"/>
      <c r="H24" s="7" t="inlineStr"/>
      <c r="I24" s="7" t="inlineStr"/>
    </row>
    <row r="25">
      <c r="A25" s="9" t="inlineStr"/>
      <c r="B25" s="10" t="inlineStr"/>
      <c r="C25" s="10" t="inlineStr"/>
      <c r="D25" s="10" t="inlineStr"/>
      <c r="E25" s="57">
        <f>IF(C25*D25=0,"",C25*D25)</f>
        <v/>
      </c>
      <c r="F25" s="10" t="inlineStr"/>
      <c r="G25" s="10" t="inlineStr"/>
      <c r="H25" s="10" t="inlineStr"/>
      <c r="I25" s="10" t="inlineStr"/>
    </row>
    <row r="26">
      <c r="A26" s="6" t="inlineStr"/>
      <c r="B26" s="7" t="inlineStr"/>
      <c r="C26" s="7" t="inlineStr"/>
      <c r="D26" s="7" t="inlineStr"/>
      <c r="E26" s="58">
        <f>IF(C26*D26=0,"",C26*D26)</f>
        <v/>
      </c>
      <c r="F26" s="7" t="inlineStr"/>
      <c r="G26" s="7" t="inlineStr"/>
      <c r="H26" s="7" t="inlineStr"/>
      <c r="I26" s="7" t="inlineStr"/>
    </row>
    <row r="27">
      <c r="A27" s="9" t="inlineStr"/>
      <c r="B27" s="10" t="inlineStr"/>
      <c r="C27" s="10" t="inlineStr"/>
      <c r="D27" s="10" t="inlineStr"/>
      <c r="E27" s="57">
        <f>IF(C27*D27=0,"",C27*D27)</f>
        <v/>
      </c>
      <c r="F27" s="10" t="inlineStr"/>
      <c r="G27" s="10" t="inlineStr"/>
      <c r="H27" s="10" t="inlineStr"/>
      <c r="I27" s="10" t="inlineStr"/>
    </row>
    <row r="28">
      <c r="A28" s="6" t="inlineStr"/>
      <c r="B28" s="7" t="inlineStr"/>
      <c r="C28" s="7" t="inlineStr"/>
      <c r="D28" s="7" t="inlineStr"/>
      <c r="E28" s="58">
        <f>IF(C28*D28=0,"",C28*D28)</f>
        <v/>
      </c>
      <c r="F28" s="7" t="inlineStr"/>
      <c r="G28" s="7" t="inlineStr"/>
      <c r="H28" s="7" t="inlineStr"/>
      <c r="I28" s="7" t="inlineStr"/>
    </row>
    <row r="29">
      <c r="A29" s="9" t="inlineStr"/>
      <c r="B29" s="10" t="inlineStr"/>
      <c r="C29" s="10" t="inlineStr"/>
      <c r="D29" s="10" t="inlineStr"/>
      <c r="E29" s="57">
        <f>IF(C29*D29=0,"",C29*D29)</f>
        <v/>
      </c>
      <c r="F29" s="10" t="inlineStr"/>
      <c r="G29" s="10" t="inlineStr"/>
      <c r="H29" s="10" t="inlineStr"/>
      <c r="I29" s="10" t="inlineStr"/>
    </row>
    <row r="30">
      <c r="A30" s="6" t="inlineStr"/>
      <c r="B30" s="7" t="inlineStr"/>
      <c r="C30" s="7" t="inlineStr"/>
      <c r="D30" s="7" t="inlineStr"/>
      <c r="E30" s="58">
        <f>IF(C30*D30=0,"",C30*D30)</f>
        <v/>
      </c>
      <c r="F30" s="7" t="inlineStr"/>
      <c r="G30" s="7" t="inlineStr"/>
      <c r="H30" s="7" t="inlineStr"/>
      <c r="I30" s="7" t="inlineStr"/>
    </row>
    <row r="31">
      <c r="A31" s="9" t="inlineStr"/>
      <c r="B31" s="10" t="inlineStr"/>
      <c r="C31" s="10" t="inlineStr"/>
      <c r="D31" s="10" t="inlineStr"/>
      <c r="E31" s="57">
        <f>IF(C31*D31=0,"",C31*D31)</f>
        <v/>
      </c>
      <c r="F31" s="10" t="inlineStr"/>
      <c r="G31" s="10" t="inlineStr"/>
      <c r="H31" s="10" t="inlineStr"/>
      <c r="I31" s="10" t="inlineStr"/>
    </row>
    <row r="32">
      <c r="A32" s="6" t="inlineStr"/>
      <c r="B32" s="7" t="inlineStr"/>
      <c r="C32" s="7" t="inlineStr"/>
      <c r="D32" s="7" t="inlineStr"/>
      <c r="E32" s="58">
        <f>IF(C32*D32=0,"",C32*D32)</f>
        <v/>
      </c>
      <c r="F32" s="7" t="inlineStr"/>
      <c r="G32" s="7" t="inlineStr"/>
      <c r="H32" s="7" t="inlineStr"/>
      <c r="I32" s="7" t="inlineStr"/>
    </row>
    <row r="33">
      <c r="A33" s="9" t="inlineStr"/>
      <c r="B33" s="10" t="inlineStr"/>
      <c r="C33" s="10" t="inlineStr"/>
      <c r="D33" s="10" t="inlineStr"/>
      <c r="E33" s="57">
        <f>IF(C33*D33=0,"",C33*D33)</f>
        <v/>
      </c>
      <c r="F33" s="10" t="inlineStr"/>
      <c r="G33" s="10" t="inlineStr"/>
      <c r="H33" s="10" t="inlineStr"/>
      <c r="I33" s="10" t="inlineStr"/>
    </row>
    <row r="34">
      <c r="A34" s="6" t="inlineStr"/>
      <c r="B34" s="7" t="inlineStr"/>
      <c r="C34" s="7" t="inlineStr"/>
      <c r="D34" s="7" t="inlineStr"/>
      <c r="E34" s="58">
        <f>IF(C34*D34=0,"",C34*D34)</f>
        <v/>
      </c>
      <c r="F34" s="7" t="inlineStr"/>
      <c r="G34" s="7" t="inlineStr"/>
      <c r="H34" s="7" t="inlineStr"/>
      <c r="I34" s="7" t="inlineStr"/>
    </row>
    <row r="35">
      <c r="A35" s="9" t="inlineStr"/>
      <c r="B35" s="10" t="inlineStr"/>
      <c r="C35" s="10" t="inlineStr"/>
      <c r="D35" s="10" t="inlineStr"/>
      <c r="E35" s="57">
        <f>IF(C35*D35=0,"",C35*D35)</f>
        <v/>
      </c>
      <c r="F35" s="10" t="inlineStr"/>
      <c r="G35" s="10" t="inlineStr"/>
      <c r="H35" s="10" t="inlineStr"/>
      <c r="I35" s="10" t="inlineStr"/>
    </row>
    <row r="36">
      <c r="A36" s="6" t="inlineStr"/>
      <c r="B36" s="7" t="inlineStr"/>
      <c r="C36" s="7" t="inlineStr"/>
      <c r="D36" s="7" t="inlineStr"/>
      <c r="E36" s="58">
        <f>IF(C36*D36=0,"",C36*D36)</f>
        <v/>
      </c>
      <c r="F36" s="7" t="inlineStr"/>
      <c r="G36" s="7" t="inlineStr"/>
      <c r="H36" s="7" t="inlineStr"/>
      <c r="I36" s="7" t="inlineStr"/>
    </row>
    <row r="37">
      <c r="A37" s="9" t="inlineStr"/>
      <c r="B37" s="10" t="inlineStr"/>
      <c r="C37" s="10" t="inlineStr"/>
      <c r="D37" s="10" t="inlineStr"/>
      <c r="E37" s="57">
        <f>IF(C37*D37=0,"",C37*D37)</f>
        <v/>
      </c>
      <c r="F37" s="10" t="inlineStr"/>
      <c r="G37" s="10" t="inlineStr"/>
      <c r="H37" s="10" t="inlineStr"/>
      <c r="I37" s="10" t="inlineStr"/>
    </row>
    <row r="38">
      <c r="A38" s="6" t="inlineStr"/>
      <c r="B38" s="7" t="inlineStr"/>
      <c r="C38" s="7" t="inlineStr"/>
      <c r="D38" s="7" t="inlineStr"/>
      <c r="E38" s="58">
        <f>IF(C38*D38=0,"",C38*D38)</f>
        <v/>
      </c>
      <c r="F38" s="7" t="inlineStr"/>
      <c r="G38" s="7" t="inlineStr"/>
      <c r="H38" s="7" t="inlineStr"/>
      <c r="I38" s="7" t="inlineStr"/>
    </row>
    <row r="39">
      <c r="A39" s="9" t="inlineStr"/>
      <c r="B39" s="10" t="inlineStr"/>
      <c r="C39" s="10" t="inlineStr"/>
      <c r="D39" s="10" t="inlineStr"/>
      <c r="E39" s="57">
        <f>IF(C39*D39=0,"",C39*D39)</f>
        <v/>
      </c>
      <c r="F39" s="10" t="inlineStr"/>
      <c r="G39" s="10" t="inlineStr"/>
      <c r="H39" s="10" t="inlineStr"/>
      <c r="I39" s="10" t="inlineStr"/>
    </row>
    <row r="40">
      <c r="A40" s="6" t="inlineStr"/>
      <c r="B40" s="7" t="inlineStr"/>
      <c r="C40" s="7" t="inlineStr"/>
      <c r="D40" s="7" t="inlineStr"/>
      <c r="E40" s="58">
        <f>IF(C40*D40=0,"",C40*D40)</f>
        <v/>
      </c>
      <c r="F40" s="7" t="inlineStr"/>
      <c r="G40" s="7" t="inlineStr"/>
      <c r="H40" s="7" t="inlineStr"/>
      <c r="I40" s="7" t="inlineStr"/>
    </row>
    <row r="41">
      <c r="A41" s="9" t="inlineStr"/>
      <c r="B41" s="10" t="inlineStr"/>
      <c r="C41" s="10" t="inlineStr"/>
      <c r="D41" s="10" t="inlineStr"/>
      <c r="E41" s="57">
        <f>IF(C41*D41=0,"",C41*D41)</f>
        <v/>
      </c>
      <c r="F41" s="10" t="inlineStr"/>
      <c r="G41" s="10" t="inlineStr"/>
      <c r="H41" s="10" t="inlineStr"/>
      <c r="I41" s="10" t="inlineStr"/>
    </row>
    <row r="42">
      <c r="A42" s="6" t="inlineStr"/>
      <c r="B42" s="7" t="inlineStr"/>
      <c r="C42" s="7" t="inlineStr"/>
      <c r="D42" s="7" t="inlineStr"/>
      <c r="E42" s="58">
        <f>IF(C42*D42=0,"",C42*D42)</f>
        <v/>
      </c>
      <c r="F42" s="7" t="inlineStr"/>
      <c r="G42" s="7" t="inlineStr"/>
      <c r="H42" s="7" t="inlineStr"/>
      <c r="I42" s="7" t="inlineStr"/>
    </row>
    <row r="43">
      <c r="A43" s="9" t="inlineStr"/>
      <c r="B43" s="10" t="inlineStr"/>
      <c r="C43" s="10" t="inlineStr"/>
      <c r="D43" s="10" t="inlineStr"/>
      <c r="E43" s="57">
        <f>IF(C43*D43=0,"",C43*D43)</f>
        <v/>
      </c>
      <c r="F43" s="10" t="inlineStr"/>
      <c r="G43" s="10" t="inlineStr"/>
      <c r="H43" s="10" t="inlineStr"/>
      <c r="I43" s="10" t="inlineStr"/>
    </row>
    <row r="44">
      <c r="A44" s="6" t="inlineStr"/>
      <c r="B44" s="7" t="inlineStr"/>
      <c r="C44" s="7" t="inlineStr"/>
      <c r="D44" s="7" t="inlineStr"/>
      <c r="E44" s="58">
        <f>IF(C44*D44=0,"",C44*D44)</f>
        <v/>
      </c>
      <c r="F44" s="7" t="inlineStr"/>
      <c r="G44" s="7" t="inlineStr"/>
      <c r="H44" s="7" t="inlineStr"/>
      <c r="I44" s="7" t="inlineStr"/>
    </row>
    <row r="45">
      <c r="A45" s="9" t="inlineStr"/>
      <c r="B45" s="10" t="inlineStr"/>
      <c r="C45" s="10" t="inlineStr"/>
      <c r="D45" s="10" t="inlineStr"/>
      <c r="E45" s="57">
        <f>IF(C45*D45=0,"",C45*D45)</f>
        <v/>
      </c>
      <c r="F45" s="10" t="inlineStr"/>
      <c r="G45" s="10" t="inlineStr"/>
      <c r="H45" s="10" t="inlineStr"/>
      <c r="I45" s="10" t="inlineStr"/>
    </row>
    <row r="46">
      <c r="A46" s="6" t="inlineStr"/>
      <c r="B46" s="7" t="inlineStr"/>
      <c r="C46" s="7" t="inlineStr"/>
      <c r="D46" s="7" t="inlineStr"/>
      <c r="E46" s="58">
        <f>IF(C46*D46=0,"",C46*D46)</f>
        <v/>
      </c>
      <c r="F46" s="7" t="inlineStr"/>
      <c r="G46" s="7" t="inlineStr"/>
      <c r="H46" s="7" t="inlineStr"/>
      <c r="I46" s="7" t="inlineStr"/>
    </row>
    <row r="47">
      <c r="A47" s="9" t="inlineStr"/>
      <c r="B47" s="10" t="inlineStr"/>
      <c r="C47" s="10" t="inlineStr"/>
      <c r="D47" s="10" t="inlineStr"/>
      <c r="E47" s="57">
        <f>IF(C47*D47=0,"",C47*D47)</f>
        <v/>
      </c>
      <c r="F47" s="10" t="inlineStr"/>
      <c r="G47" s="10" t="inlineStr"/>
      <c r="H47" s="10" t="inlineStr"/>
      <c r="I47" s="10" t="inlineStr"/>
    </row>
    <row r="48">
      <c r="A48" s="6" t="inlineStr"/>
      <c r="B48" s="7" t="inlineStr"/>
      <c r="C48" s="7" t="inlineStr"/>
      <c r="D48" s="7" t="inlineStr"/>
      <c r="E48" s="58">
        <f>IF(C48*D48=0,"",C48*D48)</f>
        <v/>
      </c>
      <c r="F48" s="7" t="inlineStr"/>
      <c r="G48" s="7" t="inlineStr"/>
      <c r="H48" s="7" t="inlineStr"/>
      <c r="I48" s="7" t="inlineStr"/>
    </row>
    <row r="49">
      <c r="A49" s="9" t="inlineStr"/>
      <c r="B49" s="10" t="inlineStr"/>
      <c r="C49" s="10" t="inlineStr"/>
      <c r="D49" s="10" t="inlineStr"/>
      <c r="E49" s="57">
        <f>IF(C49*D49=0,"",C49*D49)</f>
        <v/>
      </c>
      <c r="F49" s="10" t="inlineStr"/>
      <c r="G49" s="10" t="inlineStr"/>
      <c r="H49" s="10" t="inlineStr"/>
      <c r="I49" s="10" t="inlineStr"/>
    </row>
    <row r="50">
      <c r="A50" s="6" t="inlineStr"/>
      <c r="B50" s="7" t="inlineStr"/>
      <c r="C50" s="7" t="inlineStr"/>
      <c r="D50" s="7" t="inlineStr"/>
      <c r="E50" s="58">
        <f>IF(C50*D50=0,"",C50*D50)</f>
        <v/>
      </c>
      <c r="F50" s="7" t="inlineStr"/>
      <c r="G50" s="7" t="inlineStr"/>
      <c r="H50" s="7" t="inlineStr"/>
      <c r="I50" s="7" t="inlineStr"/>
    </row>
    <row r="51">
      <c r="A51" s="9" t="inlineStr"/>
      <c r="B51" s="10" t="inlineStr"/>
      <c r="C51" s="10" t="inlineStr"/>
      <c r="D51" s="10" t="inlineStr"/>
      <c r="E51" s="57">
        <f>IF(C51*D51=0,"",C51*D51)</f>
        <v/>
      </c>
      <c r="F51" s="10" t="inlineStr"/>
      <c r="G51" s="10" t="inlineStr"/>
      <c r="H51" s="10" t="inlineStr"/>
      <c r="I51" s="10" t="inlineStr"/>
    </row>
    <row r="52">
      <c r="A52" s="6" t="inlineStr"/>
      <c r="B52" s="7" t="inlineStr"/>
      <c r="C52" s="7" t="inlineStr"/>
      <c r="D52" s="7" t="inlineStr"/>
      <c r="E52" s="58">
        <f>IF(C52*D52=0,"",C52*D52)</f>
        <v/>
      </c>
      <c r="F52" s="7" t="inlineStr"/>
      <c r="G52" s="7" t="inlineStr"/>
      <c r="H52" s="7" t="inlineStr"/>
      <c r="I52" s="7" t="inlineStr"/>
    </row>
    <row r="53">
      <c r="A53" s="9" t="inlineStr"/>
      <c r="B53" s="10" t="inlineStr"/>
      <c r="C53" s="10" t="inlineStr"/>
      <c r="D53" s="10" t="inlineStr"/>
      <c r="E53" s="57">
        <f>IF(C53*D53=0,"",C53*D53)</f>
        <v/>
      </c>
      <c r="F53" s="10" t="inlineStr"/>
      <c r="G53" s="10" t="inlineStr"/>
      <c r="H53" s="10" t="inlineStr"/>
      <c r="I53" s="10" t="inlineStr"/>
    </row>
    <row r="55">
      <c r="A55" s="59" t="inlineStr">
        <is>
          <t>GRAND TOTAL</t>
        </is>
      </c>
      <c r="B55" s="60" t="n"/>
      <c r="C55" s="60" t="n"/>
      <c r="D55" s="60" t="n"/>
      <c r="E55" s="61">
        <f>SUM(E4:E53)</f>
        <v/>
      </c>
    </row>
    <row r="57">
      <c r="A57" s="62" t="inlineStr">
        <is>
          <t>BY SOURCE:</t>
        </is>
      </c>
    </row>
    <row r="58">
      <c r="A58" s="63" t="inlineStr">
        <is>
          <t>School</t>
        </is>
      </c>
      <c r="B58" s="64">
        <f>SUMIF(F4:F53,"School",E4:E53)</f>
        <v/>
      </c>
    </row>
    <row r="59">
      <c r="A59" s="63" t="inlineStr">
        <is>
          <t>Personal</t>
        </is>
      </c>
      <c r="B59" s="64">
        <f>SUMIF(F4:F53,"Personal",E4:E53)</f>
        <v/>
      </c>
    </row>
    <row r="60">
      <c r="A60" s="63" t="inlineStr">
        <is>
          <t>Donation</t>
        </is>
      </c>
      <c r="B60" s="64">
        <f>SUMIF(F4:F53,"Donation",E4:E53)</f>
        <v/>
      </c>
    </row>
    <row r="61">
      <c r="A61" s="63" t="inlineStr">
        <is>
          <t>Grant</t>
        </is>
      </c>
      <c r="B61" s="64">
        <f>SUMIF(F4:F53,"Grant",E4:E53)</f>
        <v/>
      </c>
    </row>
  </sheetData>
  <autoFilter ref="A3:I53"/>
  <mergeCells count="3">
    <mergeCell ref="A1:I1"/>
    <mergeCell ref="A55:D55"/>
    <mergeCell ref="A2:I2"/>
  </mergeCells>
  <dataValidations count="3">
    <dataValidation sqref="A4:A53" showDropDown="0" showInputMessage="0" showErrorMessage="0" allowBlank="1" type="list">
      <formula1>"Supplies,Books,Technology,Decorations,Crafts,Field Trips,Snacks,Other"</formula1>
    </dataValidation>
    <dataValidation sqref="F4:F53" showDropDown="0" showInputMessage="0" showErrorMessage="0" allowBlank="1" type="list">
      <formula1>"School,Personal,Donation,Grant"</formula1>
    </dataValidation>
    <dataValidation sqref="G4:G53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182CE"/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24" customWidth="1" min="5" max="5"/>
    <col width="24" customWidth="1" min="6" max="6"/>
    <col width="16" customWidth="1" min="7" max="7"/>
    <col width="14" customWidth="1" min="8" max="8"/>
    <col width="12" customWidth="1" min="9" max="9"/>
  </cols>
  <sheetData>
    <row r="1" ht="45" customHeight="1">
      <c r="A1" s="17" t="inlineStr">
        <is>
          <t>PARENT COMMUNICATION LOG  |  Teacher Classroom Planner 2026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25" customHeight="1">
      <c r="A2" s="19" t="inlineStr">
        <is>
          <t>Document every parent interaction for organized, professional communication tracking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 ht="30" customHeight="1">
      <c r="A3" s="21" t="inlineStr">
        <is>
          <t>Date</t>
        </is>
      </c>
      <c r="B3" s="21" t="inlineStr">
        <is>
          <t>Student</t>
        </is>
      </c>
      <c r="C3" s="21" t="inlineStr">
        <is>
          <t>Parent Name</t>
        </is>
      </c>
      <c r="D3" s="21" t="inlineStr">
        <is>
          <t>Method</t>
        </is>
      </c>
      <c r="E3" s="21" t="inlineStr">
        <is>
          <t>Topic</t>
        </is>
      </c>
      <c r="F3" s="21" t="inlineStr">
        <is>
          <t>Action Items</t>
        </is>
      </c>
      <c r="G3" s="21" t="inlineStr">
        <is>
          <t>Follow-Up Needed</t>
        </is>
      </c>
      <c r="H3" s="21" t="inlineStr">
        <is>
          <t>Follow-Up Date</t>
        </is>
      </c>
      <c r="I3" s="21" t="inlineStr">
        <is>
          <t>Resolved</t>
        </is>
      </c>
    </row>
    <row r="4" ht="24" customHeight="1">
      <c r="A4" s="6" t="inlineStr">
        <is>
          <t>10/24/2026</t>
        </is>
      </c>
      <c r="B4" s="7" t="inlineStr">
        <is>
          <t>Emma Smith</t>
        </is>
      </c>
      <c r="C4" s="7" t="inlineStr">
        <is>
          <t>Mr./Mrs. Smith</t>
        </is>
      </c>
      <c r="D4" s="7" t="inlineStr">
        <is>
          <t>Email</t>
        </is>
      </c>
      <c r="E4" s="7" t="inlineStr">
        <is>
          <t>Attendance concern</t>
        </is>
      </c>
      <c r="F4" s="7" t="inlineStr">
        <is>
          <t>No action needed</t>
        </is>
      </c>
      <c r="G4" s="7" t="inlineStr">
        <is>
          <t>No</t>
        </is>
      </c>
      <c r="H4" s="7" t="inlineStr"/>
      <c r="I4" s="7" t="inlineStr">
        <is>
          <t>Yes</t>
        </is>
      </c>
    </row>
    <row r="5" ht="24" customHeight="1">
      <c r="A5" s="9" t="inlineStr">
        <is>
          <t>08/14/2026</t>
        </is>
      </c>
      <c r="B5" s="10" t="inlineStr">
        <is>
          <t>Liam Johnson</t>
        </is>
      </c>
      <c r="C5" s="10" t="inlineStr">
        <is>
          <t>Mr./Mrs. Johnson</t>
        </is>
      </c>
      <c r="D5" s="10" t="inlineStr">
        <is>
          <t>Conference</t>
        </is>
      </c>
      <c r="E5" s="10" t="inlineStr">
        <is>
          <t>Academic progress</t>
        </is>
      </c>
      <c r="F5" s="10" t="inlineStr">
        <is>
          <t>Review and follow up</t>
        </is>
      </c>
      <c r="G5" s="10" t="inlineStr">
        <is>
          <t>No</t>
        </is>
      </c>
      <c r="H5" s="10" t="inlineStr">
        <is>
          <t>08/21/2026</t>
        </is>
      </c>
      <c r="I5" s="10" t="inlineStr">
        <is>
          <t>No</t>
        </is>
      </c>
    </row>
    <row r="6" ht="24" customHeight="1">
      <c r="A6" s="6" t="inlineStr">
        <is>
          <t>08/10/2026</t>
        </is>
      </c>
      <c r="B6" s="7" t="inlineStr">
        <is>
          <t>Olivia Williams</t>
        </is>
      </c>
      <c r="C6" s="7" t="inlineStr">
        <is>
          <t>Mr./Mrs. Williams</t>
        </is>
      </c>
      <c r="D6" s="7" t="inlineStr">
        <is>
          <t>Note Home</t>
        </is>
      </c>
      <c r="E6" s="7" t="inlineStr">
        <is>
          <t>Missing homework</t>
        </is>
      </c>
      <c r="F6" s="7" t="inlineStr">
        <is>
          <t>Review and follow up</t>
        </is>
      </c>
      <c r="G6" s="7" t="inlineStr">
        <is>
          <t>Yes</t>
        </is>
      </c>
      <c r="H6" s="7" t="inlineStr">
        <is>
          <t>08/17/2026</t>
        </is>
      </c>
      <c r="I6" s="7" t="inlineStr">
        <is>
          <t>In Progress</t>
        </is>
      </c>
    </row>
    <row r="7" ht="24" customHeight="1">
      <c r="A7" s="9" t="inlineStr">
        <is>
          <t>11/12/2026</t>
        </is>
      </c>
      <c r="B7" s="10" t="inlineStr">
        <is>
          <t>Noah Brown</t>
        </is>
      </c>
      <c r="C7" s="10" t="inlineStr">
        <is>
          <t>Mr./Mrs. Brown</t>
        </is>
      </c>
      <c r="D7" s="10" t="inlineStr">
        <is>
          <t>Note Home</t>
        </is>
      </c>
      <c r="E7" s="10" t="inlineStr">
        <is>
          <t>Supply request</t>
        </is>
      </c>
      <c r="F7" s="10" t="inlineStr">
        <is>
          <t>Review and follow up</t>
        </is>
      </c>
      <c r="G7" s="10" t="inlineStr">
        <is>
          <t>Yes</t>
        </is>
      </c>
      <c r="H7" s="10" t="inlineStr"/>
      <c r="I7" s="10" t="inlineStr">
        <is>
          <t>In Progress</t>
        </is>
      </c>
    </row>
    <row r="8" ht="24" customHeight="1">
      <c r="A8" s="6" t="inlineStr">
        <is>
          <t>12/05/2026</t>
        </is>
      </c>
      <c r="B8" s="7" t="inlineStr">
        <is>
          <t>Ava Jones</t>
        </is>
      </c>
      <c r="C8" s="7" t="inlineStr">
        <is>
          <t>Mr./Mrs. Jones</t>
        </is>
      </c>
      <c r="D8" s="7" t="inlineStr">
        <is>
          <t>Conference</t>
        </is>
      </c>
      <c r="E8" s="7" t="inlineStr">
        <is>
          <t>Academic progress</t>
        </is>
      </c>
      <c r="F8" s="7" t="inlineStr">
        <is>
          <t>No action needed</t>
        </is>
      </c>
      <c r="G8" s="7" t="inlineStr">
        <is>
          <t>No</t>
        </is>
      </c>
      <c r="H8" s="7" t="inlineStr">
        <is>
          <t>12/12/2026</t>
        </is>
      </c>
      <c r="I8" s="7" t="inlineStr">
        <is>
          <t>In Progress</t>
        </is>
      </c>
    </row>
    <row r="9" ht="24" customHeight="1">
      <c r="A9" s="9" t="inlineStr">
        <is>
          <t>09/27/2026</t>
        </is>
      </c>
      <c r="B9" s="10" t="inlineStr">
        <is>
          <t>Ethan Garcia</t>
        </is>
      </c>
      <c r="C9" s="10" t="inlineStr">
        <is>
          <t>Mr./Mrs. Garcia</t>
        </is>
      </c>
      <c r="D9" s="10" t="inlineStr">
        <is>
          <t>Email</t>
        </is>
      </c>
      <c r="E9" s="10" t="inlineStr">
        <is>
          <t>Behavior update</t>
        </is>
      </c>
      <c r="F9" s="10" t="inlineStr">
        <is>
          <t>Review and follow up</t>
        </is>
      </c>
      <c r="G9" s="10" t="inlineStr">
        <is>
          <t>No</t>
        </is>
      </c>
      <c r="H9" s="10" t="inlineStr">
        <is>
          <t>10/04/2026</t>
        </is>
      </c>
      <c r="I9" s="10" t="inlineStr">
        <is>
          <t>No</t>
        </is>
      </c>
    </row>
    <row r="10" ht="24" customHeight="1">
      <c r="A10" s="6" t="inlineStr">
        <is>
          <t>12/13/2026</t>
        </is>
      </c>
      <c r="B10" s="7" t="inlineStr">
        <is>
          <t>Sophia Miller</t>
        </is>
      </c>
      <c r="C10" s="7" t="inlineStr">
        <is>
          <t>Mr./Mrs. Miller</t>
        </is>
      </c>
      <c r="D10" s="7" t="inlineStr">
        <is>
          <t>Phone</t>
        </is>
      </c>
      <c r="E10" s="7" t="inlineStr">
        <is>
          <t>Field trip permission</t>
        </is>
      </c>
      <c r="F10" s="7" t="inlineStr">
        <is>
          <t>No action needed</t>
        </is>
      </c>
      <c r="G10" s="7" t="inlineStr">
        <is>
          <t>No</t>
        </is>
      </c>
      <c r="H10" s="7" t="inlineStr"/>
      <c r="I10" s="7" t="inlineStr">
        <is>
          <t>In Progress</t>
        </is>
      </c>
    </row>
    <row r="11" ht="24" customHeight="1">
      <c r="A11" s="9" t="inlineStr">
        <is>
          <t>08/02/2026</t>
        </is>
      </c>
      <c r="B11" s="10" t="inlineStr">
        <is>
          <t>Mason Davis</t>
        </is>
      </c>
      <c r="C11" s="10" t="inlineStr">
        <is>
          <t>Mr./Mrs. Davis</t>
        </is>
      </c>
      <c r="D11" s="10" t="inlineStr">
        <is>
          <t>Note Home</t>
        </is>
      </c>
      <c r="E11" s="10" t="inlineStr">
        <is>
          <t>Schedule change</t>
        </is>
      </c>
      <c r="F11" s="10" t="inlineStr">
        <is>
          <t>Review and follow up</t>
        </is>
      </c>
      <c r="G11" s="10" t="inlineStr">
        <is>
          <t>Yes</t>
        </is>
      </c>
      <c r="H11" s="10" t="inlineStr"/>
      <c r="I11" s="10" t="inlineStr">
        <is>
          <t>Yes</t>
        </is>
      </c>
    </row>
    <row r="12" ht="24" customHeight="1">
      <c r="A12" s="6" t="inlineStr">
        <is>
          <t>08/04/2026</t>
        </is>
      </c>
      <c r="B12" s="7" t="inlineStr">
        <is>
          <t>Isabella Rodriguez</t>
        </is>
      </c>
      <c r="C12" s="7" t="inlineStr">
        <is>
          <t>Mr./Mrs. Rodriguez</t>
        </is>
      </c>
      <c r="D12" s="7" t="inlineStr">
        <is>
          <t>App</t>
        </is>
      </c>
      <c r="E12" s="7" t="inlineStr">
        <is>
          <t>Behavior update</t>
        </is>
      </c>
      <c r="F12" s="7" t="inlineStr">
        <is>
          <t>No action needed</t>
        </is>
      </c>
      <c r="G12" s="7" t="inlineStr">
        <is>
          <t>Yes</t>
        </is>
      </c>
      <c r="H12" s="7" t="inlineStr">
        <is>
          <t>08/11/2026</t>
        </is>
      </c>
      <c r="I12" s="7" t="inlineStr">
        <is>
          <t>Yes</t>
        </is>
      </c>
    </row>
    <row r="13" ht="24" customHeight="1">
      <c r="A13" s="9" t="inlineStr">
        <is>
          <t>08/13/2026</t>
        </is>
      </c>
      <c r="B13" s="10" t="inlineStr">
        <is>
          <t>William Martinez</t>
        </is>
      </c>
      <c r="C13" s="10" t="inlineStr">
        <is>
          <t>Mr./Mrs. Martinez</t>
        </is>
      </c>
      <c r="D13" s="10" t="inlineStr">
        <is>
          <t>Note Home</t>
        </is>
      </c>
      <c r="E13" s="10" t="inlineStr">
        <is>
          <t>Field trip permission</t>
        </is>
      </c>
      <c r="F13" s="10" t="inlineStr">
        <is>
          <t>Review and follow up</t>
        </is>
      </c>
      <c r="G13" s="10" t="inlineStr">
        <is>
          <t>Yes</t>
        </is>
      </c>
      <c r="H13" s="10" t="inlineStr">
        <is>
          <t>08/20/2026</t>
        </is>
      </c>
      <c r="I13" s="10" t="inlineStr">
        <is>
          <t>Yes</t>
        </is>
      </c>
    </row>
    <row r="14" ht="24" customHeight="1">
      <c r="A14" s="6" t="inlineStr">
        <is>
          <t>12/10/2026</t>
        </is>
      </c>
      <c r="B14" s="7" t="inlineStr">
        <is>
          <t>Mia Hernandez</t>
        </is>
      </c>
      <c r="C14" s="7" t="inlineStr">
        <is>
          <t>Mr./Mrs. Hernandez</t>
        </is>
      </c>
      <c r="D14" s="7" t="inlineStr">
        <is>
          <t>Phone</t>
        </is>
      </c>
      <c r="E14" s="7" t="inlineStr">
        <is>
          <t>Schedule change</t>
        </is>
      </c>
      <c r="F14" s="7" t="inlineStr">
        <is>
          <t>No action needed</t>
        </is>
      </c>
      <c r="G14" s="7" t="inlineStr">
        <is>
          <t>No</t>
        </is>
      </c>
      <c r="H14" s="7" t="inlineStr">
        <is>
          <t>12/17/2026</t>
        </is>
      </c>
      <c r="I14" s="7" t="inlineStr">
        <is>
          <t>No</t>
        </is>
      </c>
    </row>
    <row r="15" ht="24" customHeight="1">
      <c r="A15" s="9" t="inlineStr">
        <is>
          <t>09/10/2026</t>
        </is>
      </c>
      <c r="B15" s="10" t="inlineStr">
        <is>
          <t>James Lopez</t>
        </is>
      </c>
      <c r="C15" s="10" t="inlineStr">
        <is>
          <t>Mr./Mrs. Lopez</t>
        </is>
      </c>
      <c r="D15" s="10" t="inlineStr">
        <is>
          <t>Phone</t>
        </is>
      </c>
      <c r="E15" s="10" t="inlineStr">
        <is>
          <t>Birthday celebration</t>
        </is>
      </c>
      <c r="F15" s="10" t="inlineStr">
        <is>
          <t>No action needed</t>
        </is>
      </c>
      <c r="G15" s="10" t="inlineStr">
        <is>
          <t>No</t>
        </is>
      </c>
      <c r="H15" s="10" t="inlineStr"/>
      <c r="I15" s="10" t="inlineStr">
        <is>
          <t>In Progress</t>
        </is>
      </c>
    </row>
    <row r="16" ht="24" customHeight="1">
      <c r="A16" s="6" t="inlineStr">
        <is>
          <t>09/21/2026</t>
        </is>
      </c>
      <c r="B16" s="7" t="inlineStr">
        <is>
          <t>Charlotte Gonzalez</t>
        </is>
      </c>
      <c r="C16" s="7" t="inlineStr">
        <is>
          <t>Mr./Mrs. Gonzalez</t>
        </is>
      </c>
      <c r="D16" s="7" t="inlineStr">
        <is>
          <t>Note Home</t>
        </is>
      </c>
      <c r="E16" s="7" t="inlineStr">
        <is>
          <t>Birthday celebration</t>
        </is>
      </c>
      <c r="F16" s="7" t="inlineStr">
        <is>
          <t>No action needed</t>
        </is>
      </c>
      <c r="G16" s="7" t="inlineStr">
        <is>
          <t>Yes</t>
        </is>
      </c>
      <c r="H16" s="7" t="inlineStr">
        <is>
          <t>09/28/2026</t>
        </is>
      </c>
      <c r="I16" s="7" t="inlineStr">
        <is>
          <t>In Progress</t>
        </is>
      </c>
    </row>
    <row r="17" ht="24" customHeight="1">
      <c r="A17" s="9" t="inlineStr">
        <is>
          <t>11/26/2026</t>
        </is>
      </c>
      <c r="B17" s="10" t="inlineStr">
        <is>
          <t>Benjamin Wilson</t>
        </is>
      </c>
      <c r="C17" s="10" t="inlineStr">
        <is>
          <t>Mr./Mrs. Wilson</t>
        </is>
      </c>
      <c r="D17" s="10" t="inlineStr">
        <is>
          <t>App</t>
        </is>
      </c>
      <c r="E17" s="10" t="inlineStr">
        <is>
          <t>Positive report</t>
        </is>
      </c>
      <c r="F17" s="10" t="inlineStr">
        <is>
          <t>Review and follow up</t>
        </is>
      </c>
      <c r="G17" s="10" t="inlineStr">
        <is>
          <t>No</t>
        </is>
      </c>
      <c r="H17" s="10" t="inlineStr"/>
      <c r="I17" s="10" t="inlineStr">
        <is>
          <t>Yes</t>
        </is>
      </c>
    </row>
    <row r="18" ht="24" customHeight="1">
      <c r="A18" s="6" t="inlineStr">
        <is>
          <t>12/16/2026</t>
        </is>
      </c>
      <c r="B18" s="7" t="inlineStr">
        <is>
          <t>Amelia Anderson</t>
        </is>
      </c>
      <c r="C18" s="7" t="inlineStr">
        <is>
          <t>Mr./Mrs. Anderson</t>
        </is>
      </c>
      <c r="D18" s="7" t="inlineStr">
        <is>
          <t>Phone</t>
        </is>
      </c>
      <c r="E18" s="7" t="inlineStr">
        <is>
          <t>Field trip permission</t>
        </is>
      </c>
      <c r="F18" s="7" t="inlineStr">
        <is>
          <t>No action needed</t>
        </is>
      </c>
      <c r="G18" s="7" t="inlineStr">
        <is>
          <t>Yes</t>
        </is>
      </c>
      <c r="H18" s="7" t="inlineStr">
        <is>
          <t>12/23/2026</t>
        </is>
      </c>
      <c r="I18" s="7" t="inlineStr">
        <is>
          <t>Yes</t>
        </is>
      </c>
    </row>
    <row r="19">
      <c r="A19" s="9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  <row r="20">
      <c r="A20" s="6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</row>
    <row r="22">
      <c r="A22" s="6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>
      <c r="A23" s="9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</row>
    <row r="24">
      <c r="A24" s="6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</row>
    <row r="25">
      <c r="A25" s="9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</row>
    <row r="26">
      <c r="A26" s="6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9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</row>
    <row r="28">
      <c r="A28" s="6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9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</row>
    <row r="30">
      <c r="A30" s="6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1">
      <c r="A31" s="9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</row>
    <row r="32">
      <c r="A32" s="6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</row>
    <row r="33">
      <c r="A33" s="9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</row>
    <row r="34">
      <c r="A34" s="6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9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</row>
    <row r="36">
      <c r="A36" s="6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</row>
    <row r="37">
      <c r="A37" s="9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</row>
    <row r="38">
      <c r="A38" s="6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</row>
    <row r="39">
      <c r="A39" s="9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</row>
    <row r="40">
      <c r="A40" s="6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</row>
    <row r="41">
      <c r="A41" s="9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</row>
    <row r="42">
      <c r="A42" s="6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</row>
    <row r="43">
      <c r="A43" s="9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</row>
    <row r="44">
      <c r="A44" s="6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</row>
    <row r="45">
      <c r="A45" s="9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</row>
    <row r="46">
      <c r="A46" s="6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</row>
    <row r="47">
      <c r="A47" s="9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</row>
    <row r="48">
      <c r="A48" s="6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</row>
    <row r="49">
      <c r="A49" s="9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</row>
    <row r="50">
      <c r="A50" s="6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</row>
    <row r="51">
      <c r="A51" s="9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</row>
    <row r="52">
      <c r="A52" s="6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</row>
    <row r="53">
      <c r="A53" s="9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</row>
  </sheetData>
  <autoFilter ref="A3:I53"/>
  <mergeCells count="2">
    <mergeCell ref="A1:I1"/>
    <mergeCell ref="A2:I2"/>
  </mergeCells>
  <dataValidations count="3">
    <dataValidation sqref="D4:D53" showDropDown="0" showInputMessage="0" showErrorMessage="0" allowBlank="1" type="list">
      <formula1>"Email,Phone,Conference,Note Home,App"</formula1>
    </dataValidation>
    <dataValidation sqref="G4:G53" showDropDown="0" showInputMessage="0" showErrorMessage="0" allowBlank="1" type="list">
      <formula1>"Yes,No"</formula1>
    </dataValidation>
    <dataValidation sqref="I4:I53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3030"/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  <col width="28" customWidth="1" min="5" max="5"/>
    <col width="28" customWidth="1" min="6" max="6"/>
    <col width="16" customWidth="1" min="7" max="7"/>
    <col width="20" customWidth="1" min="8" max="8"/>
  </cols>
  <sheetData>
    <row r="1" ht="45" customHeight="1">
      <c r="A1" s="1" t="inlineStr">
        <is>
          <t>IEP / 504 TRACKER  |  Teacher Classroom Planner 2026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3" t="inlineStr">
        <is>
          <t>Confidential — Track accommodations, goals, progress, and meeting dates for IEP/504 students</t>
        </is>
      </c>
      <c r="B2" s="4" t="n"/>
      <c r="C2" s="4" t="n"/>
      <c r="D2" s="4" t="n"/>
      <c r="E2" s="4" t="n"/>
      <c r="F2" s="4" t="n"/>
      <c r="G2" s="4" t="n"/>
      <c r="H2" s="4" t="n"/>
    </row>
    <row r="3" ht="30" customHeight="1">
      <c r="A3" s="5" t="inlineStr">
        <is>
          <t>Student Name</t>
        </is>
      </c>
      <c r="B3" s="5" t="inlineStr">
        <is>
          <t>Plan Type</t>
        </is>
      </c>
      <c r="C3" s="5" t="inlineStr">
        <is>
          <t>Accommodation Summary</t>
        </is>
      </c>
      <c r="D3" s="5" t="inlineStr">
        <is>
          <t>Review Date</t>
        </is>
      </c>
      <c r="E3" s="5" t="inlineStr">
        <is>
          <t>Goals</t>
        </is>
      </c>
      <c r="F3" s="5" t="inlineStr">
        <is>
          <t>Progress Notes</t>
        </is>
      </c>
      <c r="G3" s="5" t="inlineStr">
        <is>
          <t>Next Meeting Date</t>
        </is>
      </c>
      <c r="H3" s="5" t="inlineStr">
        <is>
          <t>Case Manager</t>
        </is>
      </c>
    </row>
    <row r="4" ht="28" customHeight="1">
      <c r="A4" s="6" t="inlineStr">
        <is>
          <t>Emma Smith</t>
        </is>
      </c>
      <c r="B4" s="7" t="inlineStr">
        <is>
          <t>IEP</t>
        </is>
      </c>
      <c r="C4" s="7" t="inlineStr">
        <is>
          <t>Extended time on tests (1.5x)</t>
        </is>
      </c>
      <c r="D4" s="7" t="inlineStr">
        <is>
          <t>12/14/2026</t>
        </is>
      </c>
      <c r="E4" s="7" t="inlineStr">
        <is>
          <t>Achieve grade-level proficiency in reading</t>
        </is>
      </c>
      <c r="F4" s="7" t="inlineStr">
        <is>
          <t>On track</t>
        </is>
      </c>
      <c r="G4" s="7" t="inlineStr">
        <is>
          <t>03/14/2027</t>
        </is>
      </c>
      <c r="H4" s="7" t="inlineStr">
        <is>
          <t>Mr. Chen</t>
        </is>
      </c>
    </row>
    <row r="5" ht="28" customHeight="1">
      <c r="A5" s="9" t="inlineStr">
        <is>
          <t>Noah Brown</t>
        </is>
      </c>
      <c r="B5" s="10" t="inlineStr">
        <is>
          <t>IEP</t>
        </is>
      </c>
      <c r="C5" s="10" t="inlineStr">
        <is>
          <t>Preferential seating near teacher</t>
        </is>
      </c>
      <c r="D5" s="10" t="inlineStr">
        <is>
          <t>12/08/2026</t>
        </is>
      </c>
      <c r="E5" s="10" t="inlineStr">
        <is>
          <t>Achieve grade-level proficiency in math</t>
        </is>
      </c>
      <c r="F5" s="10" t="inlineStr">
        <is>
          <t>Needs additional support</t>
        </is>
      </c>
      <c r="G5" s="10" t="inlineStr">
        <is>
          <t>03/08/2027</t>
        </is>
      </c>
      <c r="H5" s="10" t="inlineStr">
        <is>
          <t>Dr. Patel</t>
        </is>
      </c>
    </row>
    <row r="6" ht="28" customHeight="1">
      <c r="A6" s="6" t="inlineStr">
        <is>
          <t>Sophia Miller</t>
        </is>
      </c>
      <c r="B6" s="7" t="inlineStr">
        <is>
          <t>IEP</t>
        </is>
      </c>
      <c r="C6" s="7" t="inlineStr">
        <is>
          <t>Reduced homework load</t>
        </is>
      </c>
      <c r="D6" s="7" t="inlineStr">
        <is>
          <t>09/15/2026</t>
        </is>
      </c>
      <c r="E6" s="7" t="inlineStr">
        <is>
          <t>Achieve grade-level proficiency in reading</t>
        </is>
      </c>
      <c r="F6" s="7" t="inlineStr">
        <is>
          <t>On track</t>
        </is>
      </c>
      <c r="G6" s="7" t="inlineStr">
        <is>
          <t>12/14/2026</t>
        </is>
      </c>
      <c r="H6" s="7" t="inlineStr">
        <is>
          <t>Ms. Rivera</t>
        </is>
      </c>
    </row>
    <row r="7" ht="28" customHeight="1">
      <c r="A7" s="9" t="inlineStr">
        <is>
          <t>William Martinez</t>
        </is>
      </c>
      <c r="B7" s="10" t="inlineStr">
        <is>
          <t>IEP</t>
        </is>
      </c>
      <c r="C7" s="10" t="inlineStr">
        <is>
          <t>Audio books provided</t>
        </is>
      </c>
      <c r="D7" s="10" t="inlineStr">
        <is>
          <t>10/02/2026</t>
        </is>
      </c>
      <c r="E7" s="10" t="inlineStr">
        <is>
          <t>Achieve grade-level proficiency in math</t>
        </is>
      </c>
      <c r="F7" s="10" t="inlineStr">
        <is>
          <t>Needs additional support</t>
        </is>
      </c>
      <c r="G7" s="10" t="inlineStr">
        <is>
          <t>12/31/2026</t>
        </is>
      </c>
      <c r="H7" s="10" t="inlineStr">
        <is>
          <t>Mr. Torres</t>
        </is>
      </c>
    </row>
    <row r="8" ht="28" customHeight="1">
      <c r="A8" s="6" t="inlineStr">
        <is>
          <t>Charlotte Gonzalez</t>
        </is>
      </c>
      <c r="B8" s="7" t="inlineStr">
        <is>
          <t>IEP</t>
        </is>
      </c>
      <c r="C8" s="7" t="inlineStr">
        <is>
          <t>Frequent breaks (every 20 min)</t>
        </is>
      </c>
      <c r="D8" s="7" t="inlineStr">
        <is>
          <t>09/28/2026</t>
        </is>
      </c>
      <c r="E8" s="7" t="inlineStr">
        <is>
          <t>Achieve grade-level proficiency in reading</t>
        </is>
      </c>
      <c r="F8" s="7" t="inlineStr">
        <is>
          <t>Needs additional support</t>
        </is>
      </c>
      <c r="G8" s="7" t="inlineStr">
        <is>
          <t>12/27/2026</t>
        </is>
      </c>
      <c r="H8" s="7" t="inlineStr">
        <is>
          <t>Mr. Torres</t>
        </is>
      </c>
    </row>
    <row r="9" ht="28" customHeight="1">
      <c r="A9" s="9" t="inlineStr">
        <is>
          <t>Lucas Thomas</t>
        </is>
      </c>
      <c r="B9" s="10" t="inlineStr">
        <is>
          <t>IEP</t>
        </is>
      </c>
      <c r="C9" s="10" t="inlineStr">
        <is>
          <t>Written instructions supplement verbal</t>
        </is>
      </c>
      <c r="D9" s="10" t="inlineStr">
        <is>
          <t>10/16/2026</t>
        </is>
      </c>
      <c r="E9" s="10" t="inlineStr">
        <is>
          <t>Achieve grade-level proficiency in math</t>
        </is>
      </c>
      <c r="F9" s="10" t="inlineStr">
        <is>
          <t>Needs additional support</t>
        </is>
      </c>
      <c r="G9" s="10" t="inlineStr">
        <is>
          <t>01/14/2027</t>
        </is>
      </c>
      <c r="H9" s="10" t="inlineStr">
        <is>
          <t>Dr. Patel</t>
        </is>
      </c>
    </row>
    <row r="10" ht="28" customHeight="1">
      <c r="A10" s="6" t="inlineStr">
        <is>
          <t>Evelyn Jackson</t>
        </is>
      </c>
      <c r="B10" s="7" t="inlineStr">
        <is>
          <t>504</t>
        </is>
      </c>
      <c r="C10" s="7" t="inlineStr">
        <is>
          <t>Modified assignments</t>
        </is>
      </c>
      <c r="D10" s="7" t="inlineStr">
        <is>
          <t>11/01/2026</t>
        </is>
      </c>
      <c r="E10" s="7" t="inlineStr">
        <is>
          <t>Achieve grade-level proficiency in reading</t>
        </is>
      </c>
      <c r="F10" s="7" t="inlineStr">
        <is>
          <t>Needs additional support</t>
        </is>
      </c>
      <c r="G10" s="7" t="inlineStr">
        <is>
          <t>01/30/2027</t>
        </is>
      </c>
      <c r="H10" s="7" t="inlineStr">
        <is>
          <t>Mr. Chen</t>
        </is>
      </c>
    </row>
    <row r="11" ht="28" customHeight="1">
      <c r="A11" s="9" t="inlineStr">
        <is>
          <t>Daniel Perez</t>
        </is>
      </c>
      <c r="B11" s="10" t="inlineStr">
        <is>
          <t>504</t>
        </is>
      </c>
      <c r="C11" s="10" t="inlineStr">
        <is>
          <t>Use of calculator allowed</t>
        </is>
      </c>
      <c r="D11" s="10" t="inlineStr">
        <is>
          <t>09/24/2026</t>
        </is>
      </c>
      <c r="E11" s="10" t="inlineStr">
        <is>
          <t>Achieve grade-level proficiency in math</t>
        </is>
      </c>
      <c r="F11" s="10" t="inlineStr">
        <is>
          <t>On track</t>
        </is>
      </c>
      <c r="G11" s="10" t="inlineStr">
        <is>
          <t>12/23/2026</t>
        </is>
      </c>
      <c r="H11" s="10" t="inlineStr">
        <is>
          <t>Mrs. Okafor</t>
        </is>
      </c>
    </row>
    <row r="12" ht="28" customHeight="1">
      <c r="A12" s="6" t="inlineStr">
        <is>
          <t>Ella Harris</t>
        </is>
      </c>
      <c r="B12" s="7" t="inlineStr">
        <is>
          <t>504</t>
        </is>
      </c>
      <c r="C12" s="7" t="inlineStr">
        <is>
          <t>Behavioral support plan</t>
        </is>
      </c>
      <c r="D12" s="7" t="inlineStr">
        <is>
          <t>10/23/2026</t>
        </is>
      </c>
      <c r="E12" s="7" t="inlineStr">
        <is>
          <t>Achieve grade-level proficiency in reading</t>
        </is>
      </c>
      <c r="F12" s="7" t="inlineStr">
        <is>
          <t>On track</t>
        </is>
      </c>
      <c r="G12" s="7" t="inlineStr">
        <is>
          <t>01/21/2027</t>
        </is>
      </c>
      <c r="H12" s="7" t="inlineStr">
        <is>
          <t>Mr. Chen</t>
        </is>
      </c>
    </row>
    <row r="13" ht="28" customHeight="1">
      <c r="A13" s="9" t="inlineStr">
        <is>
          <t>Jack Ramirez</t>
        </is>
      </c>
      <c r="B13" s="10" t="inlineStr">
        <is>
          <t>504</t>
        </is>
      </c>
      <c r="C13" s="10" t="inlineStr">
        <is>
          <t>Speech therapy 2x/week</t>
        </is>
      </c>
      <c r="D13" s="10" t="inlineStr">
        <is>
          <t>12/08/2026</t>
        </is>
      </c>
      <c r="E13" s="10" t="inlineStr">
        <is>
          <t>Achieve grade-level proficiency in math</t>
        </is>
      </c>
      <c r="F13" s="10" t="inlineStr">
        <is>
          <t>On track</t>
        </is>
      </c>
      <c r="G13" s="10" t="inlineStr">
        <is>
          <t>03/08/2027</t>
        </is>
      </c>
      <c r="H13" s="10" t="inlineStr">
        <is>
          <t>Dr. Patel</t>
        </is>
      </c>
    </row>
    <row r="14">
      <c r="A14" s="6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9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6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9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>
      <c r="A18" s="6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9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</row>
    <row r="20">
      <c r="A20" s="6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</row>
    <row r="22">
      <c r="A22" s="6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9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</row>
  </sheetData>
  <mergeCells count="2">
    <mergeCell ref="A2:H2"/>
    <mergeCell ref="A1:H1"/>
  </mergeCells>
  <dataValidations count="1">
    <dataValidation sqref="B4:B23" showDropDown="0" showInputMessage="0" showErrorMessage="0" allowBlank="1" type="list">
      <formula1>"IEP,504"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69E2E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4" customWidth="1" min="3" max="3"/>
    <col width="55" customWidth="1" min="4" max="4"/>
  </cols>
  <sheetData>
    <row r="1" ht="55" customHeight="1">
      <c r="A1" s="65" t="inlineStr">
        <is>
          <t>HOW TO USE YOUR TEACHER CLASSROOM PLANNER 2026</t>
        </is>
      </c>
      <c r="B1" s="18" t="n"/>
      <c r="C1" s="18" t="n"/>
      <c r="D1" s="18" t="n"/>
      <c r="E1" s="18" t="n"/>
      <c r="F1" s="18" t="n"/>
      <c r="G1" s="18" t="n"/>
      <c r="H1" s="18" t="n"/>
    </row>
    <row r="4" ht="35" customHeight="1">
      <c r="B4" s="66" t="inlineStr">
        <is>
          <t>GETTING STARTED</t>
        </is>
      </c>
      <c r="C4" s="20" t="n"/>
      <c r="D4" s="20" t="n"/>
    </row>
    <row r="6" ht="28" customHeight="1">
      <c r="B6" s="67" t="inlineStr">
        <is>
          <t>Step 1:</t>
        </is>
      </c>
      <c r="C6" s="68" t="inlineStr">
        <is>
          <t>Save a backup copy of this file before making any changes.</t>
        </is>
      </c>
    </row>
    <row r="7" ht="28" customHeight="1">
      <c r="B7" s="67" t="inlineStr">
        <is>
          <t>Step 2:</t>
        </is>
      </c>
      <c r="C7" s="68" t="inlineStr">
        <is>
          <t>Start with the Class Roster tab - enter all student information first.</t>
        </is>
      </c>
    </row>
    <row r="8" ht="28" customHeight="1">
      <c r="B8" s="67" t="inlineStr">
        <is>
          <t>Step 3:</t>
        </is>
      </c>
      <c r="C8" s="68" t="inlineStr">
        <is>
          <t>Customize the Lesson Planner with your curriculum and schedule.</t>
        </is>
      </c>
    </row>
    <row r="9" ht="28" customHeight="1">
      <c r="B9" s="67" t="inlineStr">
        <is>
          <t>Step 4:</t>
        </is>
      </c>
      <c r="C9" s="68" t="inlineStr">
        <is>
          <t>Use the Grade Tracker throughout the year to monitor performance.</t>
        </is>
      </c>
    </row>
    <row r="10" ht="28" customHeight="1">
      <c r="B10" s="67" t="inlineStr">
        <is>
          <t>Step 5:</t>
        </is>
      </c>
      <c r="C10" s="68" t="inlineStr">
        <is>
          <t>Track attendance daily - the formulas calculate rates automatically.</t>
        </is>
      </c>
    </row>
    <row r="12" ht="35" customHeight="1">
      <c r="B12" s="66" t="inlineStr">
        <is>
          <t>TAB-BY-TAB GUIDE</t>
        </is>
      </c>
      <c r="C12" s="20" t="n"/>
      <c r="D12" s="20" t="n"/>
    </row>
    <row r="14" ht="50" customHeight="1">
      <c r="B14" s="69" t="inlineStr">
        <is>
          <t>📋 Class Roster</t>
        </is>
      </c>
      <c r="C14" s="70" t="inlineStr">
        <is>
          <t>Your central hub for student information. Fill in all fields for each student. Use the Notes column for any special information. Emergency contacts are critical - fill these in first!</t>
        </is>
      </c>
    </row>
    <row r="15" ht="50" customHeight="1">
      <c r="B15" s="69" t="inlineStr">
        <is>
          <t>📋 Lesson Planner</t>
        </is>
      </c>
      <c r="C15" s="70" t="inlineStr">
        <is>
          <t>Plan 40 weeks of instruction. Use the Subject dropdown to categorize lessons. Align each lesson to standards. The Topic column helps you search for specific content later.</t>
        </is>
      </c>
    </row>
    <row r="16" ht="50" customHeight="1">
      <c r="B16" s="69" t="inlineStr">
        <is>
          <t>📋 Grade Tracker</t>
        </is>
      </c>
      <c r="C16" s="70" t="inlineStr">
        <is>
          <t>Enter scores for each assignment (0-100 scale). Averages and letter grades calculate automatically. You can modify the letter grade thresholds in the formula if your school uses a different scale.</t>
        </is>
      </c>
    </row>
    <row r="17" ht="50" customHeight="1">
      <c r="B17" s="69" t="inlineStr">
        <is>
          <t>📋 Attendance</t>
        </is>
      </c>
      <c r="C17" s="70" t="inlineStr">
        <is>
          <t>Use the dropdown: P=Present, A=Absent, T=Tardy, E=Excused. The percentage column shows each student's attendance rate. The class rate at the bottom shows overall attendance.</t>
        </is>
      </c>
    </row>
    <row r="18" ht="50" customHeight="1">
      <c r="B18" s="69" t="inlineStr">
        <is>
          <t>📋 Classroom Budget</t>
        </is>
      </c>
      <c r="C18" s="70" t="inlineStr">
        <is>
          <t>Track every purchase. Use the Category and Source dropdowns. Total Cost calculates automatically (Qty x Cost Per). The summary section at the bottom shows totals by funding source.</t>
        </is>
      </c>
    </row>
    <row r="19" ht="50" customHeight="1">
      <c r="B19" s="69" t="inlineStr">
        <is>
          <t>📋 Parent Communication</t>
        </is>
      </c>
      <c r="C19" s="70" t="inlineStr">
        <is>
          <t>Document EVERY parent interaction. This protects you professionally and ensures follow-through. Use the Follow-Up columns to stay on top of action items.</t>
        </is>
      </c>
    </row>
    <row r="20" ht="50" customHeight="1">
      <c r="B20" s="69" t="inlineStr">
        <is>
          <t>📋 IEP/504 Tracker</t>
        </is>
      </c>
      <c r="C20" s="70" t="inlineStr">
        <is>
          <t>CONFIDENTIAL tab. Track accommodations, meeting dates, and progress. Set reminders for review dates. Keep this information secure and up to date.</t>
        </is>
      </c>
    </row>
    <row r="22" ht="35" customHeight="1">
      <c r="B22" s="66" t="inlineStr">
        <is>
          <t>PRO TIPS</t>
        </is>
      </c>
      <c r="C22" s="20" t="n"/>
      <c r="D22" s="20" t="n"/>
    </row>
    <row r="24" ht="28" customHeight="1">
      <c r="B24" s="67" t="inlineStr">
        <is>
          <t>Tip 1:</t>
        </is>
      </c>
      <c r="C24" s="68" t="inlineStr">
        <is>
          <t>Use Ctrl+F (Cmd+F on Mac) to quickly search for any student across all tabs.</t>
        </is>
      </c>
    </row>
    <row r="25" ht="28" customHeight="1">
      <c r="B25" s="67" t="inlineStr">
        <is>
          <t>Tip 2:</t>
        </is>
      </c>
      <c r="C25" s="68" t="inlineStr">
        <is>
          <t>Right-click a tab to change the tab color and make it easier to navigate.</t>
        </is>
      </c>
    </row>
    <row r="26" ht="28" customHeight="1">
      <c r="B26" s="67" t="inlineStr">
        <is>
          <t>Tip 3:</t>
        </is>
      </c>
      <c r="C26" s="68" t="inlineStr">
        <is>
          <t>Print individual tabs by selecting the tab first, then Print &gt; Active Sheet.</t>
        </is>
      </c>
    </row>
    <row r="27" ht="28" customHeight="1">
      <c r="B27" s="67" t="inlineStr">
        <is>
          <t>Tip 4:</t>
        </is>
      </c>
      <c r="C27" s="68" t="inlineStr">
        <is>
          <t>Back up your file weekly to cloud storage (Google Drive, OneDrive, etc.).</t>
        </is>
      </c>
    </row>
    <row r="28" ht="28" customHeight="1">
      <c r="B28" s="67" t="inlineStr">
        <is>
          <t>Tip 5:</t>
        </is>
      </c>
      <c r="C28" s="68" t="inlineStr">
        <is>
          <t>Protect individual tabs with a password if sharing the file with others.</t>
        </is>
      </c>
    </row>
    <row r="29" ht="28" customHeight="1">
      <c r="B29" s="67" t="inlineStr">
        <is>
          <t>Tip 6:</t>
        </is>
      </c>
      <c r="C29" s="68" t="inlineStr">
        <is>
          <t>Use conditional formatting to highlight students who need extra attention.</t>
        </is>
      </c>
    </row>
    <row r="31" ht="35" customHeight="1">
      <c r="B31" s="66" t="inlineStr">
        <is>
          <t>SUPPORT</t>
        </is>
      </c>
      <c r="C31" s="20" t="n"/>
      <c r="D31" s="20" t="n"/>
    </row>
    <row r="33" ht="22" customHeight="1">
      <c r="B33" s="68" t="inlineStr">
        <is>
          <t>Thank you for purchasing the Teacher Classroom Planner 2026!</t>
        </is>
      </c>
    </row>
    <row r="34" ht="22" customHeight="1">
      <c r="B34" s="68" t="inlineStr">
        <is>
          <t>If you love this planner, please leave a review on our Etsy shop.</t>
        </is>
      </c>
    </row>
    <row r="35" ht="22" customHeight="1">
      <c r="B35" s="68" t="inlineStr">
        <is>
          <t>For questions or customization requests, message us through Etsy.</t>
        </is>
      </c>
    </row>
    <row r="37" ht="22" customHeight="1">
      <c r="B37" s="68" t="inlineStr">
        <is>
          <t>© 2026 Teacher Classroom Planner. All rights reserved.</t>
        </is>
      </c>
    </row>
  </sheetData>
  <mergeCells count="27">
    <mergeCell ref="C6:D6"/>
    <mergeCell ref="C24:D24"/>
    <mergeCell ref="C15:D15"/>
    <mergeCell ref="C14:D14"/>
    <mergeCell ref="A1:H1"/>
    <mergeCell ref="C26:D26"/>
    <mergeCell ref="B34:D34"/>
    <mergeCell ref="C20:D20"/>
    <mergeCell ref="C29:D29"/>
    <mergeCell ref="C10:D10"/>
    <mergeCell ref="C16:D16"/>
    <mergeCell ref="B37:D37"/>
    <mergeCell ref="C25:D25"/>
    <mergeCell ref="C9:D9"/>
    <mergeCell ref="B33:D33"/>
    <mergeCell ref="C27:D27"/>
    <mergeCell ref="B4:D4"/>
    <mergeCell ref="B35:D35"/>
    <mergeCell ref="C17:D17"/>
    <mergeCell ref="C8:D8"/>
    <mergeCell ref="C7:D7"/>
    <mergeCell ref="B31:D31"/>
    <mergeCell ref="B22:D22"/>
    <mergeCell ref="C19:D19"/>
    <mergeCell ref="C28:D28"/>
    <mergeCell ref="C18:D18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2026-02-09T03:03:08Z</dcterms:created>
  <dcterms:modified xsi:type="dcterms:W3CDTF">2026-02-09T03:03:08Z</dcterms:modified>
</cp:coreProperties>
</file>