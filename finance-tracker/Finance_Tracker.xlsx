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  <sheet name="By Category" sheetId="3" state="visible" r:id="rId3"/>
    <sheet name="By Account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DC2626"/>
    </font>
    <font>
      <color rgb="0016A34A"/>
    </font>
    <font>
      <b val="1"/>
      <color rgb="002563EB"/>
      <sz val="18"/>
    </font>
    <font>
      <b val="1"/>
    </font>
    <font>
      <b val="1"/>
      <color rgb="0016A34A"/>
    </font>
    <font>
      <b val="1"/>
      <color rgb="00DC2626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'By Category'!B3</f>
            </strRef>
          </tx>
          <spPr>
            <a:ln>
              <a:prstDash val="solid"/>
            </a:ln>
          </spPr>
          <cat>
            <numRef>
              <f>'By Category'!$A$4:$A$15</f>
            </numRef>
          </cat>
          <val>
            <numRef>
              <f>'By Category'!$B$4:$B$15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12" customWidth="1" min="5" max="5"/>
    <col width="1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Category</t>
        </is>
      </c>
      <c r="D1" s="1" t="inlineStr">
        <is>
          <t>Account</t>
        </is>
      </c>
      <c r="E1" s="1" t="inlineStr">
        <is>
          <t>Amount</t>
        </is>
      </c>
      <c r="F1" s="1" t="inlineStr">
        <is>
          <t>Owner</t>
        </is>
      </c>
      <c r="G1" s="1" t="inlineStr">
        <is>
          <t>Notes</t>
        </is>
      </c>
    </row>
    <row r="2">
      <c r="A2" t="inlineStr">
        <is>
          <t>2025-10-12</t>
        </is>
      </c>
      <c r="B2" t="inlineStr">
        <is>
          <t>Spotify</t>
        </is>
      </c>
      <c r="C2" t="inlineStr">
        <is>
          <t>Music</t>
        </is>
      </c>
      <c r="D2" t="inlineStr">
        <is>
          <t>Venture Card</t>
        </is>
      </c>
      <c r="E2" s="2" t="n">
        <v>-11.99</v>
      </c>
      <c r="F2" t="inlineStr">
        <is>
          <t>Shared</t>
        </is>
      </c>
      <c r="G2" t="inlineStr"/>
    </row>
    <row r="3">
      <c r="A3" t="inlineStr">
        <is>
          <t>2025-10-12</t>
        </is>
      </c>
      <c r="B3" t="inlineStr">
        <is>
          <t>Geico</t>
        </is>
      </c>
      <c r="C3" t="inlineStr">
        <is>
          <t>Car Insurance</t>
        </is>
      </c>
      <c r="D3" t="inlineStr">
        <is>
          <t>Venture Card</t>
        </is>
      </c>
      <c r="E3" s="2" t="n">
        <v>-152.51</v>
      </c>
      <c r="F3" t="inlineStr">
        <is>
          <t>Shared</t>
        </is>
      </c>
      <c r="G3" t="inlineStr"/>
    </row>
    <row r="4">
      <c r="A4" t="inlineStr">
        <is>
          <t>2025-10-12</t>
        </is>
      </c>
      <c r="B4" t="inlineStr">
        <is>
          <t>Target</t>
        </is>
      </c>
      <c r="C4" t="inlineStr">
        <is>
          <t>Shopping</t>
        </is>
      </c>
      <c r="D4" t="inlineStr">
        <is>
          <t>Target Card</t>
        </is>
      </c>
      <c r="E4" s="2" t="n">
        <v>-130.36</v>
      </c>
      <c r="F4" t="inlineStr">
        <is>
          <t>Shared</t>
        </is>
      </c>
      <c r="G4" t="inlineStr"/>
    </row>
    <row r="5">
      <c r="A5" t="inlineStr">
        <is>
          <t>2025-10-11</t>
        </is>
      </c>
      <c r="B5" t="inlineStr">
        <is>
          <t>Sagtown Coffee</t>
        </is>
      </c>
      <c r="C5" t="inlineStr">
        <is>
          <t>Delivery &amp; Takeout</t>
        </is>
      </c>
      <c r="D5" t="inlineStr">
        <is>
          <t>Amex Gold</t>
        </is>
      </c>
      <c r="E5" s="2" t="n">
        <v>-26.14</v>
      </c>
      <c r="F5" t="inlineStr">
        <is>
          <t>Shared</t>
        </is>
      </c>
      <c r="G5" t="inlineStr"/>
    </row>
    <row r="6">
      <c r="A6" t="inlineStr">
        <is>
          <t>2025-10-11</t>
        </is>
      </c>
      <c r="B6" t="inlineStr">
        <is>
          <t>E Hampton</t>
        </is>
      </c>
      <c r="C6" t="inlineStr">
        <is>
          <t>Restaurants &amp; Bars</t>
        </is>
      </c>
      <c r="D6" t="inlineStr">
        <is>
          <t>Amex Platinum</t>
        </is>
      </c>
      <c r="E6" s="2" t="n">
        <v>-169.65</v>
      </c>
      <c r="F6" t="inlineStr">
        <is>
          <t>Shared</t>
        </is>
      </c>
      <c r="G6" t="inlineStr"/>
    </row>
    <row r="7">
      <c r="A7" t="inlineStr">
        <is>
          <t>2025-10-10</t>
        </is>
      </c>
      <c r="B7" t="inlineStr">
        <is>
          <t>Stop &amp; Shop</t>
        </is>
      </c>
      <c r="C7" t="inlineStr">
        <is>
          <t>Groceries</t>
        </is>
      </c>
      <c r="D7" t="inlineStr">
        <is>
          <t>Amex Gold</t>
        </is>
      </c>
      <c r="E7" s="2" t="n">
        <v>-20.04</v>
      </c>
      <c r="F7" t="inlineStr">
        <is>
          <t>Shared</t>
        </is>
      </c>
      <c r="G7" t="inlineStr"/>
    </row>
    <row r="8">
      <c r="A8" t="inlineStr">
        <is>
          <t>2025-10-10</t>
        </is>
      </c>
      <c r="B8" t="inlineStr">
        <is>
          <t>Addepar</t>
        </is>
      </c>
      <c r="C8" t="inlineStr">
        <is>
          <t>Paychecks</t>
        </is>
      </c>
      <c r="D8" t="inlineStr">
        <is>
          <t>Checking</t>
        </is>
      </c>
      <c r="E8" s="3" t="n">
        <v>5005.08</v>
      </c>
      <c r="F8" t="inlineStr">
        <is>
          <t>Gray</t>
        </is>
      </c>
      <c r="G8" t="inlineStr">
        <is>
          <t>Salary</t>
        </is>
      </c>
    </row>
    <row r="9">
      <c r="A9" t="inlineStr">
        <is>
          <t>2025-10-09</t>
        </is>
      </c>
      <c r="B9" t="inlineStr">
        <is>
          <t>Bridgehampton Wine</t>
        </is>
      </c>
      <c r="C9" t="inlineStr">
        <is>
          <t>Groceries</t>
        </is>
      </c>
      <c r="D9" t="inlineStr">
        <is>
          <t>USAA Visa</t>
        </is>
      </c>
      <c r="E9" s="2" t="n">
        <v>-45.68</v>
      </c>
      <c r="F9" t="inlineStr">
        <is>
          <t>Shared</t>
        </is>
      </c>
      <c r="G9" t="inlineStr"/>
    </row>
    <row r="10">
      <c r="A10" t="inlineStr">
        <is>
          <t>2025-10-09</t>
        </is>
      </c>
      <c r="B10" t="inlineStr">
        <is>
          <t>Citarella</t>
        </is>
      </c>
      <c r="C10" t="inlineStr">
        <is>
          <t>Groceries</t>
        </is>
      </c>
      <c r="D10" t="inlineStr">
        <is>
          <t>Amex Gold</t>
        </is>
      </c>
      <c r="E10" s="2" t="n">
        <v>-14.15</v>
      </c>
      <c r="F10" t="inlineStr">
        <is>
          <t>Shared</t>
        </is>
      </c>
      <c r="G10" t="inlineStr"/>
    </row>
    <row r="11">
      <c r="A11" t="inlineStr">
        <is>
          <t>2025-10-09</t>
        </is>
      </c>
      <c r="B11" t="inlineStr">
        <is>
          <t>U-Haul</t>
        </is>
      </c>
      <c r="C11" t="inlineStr">
        <is>
          <t>Storage Units</t>
        </is>
      </c>
      <c r="D11" t="inlineStr">
        <is>
          <t>Venture Card</t>
        </is>
      </c>
      <c r="E11" s="2" t="n">
        <v>-43</v>
      </c>
      <c r="F11" t="inlineStr">
        <is>
          <t>Shared</t>
        </is>
      </c>
      <c r="G11" t="inlineStr"/>
    </row>
    <row r="12">
      <c r="A12" t="inlineStr">
        <is>
          <t>2025-10-08</t>
        </is>
      </c>
      <c r="B12" t="inlineStr">
        <is>
          <t>Amazon</t>
        </is>
      </c>
      <c r="C12" t="inlineStr">
        <is>
          <t>Shopping</t>
        </is>
      </c>
      <c r="D12" t="inlineStr">
        <is>
          <t>Amazon Prime Card</t>
        </is>
      </c>
      <c r="E12" s="2" t="n">
        <v>-57.11</v>
      </c>
      <c r="F12" t="inlineStr">
        <is>
          <t>Shared</t>
        </is>
      </c>
      <c r="G12" t="inlineStr"/>
    </row>
    <row r="13">
      <c r="A13" t="inlineStr">
        <is>
          <t>2025-10-08</t>
        </is>
      </c>
      <c r="B13" t="inlineStr">
        <is>
          <t>Stop &amp; Shop</t>
        </is>
      </c>
      <c r="C13" t="inlineStr">
        <is>
          <t>Groceries</t>
        </is>
      </c>
      <c r="D13" t="inlineStr">
        <is>
          <t>Amex Gold</t>
        </is>
      </c>
      <c r="E13" s="2" t="n">
        <v>-69.31</v>
      </c>
      <c r="F13" t="inlineStr">
        <is>
          <t>Shared</t>
        </is>
      </c>
      <c r="G13" t="inlineStr"/>
    </row>
    <row r="14">
      <c r="A14" t="inlineStr">
        <is>
          <t>2025-10-08</t>
        </is>
      </c>
      <c r="B14" t="inlineStr">
        <is>
          <t>Costco</t>
        </is>
      </c>
      <c r="C14" t="inlineStr">
        <is>
          <t>Gas &amp; Car Wash</t>
        </is>
      </c>
      <c r="D14" t="inlineStr">
        <is>
          <t>Venture Card</t>
        </is>
      </c>
      <c r="E14" s="2" t="n">
        <v>-25.63</v>
      </c>
      <c r="F14" t="inlineStr">
        <is>
          <t>Shared</t>
        </is>
      </c>
      <c r="G14" t="inlineStr"/>
    </row>
    <row r="15">
      <c r="A15" t="inlineStr">
        <is>
          <t>2025-10-07</t>
        </is>
      </c>
      <c r="B15" t="inlineStr">
        <is>
          <t>Costco</t>
        </is>
      </c>
      <c r="C15" t="inlineStr">
        <is>
          <t>Shopping</t>
        </is>
      </c>
      <c r="D15" t="inlineStr">
        <is>
          <t>Venture Card</t>
        </is>
      </c>
      <c r="E15" s="2" t="n">
        <v>-146.81</v>
      </c>
      <c r="F15" t="inlineStr">
        <is>
          <t>Shared</t>
        </is>
      </c>
      <c r="G15" t="inlineStr"/>
    </row>
    <row r="16">
      <c r="A16" t="inlineStr">
        <is>
          <t>2025-10-07</t>
        </is>
      </c>
      <c r="B16" t="inlineStr">
        <is>
          <t>Apple</t>
        </is>
      </c>
      <c r="C16" t="inlineStr">
        <is>
          <t>Subscriptions</t>
        </is>
      </c>
      <c r="D16" t="inlineStr">
        <is>
          <t>Venture Card</t>
        </is>
      </c>
      <c r="E16" s="2" t="n">
        <v>-2.99</v>
      </c>
      <c r="F16" t="inlineStr">
        <is>
          <t>Shared</t>
        </is>
      </c>
      <c r="G16" t="inlineStr"/>
    </row>
    <row r="17">
      <c r="A17" t="inlineStr">
        <is>
          <t>2025-10-07</t>
        </is>
      </c>
      <c r="B17" t="inlineStr">
        <is>
          <t>Amazon</t>
        </is>
      </c>
      <c r="C17" t="inlineStr">
        <is>
          <t>Shopping</t>
        </is>
      </c>
      <c r="D17" t="inlineStr">
        <is>
          <t>Amazon Prime Card</t>
        </is>
      </c>
      <c r="E17" s="2" t="n">
        <v>-26.97</v>
      </c>
      <c r="F17" t="inlineStr">
        <is>
          <t>Shared</t>
        </is>
      </c>
      <c r="G17" t="inlineStr"/>
    </row>
    <row r="18">
      <c r="A18" t="inlineStr">
        <is>
          <t>2025-10-06</t>
        </is>
      </c>
      <c r="B18" t="inlineStr">
        <is>
          <t>Villa Italian</t>
        </is>
      </c>
      <c r="C18" t="inlineStr">
        <is>
          <t>Delivery &amp; Takeout</t>
        </is>
      </c>
      <c r="D18" t="inlineStr">
        <is>
          <t>Sapphire Reserve</t>
        </is>
      </c>
      <c r="E18" s="2" t="n">
        <v>-31.6</v>
      </c>
      <c r="F18" t="inlineStr">
        <is>
          <t>Shared</t>
        </is>
      </c>
      <c r="G18" t="inlineStr"/>
    </row>
    <row r="19">
      <c r="A19" t="inlineStr">
        <is>
          <t>2025-10-06</t>
        </is>
      </c>
      <c r="B19" t="inlineStr">
        <is>
          <t>Citarella</t>
        </is>
      </c>
      <c r="C19" t="inlineStr">
        <is>
          <t>Groceries</t>
        </is>
      </c>
      <c r="D19" t="inlineStr">
        <is>
          <t>Amex Gold</t>
        </is>
      </c>
      <c r="E19" s="2" t="n">
        <v>-28.91</v>
      </c>
      <c r="F19" t="inlineStr">
        <is>
          <t>Shared</t>
        </is>
      </c>
      <c r="G19" t="inlineStr"/>
    </row>
    <row r="20">
      <c r="A20" t="inlineStr">
        <is>
          <t>2025-10-05</t>
        </is>
      </c>
      <c r="B20" t="inlineStr">
        <is>
          <t>Google</t>
        </is>
      </c>
      <c r="C20" t="inlineStr">
        <is>
          <t>Subscriptions</t>
        </is>
      </c>
      <c r="D20" t="inlineStr">
        <is>
          <t>Freedom Card</t>
        </is>
      </c>
      <c r="E20" s="2" t="n">
        <v>-27.21</v>
      </c>
      <c r="F20" t="inlineStr">
        <is>
          <t>Shared</t>
        </is>
      </c>
      <c r="G20" t="inlineStr"/>
    </row>
    <row r="21">
      <c r="A21" t="inlineStr">
        <is>
          <t>2025-10-05</t>
        </is>
      </c>
      <c r="B21" t="inlineStr">
        <is>
          <t>Hulu</t>
        </is>
      </c>
      <c r="C21" t="inlineStr">
        <is>
          <t>Subscriptions</t>
        </is>
      </c>
      <c r="D21" t="inlineStr">
        <is>
          <t>Marriott Card</t>
        </is>
      </c>
      <c r="E21" s="2" t="n">
        <v>-12.99</v>
      </c>
      <c r="F21" t="inlineStr">
        <is>
          <t>Shared</t>
        </is>
      </c>
      <c r="G21" t="inlineStr"/>
    </row>
    <row r="22">
      <c r="A22" t="inlineStr">
        <is>
          <t>2025-10-05</t>
        </is>
      </c>
      <c r="B22" t="inlineStr">
        <is>
          <t>UBER EATS</t>
        </is>
      </c>
      <c r="C22" t="inlineStr">
        <is>
          <t>Delivery &amp; Takeout</t>
        </is>
      </c>
      <c r="D22" t="inlineStr">
        <is>
          <t>Amex Platinum</t>
        </is>
      </c>
      <c r="E22" s="2" t="n">
        <v>-33.03</v>
      </c>
      <c r="F22" t="inlineStr">
        <is>
          <t>Shared</t>
        </is>
      </c>
      <c r="G22" t="inlineStr"/>
    </row>
    <row r="23">
      <c r="A23" t="inlineStr">
        <is>
          <t>2025-10-04</t>
        </is>
      </c>
      <c r="B23" t="inlineStr">
        <is>
          <t>PSEG</t>
        </is>
      </c>
      <c r="C23" t="inlineStr">
        <is>
          <t>Electric &amp; Gas</t>
        </is>
      </c>
      <c r="D23" t="inlineStr">
        <is>
          <t>Venture Card</t>
        </is>
      </c>
      <c r="E23" s="2" t="n">
        <v>-264.97</v>
      </c>
      <c r="F23" t="inlineStr">
        <is>
          <t>Shared</t>
        </is>
      </c>
      <c r="G23" t="inlineStr"/>
    </row>
    <row r="24">
      <c r="A24" t="inlineStr">
        <is>
          <t>2025-10-04</t>
        </is>
      </c>
      <c r="B24" t="inlineStr">
        <is>
          <t>Amazon</t>
        </is>
      </c>
      <c r="C24" t="inlineStr">
        <is>
          <t>Shopping</t>
        </is>
      </c>
      <c r="D24" t="inlineStr">
        <is>
          <t>Amazon Prime Card</t>
        </is>
      </c>
      <c r="E24" s="3" t="n">
        <v>20.34</v>
      </c>
      <c r="F24" t="inlineStr">
        <is>
          <t>Shared</t>
        </is>
      </c>
      <c r="G24" t="inlineStr">
        <is>
          <t>Refund</t>
        </is>
      </c>
    </row>
    <row r="25">
      <c r="A25" t="inlineStr">
        <is>
          <t>2025-10-03</t>
        </is>
      </c>
      <c r="B25" t="inlineStr">
        <is>
          <t>Nuuly</t>
        </is>
      </c>
      <c r="C25" t="inlineStr">
        <is>
          <t>Shopping</t>
        </is>
      </c>
      <c r="D25" t="inlineStr">
        <is>
          <t>Sapphire Reserve</t>
        </is>
      </c>
      <c r="E25" s="2" t="n">
        <v>-363.57</v>
      </c>
      <c r="F25" t="inlineStr">
        <is>
          <t>Shared</t>
        </is>
      </c>
      <c r="G25" t="inlineStr"/>
    </row>
    <row r="26">
      <c r="A26" t="inlineStr">
        <is>
          <t>2025-10-03</t>
        </is>
      </c>
      <c r="B26" t="inlineStr">
        <is>
          <t>Youtube TV</t>
        </is>
      </c>
      <c r="C26" t="inlineStr">
        <is>
          <t>Subscriptions</t>
        </is>
      </c>
      <c r="D26" t="inlineStr">
        <is>
          <t>Amex Platinum</t>
        </is>
      </c>
      <c r="E26" s="2" t="n">
        <v>-82.98999999999999</v>
      </c>
      <c r="F26" t="inlineStr">
        <is>
          <t>Shared</t>
        </is>
      </c>
      <c r="G26" t="inlineStr"/>
    </row>
    <row r="27">
      <c r="A27" t="inlineStr">
        <is>
          <t>2025-10-02</t>
        </is>
      </c>
      <c r="B27" t="inlineStr">
        <is>
          <t>Breeze Airways</t>
        </is>
      </c>
      <c r="C27" t="inlineStr">
        <is>
          <t>Airline</t>
        </is>
      </c>
      <c r="D27" t="inlineStr">
        <is>
          <t>Amex Platinum</t>
        </is>
      </c>
      <c r="E27" s="2" t="n">
        <v>-175</v>
      </c>
      <c r="F27" t="inlineStr">
        <is>
          <t>Shared</t>
        </is>
      </c>
      <c r="G27" t="inlineStr"/>
    </row>
    <row r="28">
      <c r="A28" t="inlineStr">
        <is>
          <t>2025-10-02</t>
        </is>
      </c>
      <c r="B28" t="inlineStr">
        <is>
          <t>OpenAI</t>
        </is>
      </c>
      <c r="C28" t="inlineStr">
        <is>
          <t>Subscriptions</t>
        </is>
      </c>
      <c r="D28" t="inlineStr">
        <is>
          <t>Venture Card</t>
        </is>
      </c>
      <c r="E28" s="2" t="n">
        <v>-21.78</v>
      </c>
      <c r="F28" t="inlineStr">
        <is>
          <t>Shared</t>
        </is>
      </c>
      <c r="G28" t="inlineStr"/>
    </row>
    <row r="29">
      <c r="A29" t="inlineStr">
        <is>
          <t>2025-10-02</t>
        </is>
      </c>
      <c r="B29" t="inlineStr">
        <is>
          <t>Amazon</t>
        </is>
      </c>
      <c r="C29" t="inlineStr">
        <is>
          <t>Shopping</t>
        </is>
      </c>
      <c r="D29" t="inlineStr">
        <is>
          <t>Amazon Prime Card</t>
        </is>
      </c>
      <c r="E29" s="2" t="n">
        <v>-14.07</v>
      </c>
      <c r="F29" t="inlineStr">
        <is>
          <t>Shared</t>
        </is>
      </c>
      <c r="G29" t="inlineStr"/>
    </row>
    <row r="30">
      <c r="A30" t="inlineStr">
        <is>
          <t>2025-10-01</t>
        </is>
      </c>
      <c r="B30" t="inlineStr">
        <is>
          <t>Etsy</t>
        </is>
      </c>
      <c r="C30" t="inlineStr">
        <is>
          <t>Shopping</t>
        </is>
      </c>
      <c r="D30" t="inlineStr">
        <is>
          <t>Slate Card</t>
        </is>
      </c>
      <c r="E30" s="2" t="n">
        <v>-10.86</v>
      </c>
      <c r="F30" t="inlineStr">
        <is>
          <t>Shared</t>
        </is>
      </c>
      <c r="G30" t="inlineStr"/>
    </row>
    <row r="31">
      <c r="A31" t="inlineStr">
        <is>
          <t>2025-10-01</t>
        </is>
      </c>
      <c r="B31" t="inlineStr">
        <is>
          <t>Breeze Airways</t>
        </is>
      </c>
      <c r="C31" t="inlineStr">
        <is>
          <t>Airline</t>
        </is>
      </c>
      <c r="D31" t="inlineStr">
        <is>
          <t>Amex Platinum</t>
        </is>
      </c>
      <c r="E31" s="2" t="n">
        <v>-1504.34</v>
      </c>
      <c r="F31" t="inlineStr">
        <is>
          <t>Shared</t>
        </is>
      </c>
      <c r="G31" t="inlineStr"/>
    </row>
    <row r="32">
      <c r="A32" t="inlineStr">
        <is>
          <t>2025-10-01</t>
        </is>
      </c>
      <c r="B32" t="inlineStr">
        <is>
          <t>American Airlines</t>
        </is>
      </c>
      <c r="C32" t="inlineStr">
        <is>
          <t>Airline</t>
        </is>
      </c>
      <c r="D32" t="inlineStr">
        <is>
          <t>Amex Platinum</t>
        </is>
      </c>
      <c r="E32" s="2" t="n">
        <v>-315.48</v>
      </c>
      <c r="F32" t="inlineStr">
        <is>
          <t>Shared</t>
        </is>
      </c>
      <c r="G32" t="inlineStr"/>
    </row>
    <row r="33">
      <c r="A33" t="inlineStr">
        <is>
          <t>2025-10-01</t>
        </is>
      </c>
      <c r="B33" t="inlineStr">
        <is>
          <t>Harbor Rent</t>
        </is>
      </c>
      <c r="C33" t="inlineStr">
        <is>
          <t>Rent</t>
        </is>
      </c>
      <c r="D33" t="inlineStr">
        <is>
          <t>Checking</t>
        </is>
      </c>
      <c r="E33" s="2" t="n">
        <v>-7500</v>
      </c>
      <c r="F33" t="inlineStr">
        <is>
          <t>Shared</t>
        </is>
      </c>
      <c r="G33" t="inlineStr">
        <is>
          <t>Monthly 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FINANCIAL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Total Income</t>
        </is>
      </c>
      <c r="B4" s="6">
        <f>SUMIF(Transactions!E:E,"&gt;0",Transactions!E:E)</f>
        <v/>
      </c>
    </row>
    <row r="5">
      <c r="A5" t="inlineStr">
        <is>
          <t>Total Expenses</t>
        </is>
      </c>
      <c r="B5" s="7">
        <f>ABS(SUMIF(Transactions!E:E,"&lt;0",Transactions!E:E))</f>
        <v/>
      </c>
    </row>
    <row r="6">
      <c r="A6" t="inlineStr">
        <is>
          <t>Net Cash Flow</t>
        </is>
      </c>
      <c r="B6" s="8">
        <f>SUM(Transactions!E:E)</f>
        <v/>
      </c>
    </row>
    <row r="7">
      <c r="A7" t="inlineStr">
        <is>
          <t>Total Transactions</t>
        </is>
      </c>
      <c r="B7" s="8">
        <f>COUNTA(Transactions!A:A)-1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>
      <c r="A1" s="4" t="inlineStr">
        <is>
          <t>SPENDING BY CATEGORY</t>
        </is>
      </c>
    </row>
    <row r="3">
      <c r="A3" s="5" t="inlineStr">
        <is>
          <t>Category</t>
        </is>
      </c>
      <c r="B3" s="5" t="inlineStr">
        <is>
          <t>Amount</t>
        </is>
      </c>
      <c r="C3" s="5" t="inlineStr">
        <is>
          <t>% of Total</t>
        </is>
      </c>
    </row>
    <row r="4">
      <c r="A4" t="inlineStr">
        <is>
          <t>Rent</t>
        </is>
      </c>
      <c r="B4" s="8" t="n">
        <v>7500</v>
      </c>
      <c r="C4" s="9" t="n">
        <v>0.6620096494526505</v>
      </c>
    </row>
    <row r="5">
      <c r="A5" t="inlineStr">
        <is>
          <t>Airline</t>
        </is>
      </c>
      <c r="B5" s="8" t="n">
        <v>1994.82</v>
      </c>
      <c r="C5" s="9" t="n">
        <v>0.1760786785228181</v>
      </c>
    </row>
    <row r="6">
      <c r="A6" t="inlineStr">
        <is>
          <t>Shopping</t>
        </is>
      </c>
      <c r="B6" s="8" t="n">
        <v>749.75</v>
      </c>
      <c r="C6" s="9" t="n">
        <v>0.06617889795694996</v>
      </c>
    </row>
    <row r="7">
      <c r="A7" t="inlineStr">
        <is>
          <t>Electric &amp; Gas</t>
        </is>
      </c>
      <c r="B7" s="8" t="n">
        <v>264.97</v>
      </c>
      <c r="C7" s="9" t="n">
        <v>0.02338835957539584</v>
      </c>
    </row>
    <row r="8">
      <c r="A8" t="inlineStr">
        <is>
          <t>Groceries</t>
        </is>
      </c>
      <c r="B8" s="8" t="n">
        <v>178.09</v>
      </c>
      <c r="C8" s="9" t="n">
        <v>0.01571963979613634</v>
      </c>
    </row>
    <row r="9">
      <c r="A9" t="inlineStr">
        <is>
          <t>Restaurants &amp; Bars</t>
        </is>
      </c>
      <c r="B9" s="8" t="n">
        <v>169.65</v>
      </c>
      <c r="C9" s="9" t="n">
        <v>0.01497465827061895</v>
      </c>
    </row>
    <row r="10">
      <c r="A10" t="inlineStr">
        <is>
          <t>Car Insurance</t>
        </is>
      </c>
      <c r="B10" s="8" t="n">
        <v>152.51</v>
      </c>
      <c r="C10" s="9" t="n">
        <v>0.0134617455517365</v>
      </c>
    </row>
    <row r="11">
      <c r="A11" t="inlineStr">
        <is>
          <t>Subscriptions</t>
        </is>
      </c>
      <c r="B11" s="8" t="n">
        <v>147.96</v>
      </c>
      <c r="C11" s="9" t="n">
        <v>0.01306012636440189</v>
      </c>
    </row>
    <row r="12">
      <c r="A12" t="inlineStr">
        <is>
          <t>Delivery &amp; Takeout</t>
        </is>
      </c>
      <c r="B12" s="8" t="n">
        <v>90.77000000000001</v>
      </c>
      <c r="C12" s="9" t="n">
        <v>0.008012082117442278</v>
      </c>
    </row>
    <row r="13">
      <c r="A13" t="inlineStr">
        <is>
          <t>Storage Units</t>
        </is>
      </c>
      <c r="B13" s="8" t="n">
        <v>43</v>
      </c>
      <c r="C13" s="9" t="n">
        <v>0.003795521990195196</v>
      </c>
    </row>
    <row r="14">
      <c r="A14" t="inlineStr">
        <is>
          <t>Gas &amp; Car Wash</t>
        </is>
      </c>
      <c r="B14" s="8" t="n">
        <v>25.63</v>
      </c>
      <c r="C14" s="9" t="n">
        <v>0.002262307642062858</v>
      </c>
    </row>
    <row r="15">
      <c r="A15" t="inlineStr">
        <is>
          <t>Music</t>
        </is>
      </c>
      <c r="B15" s="8" t="n">
        <v>11.99</v>
      </c>
      <c r="C15" s="9" t="n">
        <v>0.001058332759591637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4" t="inlineStr">
        <is>
          <t>SPENDING BY ACCOUNT</t>
        </is>
      </c>
    </row>
    <row r="3">
      <c r="A3" s="5" t="inlineStr">
        <is>
          <t>Account</t>
        </is>
      </c>
      <c r="B3" s="5" t="inlineStr">
        <is>
          <t>Income</t>
        </is>
      </c>
      <c r="C3" s="5" t="inlineStr">
        <is>
          <t>Expenses</t>
        </is>
      </c>
      <c r="D3" s="5" t="inlineStr">
        <is>
          <t>Net</t>
        </is>
      </c>
      <c r="E3" s="5" t="inlineStr">
        <is>
          <t>Transactions</t>
        </is>
      </c>
    </row>
    <row r="4">
      <c r="A4" t="inlineStr">
        <is>
          <t>Venture Card</t>
        </is>
      </c>
      <c r="B4" s="3" t="n">
        <v>0</v>
      </c>
      <c r="C4" s="2" t="n">
        <v>669.6800000000001</v>
      </c>
      <c r="D4" s="8" t="n">
        <v>-669.6800000000001</v>
      </c>
      <c r="E4" t="n">
        <v>8</v>
      </c>
    </row>
    <row r="5">
      <c r="A5" t="inlineStr">
        <is>
          <t>Target Card</t>
        </is>
      </c>
      <c r="B5" s="3" t="n">
        <v>0</v>
      </c>
      <c r="C5" s="2" t="n">
        <v>130.36</v>
      </c>
      <c r="D5" s="8" t="n">
        <v>-130.36</v>
      </c>
      <c r="E5" t="n">
        <v>1</v>
      </c>
    </row>
    <row r="6">
      <c r="A6" t="inlineStr">
        <is>
          <t>Amex Gold</t>
        </is>
      </c>
      <c r="B6" s="3" t="n">
        <v>0</v>
      </c>
      <c r="C6" s="2" t="n">
        <v>158.55</v>
      </c>
      <c r="D6" s="8" t="n">
        <v>-158.55</v>
      </c>
      <c r="E6" t="n">
        <v>5</v>
      </c>
    </row>
    <row r="7">
      <c r="A7" t="inlineStr">
        <is>
          <t>Amex Platinum</t>
        </is>
      </c>
      <c r="B7" s="3" t="n">
        <v>0</v>
      </c>
      <c r="C7" s="2" t="n">
        <v>2280.49</v>
      </c>
      <c r="D7" s="8" t="n">
        <v>-2280.49</v>
      </c>
      <c r="E7" t="n">
        <v>6</v>
      </c>
    </row>
    <row r="8">
      <c r="A8" t="inlineStr">
        <is>
          <t>Checking</t>
        </is>
      </c>
      <c r="B8" s="3" t="n">
        <v>5005.08</v>
      </c>
      <c r="C8" s="2" t="n">
        <v>7500</v>
      </c>
      <c r="D8" s="8" t="n">
        <v>-2494.92</v>
      </c>
      <c r="E8" t="n">
        <v>2</v>
      </c>
    </row>
    <row r="9">
      <c r="A9" t="inlineStr">
        <is>
          <t>USAA Visa</t>
        </is>
      </c>
      <c r="B9" s="3" t="n">
        <v>0</v>
      </c>
      <c r="C9" s="2" t="n">
        <v>45.68</v>
      </c>
      <c r="D9" s="8" t="n">
        <v>-45.68</v>
      </c>
      <c r="E9" t="n">
        <v>1</v>
      </c>
    </row>
    <row r="10">
      <c r="A10" t="inlineStr">
        <is>
          <t>Amazon Prime Card</t>
        </is>
      </c>
      <c r="B10" s="3" t="n">
        <v>20.34</v>
      </c>
      <c r="C10" s="2" t="n">
        <v>98.15000000000001</v>
      </c>
      <c r="D10" s="8" t="n">
        <v>-77.81</v>
      </c>
      <c r="E10" t="n">
        <v>4</v>
      </c>
    </row>
    <row r="11">
      <c r="A11" t="inlineStr">
        <is>
          <t>Sapphire Reserve</t>
        </is>
      </c>
      <c r="B11" s="3" t="n">
        <v>0</v>
      </c>
      <c r="C11" s="2" t="n">
        <v>395.17</v>
      </c>
      <c r="D11" s="8" t="n">
        <v>-395.17</v>
      </c>
      <c r="E11" t="n">
        <v>2</v>
      </c>
    </row>
    <row r="12">
      <c r="A12" t="inlineStr">
        <is>
          <t>Freedom Card</t>
        </is>
      </c>
      <c r="B12" s="3" t="n">
        <v>0</v>
      </c>
      <c r="C12" s="2" t="n">
        <v>27.21</v>
      </c>
      <c r="D12" s="8" t="n">
        <v>-27.21</v>
      </c>
      <c r="E12" t="n">
        <v>1</v>
      </c>
    </row>
    <row r="13">
      <c r="A13" t="inlineStr">
        <is>
          <t>Marriott Card</t>
        </is>
      </c>
      <c r="B13" s="3" t="n">
        <v>0</v>
      </c>
      <c r="C13" s="2" t="n">
        <v>12.99</v>
      </c>
      <c r="D13" s="8" t="n">
        <v>-12.99</v>
      </c>
      <c r="E13" t="n">
        <v>1</v>
      </c>
    </row>
    <row r="14">
      <c r="A14" t="inlineStr">
        <is>
          <t>Slate Card</t>
        </is>
      </c>
      <c r="B14" s="3" t="n">
        <v>0</v>
      </c>
      <c r="C14" s="2" t="n">
        <v>10.86</v>
      </c>
      <c r="D14" s="8" t="n">
        <v>-10.86</v>
      </c>
      <c r="E14" t="n">
        <v>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HOW TO USE THIS FINANCE TRACKER</t>
        </is>
      </c>
    </row>
    <row r="3">
      <c r="A3" t="inlineStr"/>
    </row>
    <row r="4">
      <c r="A4" t="inlineStr">
        <is>
          <t>1. ADD YOUR TRANSACTIONS</t>
        </is>
      </c>
    </row>
    <row r="5">
      <c r="A5" t="inlineStr">
        <is>
          <t xml:space="preserve">   - Go to the 'Transactions' sheet</t>
        </is>
      </c>
    </row>
    <row r="6">
      <c r="A6" t="inlineStr">
        <is>
          <t xml:space="preserve">   - Add your transactions in the rows below the existing data</t>
        </is>
      </c>
    </row>
    <row r="7">
      <c r="A7" t="inlineStr">
        <is>
          <t xml:space="preserve">   - Use negative amounts for expenses, positive for income</t>
        </is>
      </c>
    </row>
    <row r="8">
      <c r="A8" t="inlineStr"/>
    </row>
    <row r="9">
      <c r="A9" t="inlineStr">
        <is>
          <t>2. IMPORT FROM MONARCH/MINT</t>
        </is>
      </c>
    </row>
    <row r="10">
      <c r="A10" t="inlineStr">
        <is>
          <t xml:space="preserve">   - Export CSV from your finance app</t>
        </is>
      </c>
    </row>
    <row r="11">
      <c r="A11" t="inlineStr">
        <is>
          <t xml:space="preserve">   - Copy and paste the data into the Transactions sheet</t>
        </is>
      </c>
    </row>
    <row r="12">
      <c r="A12" t="inlineStr">
        <is>
          <t xml:space="preserve">   - Make sure columns match: Date, Merchant, Category, Account, Amount</t>
        </is>
      </c>
    </row>
    <row r="13">
      <c r="A13" t="inlineStr"/>
    </row>
    <row r="14">
      <c r="A14" t="inlineStr">
        <is>
          <t>3. VIEW YOUR SUMMARY</t>
        </is>
      </c>
    </row>
    <row r="15">
      <c r="A15" t="inlineStr">
        <is>
          <t xml:space="preserve">   - 'Summary' sheet shows total income, expenses, and net</t>
        </is>
      </c>
    </row>
    <row r="16">
      <c r="A16" t="inlineStr">
        <is>
          <t xml:space="preserve">   - 'By Category' shows where your money goes (with chart)</t>
        </is>
      </c>
    </row>
    <row r="17">
      <c r="A17" t="inlineStr">
        <is>
          <t xml:space="preserve">   - 'By Account' shows activity per account</t>
        </is>
      </c>
    </row>
    <row r="18">
      <c r="A18" t="inlineStr"/>
    </row>
    <row r="19">
      <c r="A19" t="inlineStr">
        <is>
          <t>4. TIPS</t>
        </is>
      </c>
    </row>
    <row r="20">
      <c r="A20" t="inlineStr">
        <is>
          <t xml:space="preserve">   - Use consistent category names for accurate reporting</t>
        </is>
      </c>
    </row>
    <row r="21">
      <c r="A21" t="inlineStr">
        <is>
          <t xml:space="preserve">   - The Summary sheet updates automatically with formulas</t>
        </is>
      </c>
    </row>
    <row r="22">
      <c r="A22" t="inlineStr">
        <is>
          <t xml:space="preserve">   - Sort the Transactions sheet by clicking column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2026-01-22T17:50:27Z</dcterms:created>
  <dcterms:modified xsi:type="dcterms:W3CDTF">2026-01-22T17:50:27Z</dcterms:modified>
</cp:coreProperties>
</file>