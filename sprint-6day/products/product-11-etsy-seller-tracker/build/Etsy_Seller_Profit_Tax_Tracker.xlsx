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📅 Monthly Log" sheetId="2" state="visible" r:id="rId2"/>
    <sheet name="🧮 COGS Tracker" sheetId="3" state="visible" r:id="rId3"/>
    <sheet name="🧾 Quarterly Taxes" sheetId="4" state="visible" r:id="rId4"/>
    <sheet name="📆 Annual Summary" sheetId="5" state="visible" r:id="rId5"/>
    <sheet name="📖 Setup 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YYYY-MM-DD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3D5C41"/>
      <sz val="22"/>
    </font>
    <font>
      <name val="Calibri"/>
      <b val="1"/>
      <color rgb="00C9A84C"/>
      <sz val="22"/>
    </font>
    <font>
      <name val="Calibri"/>
      <b val="1"/>
      <color rgb="006B8F71"/>
      <sz val="22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3D5C41"/>
      <sz val="11"/>
    </font>
    <font>
      <name val="Calibri"/>
      <i val="1"/>
      <color rgb="00444444"/>
      <sz val="10"/>
    </font>
    <font>
      <name val="Calibri"/>
      <b val="1"/>
      <color rgb="00FFFFFF"/>
      <sz val="16"/>
    </font>
    <font>
      <name val="Calibri"/>
      <b val="1"/>
      <color rgb="00C9A84C"/>
      <sz val="11"/>
    </font>
    <font>
      <name val="Calibri"/>
      <b val="1"/>
      <color rgb="006B8F71"/>
      <sz val="11"/>
    </font>
    <font>
      <name val="Calibri"/>
      <b val="1"/>
      <color rgb="00FFFFFF"/>
      <sz val="10"/>
    </font>
    <font>
      <name val="Calibri"/>
      <b val="1"/>
      <color rgb="00FFFFFF"/>
      <sz val="15"/>
    </font>
    <font>
      <name val="Calibri"/>
      <i val="1"/>
      <color rgb="00444444"/>
      <sz val="9"/>
    </font>
    <font>
      <name val="Calibri"/>
      <b val="1"/>
      <color rgb="00C9A84C"/>
      <sz val="14"/>
    </font>
    <font>
      <name val="Calibri"/>
      <b val="1"/>
      <color rgb="003D5C41"/>
      <sz val="14"/>
    </font>
    <font>
      <name val="Calibri"/>
      <i val="1"/>
      <color rgb="00C9A84C"/>
      <sz val="11"/>
    </font>
    <font>
      <name val="Calibri"/>
      <color rgb="003D5C41"/>
      <sz val="10"/>
    </font>
    <font>
      <name val="Calibri"/>
      <b val="1"/>
      <color rgb="00444444"/>
      <sz val="11"/>
    </font>
    <font>
      <name val="Calibri"/>
      <b val="1"/>
      <color rgb="00FFFFFF"/>
      <sz val="12"/>
    </font>
    <font>
      <name val="Calibri"/>
      <color rgb="00444444"/>
      <sz val="11"/>
    </font>
  </fonts>
  <fills count="9">
    <fill>
      <patternFill/>
    </fill>
    <fill>
      <patternFill patternType="gray125"/>
    </fill>
    <fill>
      <patternFill patternType="solid">
        <fgColor rgb="003D5C41"/>
      </patternFill>
    </fill>
    <fill>
      <patternFill patternType="solid">
        <fgColor rgb="006B8F71"/>
      </patternFill>
    </fill>
    <fill>
      <patternFill patternType="solid">
        <fgColor rgb="00F5F5F5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F0E0A8"/>
      </patternFill>
    </fill>
    <fill>
      <patternFill patternType="solid">
        <fgColor rgb="00C8DB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164" fontId="4" fillId="4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1" fontId="5" fillId="4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/>
    </xf>
    <xf numFmtId="164" fontId="9" fillId="8" borderId="0" pivotButton="0" quotePrefix="0" xfId="0"/>
    <xf numFmtId="164" fontId="12" fillId="8" borderId="0" pivotButton="0" quotePrefix="0" xfId="0"/>
    <xf numFmtId="164" fontId="13" fillId="8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 wrapText="1"/>
    </xf>
    <xf numFmtId="9" fontId="17" fillId="7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0" fontId="20" fillId="8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/>
    </xf>
    <xf numFmtId="0" fontId="21" fillId="4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/>
    </xf>
    <xf numFmtId="0" fontId="23" fillId="4" borderId="0" applyAlignment="1" pivotButton="0" quotePrefix="0" xfId="0">
      <alignment horizontal="left" vertical="center" wrapText="1"/>
    </xf>
    <xf numFmtId="0" fontId="23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57373"/>
        </patternFill>
      </fill>
    </dxf>
    <dxf>
      <fill>
        <patternFill patternType="solid">
          <fgColor rgb="0081C7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5C41"/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3" customWidth="1" min="8" max="8"/>
    <col width="5" customWidth="1" min="9" max="9"/>
  </cols>
  <sheetData>
    <row r="1" ht="50" customHeight="1">
      <c r="A1" s="1" t="inlineStr">
        <is>
          <t>ETSY SELLER PROFIT &amp; TAX TRACKER</t>
        </is>
      </c>
    </row>
    <row r="2" ht="20" customHeight="1">
      <c r="A2" s="2" t="inlineStr">
        <is>
          <t>Know your real numbers. Grow your shop.</t>
        </is>
      </c>
    </row>
    <row r="4" ht="20" customHeight="1">
      <c r="B4" s="3" t="inlineStr">
        <is>
          <t>TOTAL REVENUE (YTD)</t>
        </is>
      </c>
      <c r="E4" s="4" t="inlineStr">
        <is>
          <t>TOTAL EXPENSES (YTD)</t>
        </is>
      </c>
      <c r="H4" s="5" t="inlineStr">
        <is>
          <t>NET PROFIT (YTD)</t>
        </is>
      </c>
    </row>
    <row r="5" ht="45" customHeight="1">
      <c r="B5" s="6">
        <f>'📅 Monthly Log'!O2</f>
        <v/>
      </c>
      <c r="E5" s="7">
        <f>'📅 Monthly Log'!P2</f>
        <v/>
      </c>
      <c r="H5" s="8">
        <f>'📅 Monthly Log'!Q2</f>
        <v/>
      </c>
    </row>
    <row r="6" ht="45" customHeight="1"/>
    <row r="7" ht="20" customHeight="1"/>
    <row r="8">
      <c r="B8" s="3" t="inlineStr">
        <is>
          <t>PROFIT MARGIN %</t>
        </is>
      </c>
      <c r="E8" s="4" t="inlineStr">
        <is>
          <t>TOTAL ORDERS (YTD)</t>
        </is>
      </c>
      <c r="H8" s="5" t="inlineStr">
        <is>
          <t>AVG PROFIT / ORDER</t>
        </is>
      </c>
    </row>
    <row r="9">
      <c r="B9" s="9">
        <f>IF('📅 Monthly Log'!O2=0,0,'📅 Monthly Log'!Q2/'📅 Monthly Log'!O2)</f>
        <v/>
      </c>
      <c r="E9" s="10">
        <f>COUNTA('📅 Monthly Log'!A4:A1003)</f>
        <v/>
      </c>
      <c r="H9" s="8">
        <f>IF(COUNTA('📅 Monthly Log'!A4:A1003)=0,0,'📅 Monthly Log'!Q2/COUNTA('📅 Monthly Log'!A4:A1003))</f>
        <v/>
      </c>
    </row>
    <row r="10"/>
    <row r="12" ht="25" customHeight="1">
      <c r="B12" s="11" t="inlineStr">
        <is>
          <t>MONTHLY SUMMARY</t>
        </is>
      </c>
    </row>
    <row r="13">
      <c r="A13" s="12" t="inlineStr"/>
      <c r="B13" s="12" t="inlineStr">
        <is>
          <t>Month</t>
        </is>
      </c>
      <c r="C13" s="12" t="inlineStr">
        <is>
          <t>Revenue</t>
        </is>
      </c>
      <c r="D13" s="12" t="inlineStr">
        <is>
          <t>Expenses</t>
        </is>
      </c>
      <c r="E13" s="12" t="inlineStr">
        <is>
          <t>Net Profit</t>
        </is>
      </c>
      <c r="F13" s="12" t="inlineStr">
        <is>
          <t>Margin %</t>
        </is>
      </c>
      <c r="G13" s="12" t="inlineStr">
        <is>
          <t>Orders</t>
        </is>
      </c>
      <c r="H13" s="12" t="inlineStr">
        <is>
          <t>Avg/Order</t>
        </is>
      </c>
      <c r="I13" s="12" t="inlineStr"/>
      <c r="J13" s="12" t="inlineStr"/>
    </row>
    <row r="14" ht="22" customHeight="1">
      <c r="B14" s="13" t="inlineStr">
        <is>
          <t>Jan</t>
        </is>
      </c>
      <c r="C14" s="14" t="n"/>
      <c r="D14" s="14" t="n"/>
      <c r="E14" s="14" t="n"/>
      <c r="F14" s="14" t="n"/>
      <c r="G14" s="14" t="n"/>
      <c r="H14" s="14" t="n"/>
    </row>
    <row r="15" ht="22" customHeight="1">
      <c r="B15" s="13" t="inlineStr">
        <is>
          <t>Feb</t>
        </is>
      </c>
      <c r="C15" s="15" t="n"/>
      <c r="D15" s="15" t="n"/>
      <c r="E15" s="15" t="n"/>
      <c r="F15" s="15" t="n"/>
      <c r="G15" s="15" t="n"/>
      <c r="H15" s="15" t="n"/>
    </row>
    <row r="16" ht="22" customHeight="1">
      <c r="B16" s="13" t="inlineStr">
        <is>
          <t>Mar</t>
        </is>
      </c>
      <c r="C16" s="14" t="n"/>
      <c r="D16" s="14" t="n"/>
      <c r="E16" s="14" t="n"/>
      <c r="F16" s="14" t="n"/>
      <c r="G16" s="14" t="n"/>
      <c r="H16" s="14" t="n"/>
    </row>
    <row r="17" ht="22" customHeight="1">
      <c r="B17" s="13" t="inlineStr">
        <is>
          <t>Apr</t>
        </is>
      </c>
      <c r="C17" s="15" t="n"/>
      <c r="D17" s="15" t="n"/>
      <c r="E17" s="15" t="n"/>
      <c r="F17" s="15" t="n"/>
      <c r="G17" s="15" t="n"/>
      <c r="H17" s="15" t="n"/>
    </row>
    <row r="18" ht="22" customHeight="1">
      <c r="B18" s="13" t="inlineStr">
        <is>
          <t>May</t>
        </is>
      </c>
      <c r="C18" s="14" t="n"/>
      <c r="D18" s="14" t="n"/>
      <c r="E18" s="14" t="n"/>
      <c r="F18" s="14" t="n"/>
      <c r="G18" s="14" t="n"/>
      <c r="H18" s="14" t="n"/>
    </row>
    <row r="19" ht="22" customHeight="1">
      <c r="B19" s="13" t="inlineStr">
        <is>
          <t>Jun</t>
        </is>
      </c>
      <c r="C19" s="15" t="n"/>
      <c r="D19" s="15" t="n"/>
      <c r="E19" s="15" t="n"/>
      <c r="F19" s="15" t="n"/>
      <c r="G19" s="15" t="n"/>
      <c r="H19" s="15" t="n"/>
    </row>
    <row r="20" ht="22" customHeight="1">
      <c r="B20" s="13" t="inlineStr">
        <is>
          <t>Jul</t>
        </is>
      </c>
      <c r="C20" s="14" t="n"/>
      <c r="D20" s="14" t="n"/>
      <c r="E20" s="14" t="n"/>
      <c r="F20" s="14" t="n"/>
      <c r="G20" s="14" t="n"/>
      <c r="H20" s="14" t="n"/>
    </row>
    <row r="21" ht="22" customHeight="1">
      <c r="B21" s="13" t="inlineStr">
        <is>
          <t>Aug</t>
        </is>
      </c>
      <c r="C21" s="15" t="n"/>
      <c r="D21" s="15" t="n"/>
      <c r="E21" s="15" t="n"/>
      <c r="F21" s="15" t="n"/>
      <c r="G21" s="15" t="n"/>
      <c r="H21" s="15" t="n"/>
    </row>
    <row r="22" ht="22" customHeight="1">
      <c r="B22" s="13" t="inlineStr">
        <is>
          <t>Sep</t>
        </is>
      </c>
      <c r="C22" s="14" t="n"/>
      <c r="D22" s="14" t="n"/>
      <c r="E22" s="14" t="n"/>
      <c r="F22" s="14" t="n"/>
      <c r="G22" s="14" t="n"/>
      <c r="H22" s="14" t="n"/>
    </row>
    <row r="23" ht="22" customHeight="1">
      <c r="B23" s="13" t="inlineStr">
        <is>
          <t>Oct</t>
        </is>
      </c>
      <c r="C23" s="15" t="n"/>
      <c r="D23" s="15" t="n"/>
      <c r="E23" s="15" t="n"/>
      <c r="F23" s="15" t="n"/>
      <c r="G23" s="15" t="n"/>
      <c r="H23" s="15" t="n"/>
    </row>
    <row r="24" ht="22" customHeight="1">
      <c r="B24" s="13" t="inlineStr">
        <is>
          <t>Nov</t>
        </is>
      </c>
      <c r="C24" s="14" t="n"/>
      <c r="D24" s="14" t="n"/>
      <c r="E24" s="14" t="n"/>
      <c r="F24" s="14" t="n"/>
      <c r="G24" s="14" t="n"/>
      <c r="H24" s="14" t="n"/>
    </row>
    <row r="25" ht="22" customHeight="1">
      <c r="B25" s="13" t="inlineStr">
        <is>
          <t>Dec</t>
        </is>
      </c>
      <c r="C25" s="15" t="n"/>
      <c r="D25" s="15" t="n"/>
      <c r="E25" s="15" t="n"/>
      <c r="F25" s="15" t="n"/>
      <c r="G25" s="15" t="n"/>
      <c r="H25" s="15" t="n"/>
    </row>
    <row r="27">
      <c r="B27" s="16" t="inlineStr">
        <is>
          <t>HOW TO USE: Enter your Etsy sales in the '📅 Monthly Log' tab. All formulas here update automatically. See '📖 Setup Guide' if you get stuck.</t>
        </is>
      </c>
    </row>
    <row r="28"/>
    <row r="29"/>
    <row r="30"/>
  </sheetData>
  <mergeCells count="16">
    <mergeCell ref="B12:I12"/>
    <mergeCell ref="E4:F4"/>
    <mergeCell ref="A1:J1"/>
    <mergeCell ref="H8:I8"/>
    <mergeCell ref="E8:F8"/>
    <mergeCell ref="B5:C6"/>
    <mergeCell ref="E5:F6"/>
    <mergeCell ref="B27:I30"/>
    <mergeCell ref="H4:I4"/>
    <mergeCell ref="A2:J2"/>
    <mergeCell ref="H5:I6"/>
    <mergeCell ref="B8:C8"/>
    <mergeCell ref="B9:C10"/>
    <mergeCell ref="B4:C4"/>
    <mergeCell ref="E9:F10"/>
    <mergeCell ref="H9:I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B8F71"/>
    <outlinePr summaryBelow="1" summaryRight="1"/>
    <pageSetUpPr/>
  </sheetPr>
  <dimension ref="A1:Q10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8" customWidth="1" min="4" max="4"/>
    <col width="12" customWidth="1" min="5" max="5"/>
    <col width="12" customWidth="1" min="6" max="6"/>
    <col width="13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2" customWidth="1" min="13" max="13"/>
    <col width="12" customWidth="1" min="14" max="14"/>
    <col width="3" customWidth="1" min="15" max="15"/>
  </cols>
  <sheetData>
    <row r="1" ht="40" customHeight="1">
      <c r="A1" s="17" t="inlineStr">
        <is>
          <t>MONTHLY SALES &amp; EXPENSE LOG</t>
        </is>
      </c>
    </row>
    <row r="2">
      <c r="A2" s="18" t="inlineStr">
        <is>
          <t>YTD TOTALS (auto-calculated):</t>
        </is>
      </c>
      <c r="O2" s="19">
        <f>SUM(E4:E1003)</f>
        <v/>
      </c>
      <c r="P2" s="20">
        <f>SUM(I4:I1003)+SUM(J4:J1003)+SUM(K4:K1003)+SUM(L4:L1003)</f>
        <v/>
      </c>
      <c r="Q2" s="21">
        <f>O2-P2</f>
        <v/>
      </c>
    </row>
    <row r="3" ht="40" customHeight="1">
      <c r="A3" s="22" t="inlineStr">
        <is>
          <t>Date</t>
        </is>
      </c>
      <c r="B3" s="22" t="inlineStr">
        <is>
          <t>Order #</t>
        </is>
      </c>
      <c r="C3" s="22" t="inlineStr">
        <is>
          <t>Product Name</t>
        </is>
      </c>
      <c r="D3" s="22" t="inlineStr">
        <is>
          <t>Category</t>
        </is>
      </c>
      <c r="E3" s="22" t="inlineStr">
        <is>
          <t>Sale Price</t>
        </is>
      </c>
      <c r="F3" s="22" t="inlineStr">
        <is>
          <t>Trans Fee
(6.5%)</t>
        </is>
      </c>
      <c r="G3" s="22" t="inlineStr">
        <is>
          <t>Pay Process
(3%+$0.25)</t>
        </is>
      </c>
      <c r="H3" s="22" t="inlineStr">
        <is>
          <t>Listing Fee
($0.20)</t>
        </is>
      </c>
      <c r="I3" s="22" t="inlineStr">
        <is>
          <t>Shipping
Cost</t>
        </is>
      </c>
      <c r="J3" s="22" t="inlineStr">
        <is>
          <t>COGS</t>
        </is>
      </c>
      <c r="K3" s="22" t="inlineStr">
        <is>
          <t>Offsite Ad
Fee</t>
        </is>
      </c>
      <c r="L3" s="22" t="inlineStr">
        <is>
          <t>Other Fees</t>
        </is>
      </c>
      <c r="M3" s="22" t="inlineStr">
        <is>
          <t>Total Fees</t>
        </is>
      </c>
      <c r="N3" s="22" t="inlineStr">
        <is>
          <t>Net Profit</t>
        </is>
      </c>
      <c r="O3" s="22" t="inlineStr">
        <is>
          <t>Notes</t>
        </is>
      </c>
    </row>
    <row r="4">
      <c r="A4" s="23" t="inlineStr">
        <is>
          <t>2026-01-15</t>
        </is>
      </c>
      <c r="B4" s="23" t="inlineStr">
        <is>
          <t>1234-ABCD</t>
        </is>
      </c>
      <c r="C4" s="23" t="inlineStr">
        <is>
          <t>Budget Planner Template</t>
        </is>
      </c>
      <c r="D4" s="23" t="inlineStr">
        <is>
          <t>Digital Download</t>
        </is>
      </c>
      <c r="E4" s="23" t="n">
        <v>9.99</v>
      </c>
      <c r="F4" s="23" t="n"/>
      <c r="G4" s="23" t="n"/>
      <c r="H4" s="23" t="n">
        <v>0.2</v>
      </c>
      <c r="I4" s="23" t="n">
        <v>0</v>
      </c>
      <c r="J4" s="23" t="n">
        <v>0</v>
      </c>
      <c r="K4" s="23" t="n">
        <v>0</v>
      </c>
      <c r="L4" s="23" t="n">
        <v>0</v>
      </c>
      <c r="M4" s="23" t="n"/>
      <c r="N4" s="23" t="n"/>
      <c r="O4" s="23" t="inlineStr"/>
    </row>
    <row r="5">
      <c r="A5" s="24" t="n"/>
      <c r="B5" s="15" t="n"/>
      <c r="C5" s="15" t="n"/>
      <c r="D5" s="15" t="n"/>
      <c r="E5" s="25" t="n"/>
      <c r="F5" s="25">
        <f>IF(E5="","",E5*0.065)</f>
        <v/>
      </c>
      <c r="G5" s="25">
        <f>IF(E5="","",E5*0.03+0.25)</f>
        <v/>
      </c>
      <c r="H5" s="25" t="n"/>
      <c r="I5" s="25" t="n"/>
      <c r="J5" s="25" t="n"/>
      <c r="K5" s="25" t="n"/>
      <c r="L5" s="25" t="n"/>
      <c r="M5" s="25">
        <f>IF(E5="","",F5+G5+H5+I5+J5+K5+L5)</f>
        <v/>
      </c>
      <c r="N5" s="25">
        <f>IF(E5="","",E5-M5)</f>
        <v/>
      </c>
      <c r="O5" s="15" t="n"/>
    </row>
    <row r="6">
      <c r="A6" s="26" t="n"/>
      <c r="B6" s="14" t="n"/>
      <c r="C6" s="14" t="n"/>
      <c r="D6" s="14" t="n"/>
      <c r="E6" s="27" t="n"/>
      <c r="F6" s="27">
        <f>IF(E6="","",E6*0.065)</f>
        <v/>
      </c>
      <c r="G6" s="27">
        <f>IF(E6="","",E6*0.03+0.25)</f>
        <v/>
      </c>
      <c r="H6" s="27" t="n"/>
      <c r="I6" s="27" t="n"/>
      <c r="J6" s="27" t="n"/>
      <c r="K6" s="27" t="n"/>
      <c r="L6" s="27" t="n"/>
      <c r="M6" s="27">
        <f>IF(E6="","",F6+G6+H6+I6+J6+K6+L6)</f>
        <v/>
      </c>
      <c r="N6" s="27">
        <f>IF(E6="","",E6-M6)</f>
        <v/>
      </c>
      <c r="O6" s="14" t="n"/>
    </row>
    <row r="7">
      <c r="A7" s="24" t="n"/>
      <c r="B7" s="15" t="n"/>
      <c r="C7" s="15" t="n"/>
      <c r="D7" s="15" t="n"/>
      <c r="E7" s="25" t="n"/>
      <c r="F7" s="25">
        <f>IF(E7="","",E7*0.065)</f>
        <v/>
      </c>
      <c r="G7" s="25">
        <f>IF(E7="","",E7*0.03+0.25)</f>
        <v/>
      </c>
      <c r="H7" s="25" t="n"/>
      <c r="I7" s="25" t="n"/>
      <c r="J7" s="25" t="n"/>
      <c r="K7" s="25" t="n"/>
      <c r="L7" s="25" t="n"/>
      <c r="M7" s="25">
        <f>IF(E7="","",F7+G7+H7+I7+J7+K7+L7)</f>
        <v/>
      </c>
      <c r="N7" s="25">
        <f>IF(E7="","",E7-M7)</f>
        <v/>
      </c>
      <c r="O7" s="15" t="n"/>
    </row>
    <row r="8">
      <c r="A8" s="26" t="n"/>
      <c r="B8" s="14" t="n"/>
      <c r="C8" s="14" t="n"/>
      <c r="D8" s="14" t="n"/>
      <c r="E8" s="27" t="n"/>
      <c r="F8" s="27">
        <f>IF(E8="","",E8*0.065)</f>
        <v/>
      </c>
      <c r="G8" s="27">
        <f>IF(E8="","",E8*0.03+0.25)</f>
        <v/>
      </c>
      <c r="H8" s="27" t="n"/>
      <c r="I8" s="27" t="n"/>
      <c r="J8" s="27" t="n"/>
      <c r="K8" s="27" t="n"/>
      <c r="L8" s="27" t="n"/>
      <c r="M8" s="27">
        <f>IF(E8="","",F8+G8+H8+I8+J8+K8+L8)</f>
        <v/>
      </c>
      <c r="N8" s="27">
        <f>IF(E8="","",E8-M8)</f>
        <v/>
      </c>
      <c r="O8" s="14" t="n"/>
    </row>
    <row r="9">
      <c r="A9" s="24" t="n"/>
      <c r="B9" s="15" t="n"/>
      <c r="C9" s="15" t="n"/>
      <c r="D9" s="15" t="n"/>
      <c r="E9" s="25" t="n"/>
      <c r="F9" s="25">
        <f>IF(E9="","",E9*0.065)</f>
        <v/>
      </c>
      <c r="G9" s="25">
        <f>IF(E9="","",E9*0.03+0.25)</f>
        <v/>
      </c>
      <c r="H9" s="25" t="n"/>
      <c r="I9" s="25" t="n"/>
      <c r="J9" s="25" t="n"/>
      <c r="K9" s="25" t="n"/>
      <c r="L9" s="25" t="n"/>
      <c r="M9" s="25">
        <f>IF(E9="","",F9+G9+H9+I9+J9+K9+L9)</f>
        <v/>
      </c>
      <c r="N9" s="25">
        <f>IF(E9="","",E9-M9)</f>
        <v/>
      </c>
      <c r="O9" s="15" t="n"/>
    </row>
    <row r="10">
      <c r="A10" s="26" t="n"/>
      <c r="B10" s="14" t="n"/>
      <c r="C10" s="14" t="n"/>
      <c r="D10" s="14" t="n"/>
      <c r="E10" s="27" t="n"/>
      <c r="F10" s="27">
        <f>IF(E10="","",E10*0.065)</f>
        <v/>
      </c>
      <c r="G10" s="27">
        <f>IF(E10="","",E10*0.03+0.25)</f>
        <v/>
      </c>
      <c r="H10" s="27" t="n"/>
      <c r="I10" s="27" t="n"/>
      <c r="J10" s="27" t="n"/>
      <c r="K10" s="27" t="n"/>
      <c r="L10" s="27" t="n"/>
      <c r="M10" s="27">
        <f>IF(E10="","",F10+G10+H10+I10+J10+K10+L10)</f>
        <v/>
      </c>
      <c r="N10" s="27">
        <f>IF(E10="","",E10-M10)</f>
        <v/>
      </c>
      <c r="O10" s="14" t="n"/>
    </row>
    <row r="11">
      <c r="A11" s="24" t="n"/>
      <c r="B11" s="15" t="n"/>
      <c r="C11" s="15" t="n"/>
      <c r="D11" s="15" t="n"/>
      <c r="E11" s="25" t="n"/>
      <c r="F11" s="25">
        <f>IF(E11="","",E11*0.065)</f>
        <v/>
      </c>
      <c r="G11" s="25">
        <f>IF(E11="","",E11*0.03+0.25)</f>
        <v/>
      </c>
      <c r="H11" s="25" t="n"/>
      <c r="I11" s="25" t="n"/>
      <c r="J11" s="25" t="n"/>
      <c r="K11" s="25" t="n"/>
      <c r="L11" s="25" t="n"/>
      <c r="M11" s="25">
        <f>IF(E11="","",F11+G11+H11+I11+J11+K11+L11)</f>
        <v/>
      </c>
      <c r="N11" s="25">
        <f>IF(E11="","",E11-M11)</f>
        <v/>
      </c>
      <c r="O11" s="15" t="n"/>
    </row>
    <row r="12">
      <c r="A12" s="26" t="n"/>
      <c r="B12" s="14" t="n"/>
      <c r="C12" s="14" t="n"/>
      <c r="D12" s="14" t="n"/>
      <c r="E12" s="27" t="n"/>
      <c r="F12" s="27">
        <f>IF(E12="","",E12*0.065)</f>
        <v/>
      </c>
      <c r="G12" s="27">
        <f>IF(E12="","",E12*0.03+0.25)</f>
        <v/>
      </c>
      <c r="H12" s="27" t="n"/>
      <c r="I12" s="27" t="n"/>
      <c r="J12" s="27" t="n"/>
      <c r="K12" s="27" t="n"/>
      <c r="L12" s="27" t="n"/>
      <c r="M12" s="27">
        <f>IF(E12="","",F12+G12+H12+I12+J12+K12+L12)</f>
        <v/>
      </c>
      <c r="N12" s="27">
        <f>IF(E12="","",E12-M12)</f>
        <v/>
      </c>
      <c r="O12" s="14" t="n"/>
    </row>
    <row r="13">
      <c r="A13" s="24" t="n"/>
      <c r="B13" s="15" t="n"/>
      <c r="C13" s="15" t="n"/>
      <c r="D13" s="15" t="n"/>
      <c r="E13" s="25" t="n"/>
      <c r="F13" s="25">
        <f>IF(E13="","",E13*0.065)</f>
        <v/>
      </c>
      <c r="G13" s="25">
        <f>IF(E13="","",E13*0.03+0.25)</f>
        <v/>
      </c>
      <c r="H13" s="25" t="n"/>
      <c r="I13" s="25" t="n"/>
      <c r="J13" s="25" t="n"/>
      <c r="K13" s="25" t="n"/>
      <c r="L13" s="25" t="n"/>
      <c r="M13" s="25">
        <f>IF(E13="","",F13+G13+H13+I13+J13+K13+L13)</f>
        <v/>
      </c>
      <c r="N13" s="25">
        <f>IF(E13="","",E13-M13)</f>
        <v/>
      </c>
      <c r="O13" s="15" t="n"/>
    </row>
    <row r="14">
      <c r="A14" s="26" t="n"/>
      <c r="B14" s="14" t="n"/>
      <c r="C14" s="14" t="n"/>
      <c r="D14" s="14" t="n"/>
      <c r="E14" s="27" t="n"/>
      <c r="F14" s="27">
        <f>IF(E14="","",E14*0.065)</f>
        <v/>
      </c>
      <c r="G14" s="27">
        <f>IF(E14="","",E14*0.03+0.25)</f>
        <v/>
      </c>
      <c r="H14" s="27" t="n"/>
      <c r="I14" s="27" t="n"/>
      <c r="J14" s="27" t="n"/>
      <c r="K14" s="27" t="n"/>
      <c r="L14" s="27" t="n"/>
      <c r="M14" s="27">
        <f>IF(E14="","",F14+G14+H14+I14+J14+K14+L14)</f>
        <v/>
      </c>
      <c r="N14" s="27">
        <f>IF(E14="","",E14-M14)</f>
        <v/>
      </c>
      <c r="O14" s="14" t="n"/>
    </row>
    <row r="15">
      <c r="A15" s="24" t="n"/>
      <c r="B15" s="15" t="n"/>
      <c r="C15" s="15" t="n"/>
      <c r="D15" s="15" t="n"/>
      <c r="E15" s="25" t="n"/>
      <c r="F15" s="25">
        <f>IF(E15="","",E15*0.065)</f>
        <v/>
      </c>
      <c r="G15" s="25">
        <f>IF(E15="","",E15*0.03+0.25)</f>
        <v/>
      </c>
      <c r="H15" s="25" t="n"/>
      <c r="I15" s="25" t="n"/>
      <c r="J15" s="25" t="n"/>
      <c r="K15" s="25" t="n"/>
      <c r="L15" s="25" t="n"/>
      <c r="M15" s="25">
        <f>IF(E15="","",F15+G15+H15+I15+J15+K15+L15)</f>
        <v/>
      </c>
      <c r="N15" s="25">
        <f>IF(E15="","",E15-M15)</f>
        <v/>
      </c>
      <c r="O15" s="15" t="n"/>
    </row>
    <row r="16">
      <c r="A16" s="26" t="n"/>
      <c r="B16" s="14" t="n"/>
      <c r="C16" s="14" t="n"/>
      <c r="D16" s="14" t="n"/>
      <c r="E16" s="27" t="n"/>
      <c r="F16" s="27">
        <f>IF(E16="","",E16*0.065)</f>
        <v/>
      </c>
      <c r="G16" s="27">
        <f>IF(E16="","",E16*0.03+0.25)</f>
        <v/>
      </c>
      <c r="H16" s="27" t="n"/>
      <c r="I16" s="27" t="n"/>
      <c r="J16" s="27" t="n"/>
      <c r="K16" s="27" t="n"/>
      <c r="L16" s="27" t="n"/>
      <c r="M16" s="27">
        <f>IF(E16="","",F16+G16+H16+I16+J16+K16+L16)</f>
        <v/>
      </c>
      <c r="N16" s="27">
        <f>IF(E16="","",E16-M16)</f>
        <v/>
      </c>
      <c r="O16" s="14" t="n"/>
    </row>
    <row r="17">
      <c r="A17" s="24" t="n"/>
      <c r="B17" s="15" t="n"/>
      <c r="C17" s="15" t="n"/>
      <c r="D17" s="15" t="n"/>
      <c r="E17" s="25" t="n"/>
      <c r="F17" s="25">
        <f>IF(E17="","",E17*0.065)</f>
        <v/>
      </c>
      <c r="G17" s="25">
        <f>IF(E17="","",E17*0.03+0.25)</f>
        <v/>
      </c>
      <c r="H17" s="25" t="n"/>
      <c r="I17" s="25" t="n"/>
      <c r="J17" s="25" t="n"/>
      <c r="K17" s="25" t="n"/>
      <c r="L17" s="25" t="n"/>
      <c r="M17" s="25">
        <f>IF(E17="","",F17+G17+H17+I17+J17+K17+L17)</f>
        <v/>
      </c>
      <c r="N17" s="25">
        <f>IF(E17="","",E17-M17)</f>
        <v/>
      </c>
      <c r="O17" s="15" t="n"/>
    </row>
    <row r="18">
      <c r="A18" s="26" t="n"/>
      <c r="B18" s="14" t="n"/>
      <c r="C18" s="14" t="n"/>
      <c r="D18" s="14" t="n"/>
      <c r="E18" s="27" t="n"/>
      <c r="F18" s="27">
        <f>IF(E18="","",E18*0.065)</f>
        <v/>
      </c>
      <c r="G18" s="27">
        <f>IF(E18="","",E18*0.03+0.25)</f>
        <v/>
      </c>
      <c r="H18" s="27" t="n"/>
      <c r="I18" s="27" t="n"/>
      <c r="J18" s="27" t="n"/>
      <c r="K18" s="27" t="n"/>
      <c r="L18" s="27" t="n"/>
      <c r="M18" s="27">
        <f>IF(E18="","",F18+G18+H18+I18+J18+K18+L18)</f>
        <v/>
      </c>
      <c r="N18" s="27">
        <f>IF(E18="","",E18-M18)</f>
        <v/>
      </c>
      <c r="O18" s="14" t="n"/>
    </row>
    <row r="19">
      <c r="A19" s="24" t="n"/>
      <c r="B19" s="15" t="n"/>
      <c r="C19" s="15" t="n"/>
      <c r="D19" s="15" t="n"/>
      <c r="E19" s="25" t="n"/>
      <c r="F19" s="25">
        <f>IF(E19="","",E19*0.065)</f>
        <v/>
      </c>
      <c r="G19" s="25">
        <f>IF(E19="","",E19*0.03+0.25)</f>
        <v/>
      </c>
      <c r="H19" s="25" t="n"/>
      <c r="I19" s="25" t="n"/>
      <c r="J19" s="25" t="n"/>
      <c r="K19" s="25" t="n"/>
      <c r="L19" s="25" t="n"/>
      <c r="M19" s="25">
        <f>IF(E19="","",F19+G19+H19+I19+J19+K19+L19)</f>
        <v/>
      </c>
      <c r="N19" s="25">
        <f>IF(E19="","",E19-M19)</f>
        <v/>
      </c>
      <c r="O19" s="15" t="n"/>
    </row>
    <row r="20">
      <c r="A20" s="26" t="n"/>
      <c r="B20" s="14" t="n"/>
      <c r="C20" s="14" t="n"/>
      <c r="D20" s="14" t="n"/>
      <c r="E20" s="27" t="n"/>
      <c r="F20" s="27">
        <f>IF(E20="","",E20*0.065)</f>
        <v/>
      </c>
      <c r="G20" s="27">
        <f>IF(E20="","",E20*0.03+0.25)</f>
        <v/>
      </c>
      <c r="H20" s="27" t="n"/>
      <c r="I20" s="27" t="n"/>
      <c r="J20" s="27" t="n"/>
      <c r="K20" s="27" t="n"/>
      <c r="L20" s="27" t="n"/>
      <c r="M20" s="27">
        <f>IF(E20="","",F20+G20+H20+I20+J20+K20+L20)</f>
        <v/>
      </c>
      <c r="N20" s="27">
        <f>IF(E20="","",E20-M20)</f>
        <v/>
      </c>
      <c r="O20" s="14" t="n"/>
    </row>
    <row r="21">
      <c r="A21" s="24" t="n"/>
      <c r="B21" s="15" t="n"/>
      <c r="C21" s="15" t="n"/>
      <c r="D21" s="15" t="n"/>
      <c r="E21" s="25" t="n"/>
      <c r="F21" s="25">
        <f>IF(E21="","",E21*0.065)</f>
        <v/>
      </c>
      <c r="G21" s="25">
        <f>IF(E21="","",E21*0.03+0.25)</f>
        <v/>
      </c>
      <c r="H21" s="25" t="n"/>
      <c r="I21" s="25" t="n"/>
      <c r="J21" s="25" t="n"/>
      <c r="K21" s="25" t="n"/>
      <c r="L21" s="25" t="n"/>
      <c r="M21" s="25">
        <f>IF(E21="","",F21+G21+H21+I21+J21+K21+L21)</f>
        <v/>
      </c>
      <c r="N21" s="25">
        <f>IF(E21="","",E21-M21)</f>
        <v/>
      </c>
      <c r="O21" s="15" t="n"/>
    </row>
    <row r="22">
      <c r="A22" s="26" t="n"/>
      <c r="B22" s="14" t="n"/>
      <c r="C22" s="14" t="n"/>
      <c r="D22" s="14" t="n"/>
      <c r="E22" s="27" t="n"/>
      <c r="F22" s="27">
        <f>IF(E22="","",E22*0.065)</f>
        <v/>
      </c>
      <c r="G22" s="27">
        <f>IF(E22="","",E22*0.03+0.25)</f>
        <v/>
      </c>
      <c r="H22" s="27" t="n"/>
      <c r="I22" s="27" t="n"/>
      <c r="J22" s="27" t="n"/>
      <c r="K22" s="27" t="n"/>
      <c r="L22" s="27" t="n"/>
      <c r="M22" s="27">
        <f>IF(E22="","",F22+G22+H22+I22+J22+K22+L22)</f>
        <v/>
      </c>
      <c r="N22" s="27">
        <f>IF(E22="","",E22-M22)</f>
        <v/>
      </c>
      <c r="O22" s="14" t="n"/>
    </row>
    <row r="23">
      <c r="A23" s="24" t="n"/>
      <c r="B23" s="15" t="n"/>
      <c r="C23" s="15" t="n"/>
      <c r="D23" s="15" t="n"/>
      <c r="E23" s="25" t="n"/>
      <c r="F23" s="25">
        <f>IF(E23="","",E23*0.065)</f>
        <v/>
      </c>
      <c r="G23" s="25">
        <f>IF(E23="","",E23*0.03+0.25)</f>
        <v/>
      </c>
      <c r="H23" s="25" t="n"/>
      <c r="I23" s="25" t="n"/>
      <c r="J23" s="25" t="n"/>
      <c r="K23" s="25" t="n"/>
      <c r="L23" s="25" t="n"/>
      <c r="M23" s="25">
        <f>IF(E23="","",F23+G23+H23+I23+J23+K23+L23)</f>
        <v/>
      </c>
      <c r="N23" s="25">
        <f>IF(E23="","",E23-M23)</f>
        <v/>
      </c>
      <c r="O23" s="15" t="n"/>
    </row>
    <row r="24">
      <c r="A24" s="26" t="n"/>
      <c r="B24" s="14" t="n"/>
      <c r="C24" s="14" t="n"/>
      <c r="D24" s="14" t="n"/>
      <c r="E24" s="27" t="n"/>
      <c r="F24" s="27">
        <f>IF(E24="","",E24*0.065)</f>
        <v/>
      </c>
      <c r="G24" s="27">
        <f>IF(E24="","",E24*0.03+0.25)</f>
        <v/>
      </c>
      <c r="H24" s="27" t="n"/>
      <c r="I24" s="27" t="n"/>
      <c r="J24" s="27" t="n"/>
      <c r="K24" s="27" t="n"/>
      <c r="L24" s="27" t="n"/>
      <c r="M24" s="27">
        <f>IF(E24="","",F24+G24+H24+I24+J24+K24+L24)</f>
        <v/>
      </c>
      <c r="N24" s="27">
        <f>IF(E24="","",E24-M24)</f>
        <v/>
      </c>
      <c r="O24" s="14" t="n"/>
    </row>
    <row r="25">
      <c r="A25" s="24" t="n"/>
      <c r="B25" s="15" t="n"/>
      <c r="C25" s="15" t="n"/>
      <c r="D25" s="15" t="n"/>
      <c r="E25" s="25" t="n"/>
      <c r="F25" s="25">
        <f>IF(E25="","",E25*0.065)</f>
        <v/>
      </c>
      <c r="G25" s="25">
        <f>IF(E25="","",E25*0.03+0.25)</f>
        <v/>
      </c>
      <c r="H25" s="25" t="n"/>
      <c r="I25" s="25" t="n"/>
      <c r="J25" s="25" t="n"/>
      <c r="K25" s="25" t="n"/>
      <c r="L25" s="25" t="n"/>
      <c r="M25" s="25">
        <f>IF(E25="","",F25+G25+H25+I25+J25+K25+L25)</f>
        <v/>
      </c>
      <c r="N25" s="25">
        <f>IF(E25="","",E25-M25)</f>
        <v/>
      </c>
      <c r="O25" s="15" t="n"/>
    </row>
    <row r="26">
      <c r="A26" s="26" t="n"/>
      <c r="B26" s="14" t="n"/>
      <c r="C26" s="14" t="n"/>
      <c r="D26" s="14" t="n"/>
      <c r="E26" s="27" t="n"/>
      <c r="F26" s="27">
        <f>IF(E26="","",E26*0.065)</f>
        <v/>
      </c>
      <c r="G26" s="27">
        <f>IF(E26="","",E26*0.03+0.25)</f>
        <v/>
      </c>
      <c r="H26" s="27" t="n"/>
      <c r="I26" s="27" t="n"/>
      <c r="J26" s="27" t="n"/>
      <c r="K26" s="27" t="n"/>
      <c r="L26" s="27" t="n"/>
      <c r="M26" s="27">
        <f>IF(E26="","",F26+G26+H26+I26+J26+K26+L26)</f>
        <v/>
      </c>
      <c r="N26" s="27">
        <f>IF(E26="","",E26-M26)</f>
        <v/>
      </c>
      <c r="O26" s="14" t="n"/>
    </row>
    <row r="27">
      <c r="A27" s="24" t="n"/>
      <c r="B27" s="15" t="n"/>
      <c r="C27" s="15" t="n"/>
      <c r="D27" s="15" t="n"/>
      <c r="E27" s="25" t="n"/>
      <c r="F27" s="25">
        <f>IF(E27="","",E27*0.065)</f>
        <v/>
      </c>
      <c r="G27" s="25">
        <f>IF(E27="","",E27*0.03+0.25)</f>
        <v/>
      </c>
      <c r="H27" s="25" t="n"/>
      <c r="I27" s="25" t="n"/>
      <c r="J27" s="25" t="n"/>
      <c r="K27" s="25" t="n"/>
      <c r="L27" s="25" t="n"/>
      <c r="M27" s="25">
        <f>IF(E27="","",F27+G27+H27+I27+J27+K27+L27)</f>
        <v/>
      </c>
      <c r="N27" s="25">
        <f>IF(E27="","",E27-M27)</f>
        <v/>
      </c>
      <c r="O27" s="15" t="n"/>
    </row>
    <row r="28">
      <c r="A28" s="26" t="n"/>
      <c r="B28" s="14" t="n"/>
      <c r="C28" s="14" t="n"/>
      <c r="D28" s="14" t="n"/>
      <c r="E28" s="27" t="n"/>
      <c r="F28" s="27">
        <f>IF(E28="","",E28*0.065)</f>
        <v/>
      </c>
      <c r="G28" s="27">
        <f>IF(E28="","",E28*0.03+0.25)</f>
        <v/>
      </c>
      <c r="H28" s="27" t="n"/>
      <c r="I28" s="27" t="n"/>
      <c r="J28" s="27" t="n"/>
      <c r="K28" s="27" t="n"/>
      <c r="L28" s="27" t="n"/>
      <c r="M28" s="27">
        <f>IF(E28="","",F28+G28+H28+I28+J28+K28+L28)</f>
        <v/>
      </c>
      <c r="N28" s="27">
        <f>IF(E28="","",E28-M28)</f>
        <v/>
      </c>
      <c r="O28" s="14" t="n"/>
    </row>
    <row r="29">
      <c r="A29" s="24" t="n"/>
      <c r="B29" s="15" t="n"/>
      <c r="C29" s="15" t="n"/>
      <c r="D29" s="15" t="n"/>
      <c r="E29" s="25" t="n"/>
      <c r="F29" s="25">
        <f>IF(E29="","",E29*0.065)</f>
        <v/>
      </c>
      <c r="G29" s="25">
        <f>IF(E29="","",E29*0.03+0.25)</f>
        <v/>
      </c>
      <c r="H29" s="25" t="n"/>
      <c r="I29" s="25" t="n"/>
      <c r="J29" s="25" t="n"/>
      <c r="K29" s="25" t="n"/>
      <c r="L29" s="25" t="n"/>
      <c r="M29" s="25">
        <f>IF(E29="","",F29+G29+H29+I29+J29+K29+L29)</f>
        <v/>
      </c>
      <c r="N29" s="25">
        <f>IF(E29="","",E29-M29)</f>
        <v/>
      </c>
      <c r="O29" s="15" t="n"/>
    </row>
    <row r="30">
      <c r="A30" s="26" t="n"/>
      <c r="B30" s="14" t="n"/>
      <c r="C30" s="14" t="n"/>
      <c r="D30" s="14" t="n"/>
      <c r="E30" s="27" t="n"/>
      <c r="F30" s="27">
        <f>IF(E30="","",E30*0.065)</f>
        <v/>
      </c>
      <c r="G30" s="27">
        <f>IF(E30="","",E30*0.03+0.25)</f>
        <v/>
      </c>
      <c r="H30" s="27" t="n"/>
      <c r="I30" s="27" t="n"/>
      <c r="J30" s="27" t="n"/>
      <c r="K30" s="27" t="n"/>
      <c r="L30" s="27" t="n"/>
      <c r="M30" s="27">
        <f>IF(E30="","",F30+G30+H30+I30+J30+K30+L30)</f>
        <v/>
      </c>
      <c r="N30" s="27">
        <f>IF(E30="","",E30-M30)</f>
        <v/>
      </c>
      <c r="O30" s="14" t="n"/>
    </row>
    <row r="31">
      <c r="A31" s="24" t="n"/>
      <c r="B31" s="15" t="n"/>
      <c r="C31" s="15" t="n"/>
      <c r="D31" s="15" t="n"/>
      <c r="E31" s="25" t="n"/>
      <c r="F31" s="25">
        <f>IF(E31="","",E31*0.065)</f>
        <v/>
      </c>
      <c r="G31" s="25">
        <f>IF(E31="","",E31*0.03+0.25)</f>
        <v/>
      </c>
      <c r="H31" s="25" t="n"/>
      <c r="I31" s="25" t="n"/>
      <c r="J31" s="25" t="n"/>
      <c r="K31" s="25" t="n"/>
      <c r="L31" s="25" t="n"/>
      <c r="M31" s="25">
        <f>IF(E31="","",F31+G31+H31+I31+J31+K31+L31)</f>
        <v/>
      </c>
      <c r="N31" s="25">
        <f>IF(E31="","",E31-M31)</f>
        <v/>
      </c>
      <c r="O31" s="15" t="n"/>
    </row>
    <row r="32">
      <c r="A32" s="26" t="n"/>
      <c r="B32" s="14" t="n"/>
      <c r="C32" s="14" t="n"/>
      <c r="D32" s="14" t="n"/>
      <c r="E32" s="27" t="n"/>
      <c r="F32" s="27">
        <f>IF(E32="","",E32*0.065)</f>
        <v/>
      </c>
      <c r="G32" s="27">
        <f>IF(E32="","",E32*0.03+0.25)</f>
        <v/>
      </c>
      <c r="H32" s="27" t="n"/>
      <c r="I32" s="27" t="n"/>
      <c r="J32" s="27" t="n"/>
      <c r="K32" s="27" t="n"/>
      <c r="L32" s="27" t="n"/>
      <c r="M32" s="27">
        <f>IF(E32="","",F32+G32+H32+I32+J32+K32+L32)</f>
        <v/>
      </c>
      <c r="N32" s="27">
        <f>IF(E32="","",E32-M32)</f>
        <v/>
      </c>
      <c r="O32" s="14" t="n"/>
    </row>
    <row r="33">
      <c r="A33" s="24" t="n"/>
      <c r="B33" s="15" t="n"/>
      <c r="C33" s="15" t="n"/>
      <c r="D33" s="15" t="n"/>
      <c r="E33" s="25" t="n"/>
      <c r="F33" s="25">
        <f>IF(E33="","",E33*0.065)</f>
        <v/>
      </c>
      <c r="G33" s="25">
        <f>IF(E33="","",E33*0.03+0.25)</f>
        <v/>
      </c>
      <c r="H33" s="25" t="n"/>
      <c r="I33" s="25" t="n"/>
      <c r="J33" s="25" t="n"/>
      <c r="K33" s="25" t="n"/>
      <c r="L33" s="25" t="n"/>
      <c r="M33" s="25">
        <f>IF(E33="","",F33+G33+H33+I33+J33+K33+L33)</f>
        <v/>
      </c>
      <c r="N33" s="25">
        <f>IF(E33="","",E33-M33)</f>
        <v/>
      </c>
      <c r="O33" s="15" t="n"/>
    </row>
    <row r="34">
      <c r="A34" s="26" t="n"/>
      <c r="B34" s="14" t="n"/>
      <c r="C34" s="14" t="n"/>
      <c r="D34" s="14" t="n"/>
      <c r="E34" s="27" t="n"/>
      <c r="F34" s="27">
        <f>IF(E34="","",E34*0.065)</f>
        <v/>
      </c>
      <c r="G34" s="27">
        <f>IF(E34="","",E34*0.03+0.25)</f>
        <v/>
      </c>
      <c r="H34" s="27" t="n"/>
      <c r="I34" s="27" t="n"/>
      <c r="J34" s="27" t="n"/>
      <c r="K34" s="27" t="n"/>
      <c r="L34" s="27" t="n"/>
      <c r="M34" s="27">
        <f>IF(E34="","",F34+G34+H34+I34+J34+K34+L34)</f>
        <v/>
      </c>
      <c r="N34" s="27">
        <f>IF(E34="","",E34-M34)</f>
        <v/>
      </c>
      <c r="O34" s="14" t="n"/>
    </row>
    <row r="35">
      <c r="A35" s="24" t="n"/>
      <c r="B35" s="15" t="n"/>
      <c r="C35" s="15" t="n"/>
      <c r="D35" s="15" t="n"/>
      <c r="E35" s="25" t="n"/>
      <c r="F35" s="25">
        <f>IF(E35="","",E35*0.065)</f>
        <v/>
      </c>
      <c r="G35" s="25">
        <f>IF(E35="","",E35*0.03+0.25)</f>
        <v/>
      </c>
      <c r="H35" s="25" t="n"/>
      <c r="I35" s="25" t="n"/>
      <c r="J35" s="25" t="n"/>
      <c r="K35" s="25" t="n"/>
      <c r="L35" s="25" t="n"/>
      <c r="M35" s="25">
        <f>IF(E35="","",F35+G35+H35+I35+J35+K35+L35)</f>
        <v/>
      </c>
      <c r="N35" s="25">
        <f>IF(E35="","",E35-M35)</f>
        <v/>
      </c>
      <c r="O35" s="15" t="n"/>
    </row>
    <row r="36">
      <c r="A36" s="26" t="n"/>
      <c r="B36" s="14" t="n"/>
      <c r="C36" s="14" t="n"/>
      <c r="D36" s="14" t="n"/>
      <c r="E36" s="27" t="n"/>
      <c r="F36" s="27">
        <f>IF(E36="","",E36*0.065)</f>
        <v/>
      </c>
      <c r="G36" s="27">
        <f>IF(E36="","",E36*0.03+0.25)</f>
        <v/>
      </c>
      <c r="H36" s="27" t="n"/>
      <c r="I36" s="27" t="n"/>
      <c r="J36" s="27" t="n"/>
      <c r="K36" s="27" t="n"/>
      <c r="L36" s="27" t="n"/>
      <c r="M36" s="27">
        <f>IF(E36="","",F36+G36+H36+I36+J36+K36+L36)</f>
        <v/>
      </c>
      <c r="N36" s="27">
        <f>IF(E36="","",E36-M36)</f>
        <v/>
      </c>
      <c r="O36" s="14" t="n"/>
    </row>
    <row r="37">
      <c r="A37" s="24" t="n"/>
      <c r="B37" s="15" t="n"/>
      <c r="C37" s="15" t="n"/>
      <c r="D37" s="15" t="n"/>
      <c r="E37" s="25" t="n"/>
      <c r="F37" s="25">
        <f>IF(E37="","",E37*0.065)</f>
        <v/>
      </c>
      <c r="G37" s="25">
        <f>IF(E37="","",E37*0.03+0.25)</f>
        <v/>
      </c>
      <c r="H37" s="25" t="n"/>
      <c r="I37" s="25" t="n"/>
      <c r="J37" s="25" t="n"/>
      <c r="K37" s="25" t="n"/>
      <c r="L37" s="25" t="n"/>
      <c r="M37" s="25">
        <f>IF(E37="","",F37+G37+H37+I37+J37+K37+L37)</f>
        <v/>
      </c>
      <c r="N37" s="25">
        <f>IF(E37="","",E37-M37)</f>
        <v/>
      </c>
      <c r="O37" s="15" t="n"/>
    </row>
    <row r="38">
      <c r="A38" s="26" t="n"/>
      <c r="B38" s="14" t="n"/>
      <c r="C38" s="14" t="n"/>
      <c r="D38" s="14" t="n"/>
      <c r="E38" s="27" t="n"/>
      <c r="F38" s="27">
        <f>IF(E38="","",E38*0.065)</f>
        <v/>
      </c>
      <c r="G38" s="27">
        <f>IF(E38="","",E38*0.03+0.25)</f>
        <v/>
      </c>
      <c r="H38" s="27" t="n"/>
      <c r="I38" s="27" t="n"/>
      <c r="J38" s="27" t="n"/>
      <c r="K38" s="27" t="n"/>
      <c r="L38" s="27" t="n"/>
      <c r="M38" s="27">
        <f>IF(E38="","",F38+G38+H38+I38+J38+K38+L38)</f>
        <v/>
      </c>
      <c r="N38" s="27">
        <f>IF(E38="","",E38-M38)</f>
        <v/>
      </c>
      <c r="O38" s="14" t="n"/>
    </row>
    <row r="39">
      <c r="A39" s="24" t="n"/>
      <c r="B39" s="15" t="n"/>
      <c r="C39" s="15" t="n"/>
      <c r="D39" s="15" t="n"/>
      <c r="E39" s="25" t="n"/>
      <c r="F39" s="25">
        <f>IF(E39="","",E39*0.065)</f>
        <v/>
      </c>
      <c r="G39" s="25">
        <f>IF(E39="","",E39*0.03+0.25)</f>
        <v/>
      </c>
      <c r="H39" s="25" t="n"/>
      <c r="I39" s="25" t="n"/>
      <c r="J39" s="25" t="n"/>
      <c r="K39" s="25" t="n"/>
      <c r="L39" s="25" t="n"/>
      <c r="M39" s="25">
        <f>IF(E39="","",F39+G39+H39+I39+J39+K39+L39)</f>
        <v/>
      </c>
      <c r="N39" s="25">
        <f>IF(E39="","",E39-M39)</f>
        <v/>
      </c>
      <c r="O39" s="15" t="n"/>
    </row>
    <row r="40">
      <c r="A40" s="26" t="n"/>
      <c r="B40" s="14" t="n"/>
      <c r="C40" s="14" t="n"/>
      <c r="D40" s="14" t="n"/>
      <c r="E40" s="27" t="n"/>
      <c r="F40" s="27">
        <f>IF(E40="","",E40*0.065)</f>
        <v/>
      </c>
      <c r="G40" s="27">
        <f>IF(E40="","",E40*0.03+0.25)</f>
        <v/>
      </c>
      <c r="H40" s="27" t="n"/>
      <c r="I40" s="27" t="n"/>
      <c r="J40" s="27" t="n"/>
      <c r="K40" s="27" t="n"/>
      <c r="L40" s="27" t="n"/>
      <c r="M40" s="27">
        <f>IF(E40="","",F40+G40+H40+I40+J40+K40+L40)</f>
        <v/>
      </c>
      <c r="N40" s="27">
        <f>IF(E40="","",E40-M40)</f>
        <v/>
      </c>
      <c r="O40" s="14" t="n"/>
    </row>
    <row r="41">
      <c r="A41" s="24" t="n"/>
      <c r="B41" s="15" t="n"/>
      <c r="C41" s="15" t="n"/>
      <c r="D41" s="15" t="n"/>
      <c r="E41" s="25" t="n"/>
      <c r="F41" s="25">
        <f>IF(E41="","",E41*0.065)</f>
        <v/>
      </c>
      <c r="G41" s="25">
        <f>IF(E41="","",E41*0.03+0.25)</f>
        <v/>
      </c>
      <c r="H41" s="25" t="n"/>
      <c r="I41" s="25" t="n"/>
      <c r="J41" s="25" t="n"/>
      <c r="K41" s="25" t="n"/>
      <c r="L41" s="25" t="n"/>
      <c r="M41" s="25">
        <f>IF(E41="","",F41+G41+H41+I41+J41+K41+L41)</f>
        <v/>
      </c>
      <c r="N41" s="25">
        <f>IF(E41="","",E41-M41)</f>
        <v/>
      </c>
      <c r="O41" s="15" t="n"/>
    </row>
    <row r="42">
      <c r="A42" s="26" t="n"/>
      <c r="B42" s="14" t="n"/>
      <c r="C42" s="14" t="n"/>
      <c r="D42" s="14" t="n"/>
      <c r="E42" s="27" t="n"/>
      <c r="F42" s="27">
        <f>IF(E42="","",E42*0.065)</f>
        <v/>
      </c>
      <c r="G42" s="27">
        <f>IF(E42="","",E42*0.03+0.25)</f>
        <v/>
      </c>
      <c r="H42" s="27" t="n"/>
      <c r="I42" s="27" t="n"/>
      <c r="J42" s="27" t="n"/>
      <c r="K42" s="27" t="n"/>
      <c r="L42" s="27" t="n"/>
      <c r="M42" s="27">
        <f>IF(E42="","",F42+G42+H42+I42+J42+K42+L42)</f>
        <v/>
      </c>
      <c r="N42" s="27">
        <f>IF(E42="","",E42-M42)</f>
        <v/>
      </c>
      <c r="O42" s="14" t="n"/>
    </row>
    <row r="43">
      <c r="A43" s="24" t="n"/>
      <c r="B43" s="15" t="n"/>
      <c r="C43" s="15" t="n"/>
      <c r="D43" s="15" t="n"/>
      <c r="E43" s="25" t="n"/>
      <c r="F43" s="25">
        <f>IF(E43="","",E43*0.065)</f>
        <v/>
      </c>
      <c r="G43" s="25">
        <f>IF(E43="","",E43*0.03+0.25)</f>
        <v/>
      </c>
      <c r="H43" s="25" t="n"/>
      <c r="I43" s="25" t="n"/>
      <c r="J43" s="25" t="n"/>
      <c r="K43" s="25" t="n"/>
      <c r="L43" s="25" t="n"/>
      <c r="M43" s="25">
        <f>IF(E43="","",F43+G43+H43+I43+J43+K43+L43)</f>
        <v/>
      </c>
      <c r="N43" s="25">
        <f>IF(E43="","",E43-M43)</f>
        <v/>
      </c>
      <c r="O43" s="15" t="n"/>
    </row>
    <row r="44">
      <c r="A44" s="26" t="n"/>
      <c r="B44" s="14" t="n"/>
      <c r="C44" s="14" t="n"/>
      <c r="D44" s="14" t="n"/>
      <c r="E44" s="27" t="n"/>
      <c r="F44" s="27">
        <f>IF(E44="","",E44*0.065)</f>
        <v/>
      </c>
      <c r="G44" s="27">
        <f>IF(E44="","",E44*0.03+0.25)</f>
        <v/>
      </c>
      <c r="H44" s="27" t="n"/>
      <c r="I44" s="27" t="n"/>
      <c r="J44" s="27" t="n"/>
      <c r="K44" s="27" t="n"/>
      <c r="L44" s="27" t="n"/>
      <c r="M44" s="27">
        <f>IF(E44="","",F44+G44+H44+I44+J44+K44+L44)</f>
        <v/>
      </c>
      <c r="N44" s="27">
        <f>IF(E44="","",E44-M44)</f>
        <v/>
      </c>
      <c r="O44" s="14" t="n"/>
    </row>
    <row r="45">
      <c r="A45" s="24" t="n"/>
      <c r="B45" s="15" t="n"/>
      <c r="C45" s="15" t="n"/>
      <c r="D45" s="15" t="n"/>
      <c r="E45" s="25" t="n"/>
      <c r="F45" s="25">
        <f>IF(E45="","",E45*0.065)</f>
        <v/>
      </c>
      <c r="G45" s="25">
        <f>IF(E45="","",E45*0.03+0.25)</f>
        <v/>
      </c>
      <c r="H45" s="25" t="n"/>
      <c r="I45" s="25" t="n"/>
      <c r="J45" s="25" t="n"/>
      <c r="K45" s="25" t="n"/>
      <c r="L45" s="25" t="n"/>
      <c r="M45" s="25">
        <f>IF(E45="","",F45+G45+H45+I45+J45+K45+L45)</f>
        <v/>
      </c>
      <c r="N45" s="25">
        <f>IF(E45="","",E45-M45)</f>
        <v/>
      </c>
      <c r="O45" s="15" t="n"/>
    </row>
    <row r="46">
      <c r="A46" s="26" t="n"/>
      <c r="B46" s="14" t="n"/>
      <c r="C46" s="14" t="n"/>
      <c r="D46" s="14" t="n"/>
      <c r="E46" s="27" t="n"/>
      <c r="F46" s="27">
        <f>IF(E46="","",E46*0.065)</f>
        <v/>
      </c>
      <c r="G46" s="27">
        <f>IF(E46="","",E46*0.03+0.25)</f>
        <v/>
      </c>
      <c r="H46" s="27" t="n"/>
      <c r="I46" s="27" t="n"/>
      <c r="J46" s="27" t="n"/>
      <c r="K46" s="27" t="n"/>
      <c r="L46" s="27" t="n"/>
      <c r="M46" s="27">
        <f>IF(E46="","",F46+G46+H46+I46+J46+K46+L46)</f>
        <v/>
      </c>
      <c r="N46" s="27">
        <f>IF(E46="","",E46-M46)</f>
        <v/>
      </c>
      <c r="O46" s="14" t="n"/>
    </row>
    <row r="47">
      <c r="A47" s="24" t="n"/>
      <c r="B47" s="15" t="n"/>
      <c r="C47" s="15" t="n"/>
      <c r="D47" s="15" t="n"/>
      <c r="E47" s="25" t="n"/>
      <c r="F47" s="25">
        <f>IF(E47="","",E47*0.065)</f>
        <v/>
      </c>
      <c r="G47" s="25">
        <f>IF(E47="","",E47*0.03+0.25)</f>
        <v/>
      </c>
      <c r="H47" s="25" t="n"/>
      <c r="I47" s="25" t="n"/>
      <c r="J47" s="25" t="n"/>
      <c r="K47" s="25" t="n"/>
      <c r="L47" s="25" t="n"/>
      <c r="M47" s="25">
        <f>IF(E47="","",F47+G47+H47+I47+J47+K47+L47)</f>
        <v/>
      </c>
      <c r="N47" s="25">
        <f>IF(E47="","",E47-M47)</f>
        <v/>
      </c>
      <c r="O47" s="15" t="n"/>
    </row>
    <row r="48">
      <c r="A48" s="26" t="n"/>
      <c r="B48" s="14" t="n"/>
      <c r="C48" s="14" t="n"/>
      <c r="D48" s="14" t="n"/>
      <c r="E48" s="27" t="n"/>
      <c r="F48" s="27">
        <f>IF(E48="","",E48*0.065)</f>
        <v/>
      </c>
      <c r="G48" s="27">
        <f>IF(E48="","",E48*0.03+0.25)</f>
        <v/>
      </c>
      <c r="H48" s="27" t="n"/>
      <c r="I48" s="27" t="n"/>
      <c r="J48" s="27" t="n"/>
      <c r="K48" s="27" t="n"/>
      <c r="L48" s="27" t="n"/>
      <c r="M48" s="27">
        <f>IF(E48="","",F48+G48+H48+I48+J48+K48+L48)</f>
        <v/>
      </c>
      <c r="N48" s="27">
        <f>IF(E48="","",E48-M48)</f>
        <v/>
      </c>
      <c r="O48" s="14" t="n"/>
    </row>
    <row r="49">
      <c r="A49" s="24" t="n"/>
      <c r="B49" s="15" t="n"/>
      <c r="C49" s="15" t="n"/>
      <c r="D49" s="15" t="n"/>
      <c r="E49" s="25" t="n"/>
      <c r="F49" s="25">
        <f>IF(E49="","",E49*0.065)</f>
        <v/>
      </c>
      <c r="G49" s="25">
        <f>IF(E49="","",E49*0.03+0.25)</f>
        <v/>
      </c>
      <c r="H49" s="25" t="n"/>
      <c r="I49" s="25" t="n"/>
      <c r="J49" s="25" t="n"/>
      <c r="K49" s="25" t="n"/>
      <c r="L49" s="25" t="n"/>
      <c r="M49" s="25">
        <f>IF(E49="","",F49+G49+H49+I49+J49+K49+L49)</f>
        <v/>
      </c>
      <c r="N49" s="25">
        <f>IF(E49="","",E49-M49)</f>
        <v/>
      </c>
      <c r="O49" s="15" t="n"/>
    </row>
    <row r="50">
      <c r="A50" s="26" t="n"/>
      <c r="B50" s="14" t="n"/>
      <c r="C50" s="14" t="n"/>
      <c r="D50" s="14" t="n"/>
      <c r="E50" s="27" t="n"/>
      <c r="F50" s="27">
        <f>IF(E50="","",E50*0.065)</f>
        <v/>
      </c>
      <c r="G50" s="27">
        <f>IF(E50="","",E50*0.03+0.25)</f>
        <v/>
      </c>
      <c r="H50" s="27" t="n"/>
      <c r="I50" s="27" t="n"/>
      <c r="J50" s="27" t="n"/>
      <c r="K50" s="27" t="n"/>
      <c r="L50" s="27" t="n"/>
      <c r="M50" s="27">
        <f>IF(E50="","",F50+G50+H50+I50+J50+K50+L50)</f>
        <v/>
      </c>
      <c r="N50" s="27">
        <f>IF(E50="","",E50-M50)</f>
        <v/>
      </c>
      <c r="O50" s="14" t="n"/>
    </row>
    <row r="51">
      <c r="A51" s="24" t="n"/>
      <c r="B51" s="15" t="n"/>
      <c r="C51" s="15" t="n"/>
      <c r="D51" s="15" t="n"/>
      <c r="E51" s="25" t="n"/>
      <c r="F51" s="25">
        <f>IF(E51="","",E51*0.065)</f>
        <v/>
      </c>
      <c r="G51" s="25">
        <f>IF(E51="","",E51*0.03+0.25)</f>
        <v/>
      </c>
      <c r="H51" s="25" t="n"/>
      <c r="I51" s="25" t="n"/>
      <c r="J51" s="25" t="n"/>
      <c r="K51" s="25" t="n"/>
      <c r="L51" s="25" t="n"/>
      <c r="M51" s="25">
        <f>IF(E51="","",F51+G51+H51+I51+J51+K51+L51)</f>
        <v/>
      </c>
      <c r="N51" s="25">
        <f>IF(E51="","",E51-M51)</f>
        <v/>
      </c>
      <c r="O51" s="15" t="n"/>
    </row>
    <row r="52">
      <c r="A52" s="26" t="n"/>
      <c r="B52" s="14" t="n"/>
      <c r="C52" s="14" t="n"/>
      <c r="D52" s="14" t="n"/>
      <c r="E52" s="27" t="n"/>
      <c r="F52" s="27">
        <f>IF(E52="","",E52*0.065)</f>
        <v/>
      </c>
      <c r="G52" s="27">
        <f>IF(E52="","",E52*0.03+0.25)</f>
        <v/>
      </c>
      <c r="H52" s="27" t="n"/>
      <c r="I52" s="27" t="n"/>
      <c r="J52" s="27" t="n"/>
      <c r="K52" s="27" t="n"/>
      <c r="L52" s="27" t="n"/>
      <c r="M52" s="27">
        <f>IF(E52="","",F52+G52+H52+I52+J52+K52+L52)</f>
        <v/>
      </c>
      <c r="N52" s="27">
        <f>IF(E52="","",E52-M52)</f>
        <v/>
      </c>
      <c r="O52" s="14" t="n"/>
    </row>
    <row r="53">
      <c r="A53" s="24" t="n"/>
      <c r="B53" s="15" t="n"/>
      <c r="C53" s="15" t="n"/>
      <c r="D53" s="15" t="n"/>
      <c r="E53" s="25" t="n"/>
      <c r="F53" s="25">
        <f>IF(E53="","",E53*0.065)</f>
        <v/>
      </c>
      <c r="G53" s="25">
        <f>IF(E53="","",E53*0.03+0.25)</f>
        <v/>
      </c>
      <c r="H53" s="25" t="n"/>
      <c r="I53" s="25" t="n"/>
      <c r="J53" s="25" t="n"/>
      <c r="K53" s="25" t="n"/>
      <c r="L53" s="25" t="n"/>
      <c r="M53" s="25">
        <f>IF(E53="","",F53+G53+H53+I53+J53+K53+L53)</f>
        <v/>
      </c>
      <c r="N53" s="25">
        <f>IF(E53="","",E53-M53)</f>
        <v/>
      </c>
      <c r="O53" s="15" t="n"/>
    </row>
    <row r="54">
      <c r="A54" s="26" t="n"/>
      <c r="B54" s="14" t="n"/>
      <c r="C54" s="14" t="n"/>
      <c r="D54" s="14" t="n"/>
      <c r="E54" s="27" t="n"/>
      <c r="F54" s="27">
        <f>IF(E54="","",E54*0.065)</f>
        <v/>
      </c>
      <c r="G54" s="27">
        <f>IF(E54="","",E54*0.03+0.25)</f>
        <v/>
      </c>
      <c r="H54" s="27" t="n"/>
      <c r="I54" s="27" t="n"/>
      <c r="J54" s="27" t="n"/>
      <c r="K54" s="27" t="n"/>
      <c r="L54" s="27" t="n"/>
      <c r="M54" s="27">
        <f>IF(E54="","",F54+G54+H54+I54+J54+K54+L54)</f>
        <v/>
      </c>
      <c r="N54" s="27">
        <f>IF(E54="","",E54-M54)</f>
        <v/>
      </c>
      <c r="O54" s="14" t="n"/>
    </row>
    <row r="55">
      <c r="A55" s="24" t="n"/>
      <c r="B55" s="15" t="n"/>
      <c r="C55" s="15" t="n"/>
      <c r="D55" s="15" t="n"/>
      <c r="E55" s="25" t="n"/>
      <c r="F55" s="25">
        <f>IF(E55="","",E55*0.065)</f>
        <v/>
      </c>
      <c r="G55" s="25">
        <f>IF(E55="","",E55*0.03+0.25)</f>
        <v/>
      </c>
      <c r="H55" s="25" t="n"/>
      <c r="I55" s="25" t="n"/>
      <c r="J55" s="25" t="n"/>
      <c r="K55" s="25" t="n"/>
      <c r="L55" s="25" t="n"/>
      <c r="M55" s="25">
        <f>IF(E55="","",F55+G55+H55+I55+J55+K55+L55)</f>
        <v/>
      </c>
      <c r="N55" s="25">
        <f>IF(E55="","",E55-M55)</f>
        <v/>
      </c>
      <c r="O55" s="15" t="n"/>
    </row>
    <row r="56">
      <c r="A56" s="26" t="n"/>
      <c r="B56" s="14" t="n"/>
      <c r="C56" s="14" t="n"/>
      <c r="D56" s="14" t="n"/>
      <c r="E56" s="27" t="n"/>
      <c r="F56" s="27">
        <f>IF(E56="","",E56*0.065)</f>
        <v/>
      </c>
      <c r="G56" s="27">
        <f>IF(E56="","",E56*0.03+0.25)</f>
        <v/>
      </c>
      <c r="H56" s="27" t="n"/>
      <c r="I56" s="27" t="n"/>
      <c r="J56" s="27" t="n"/>
      <c r="K56" s="27" t="n"/>
      <c r="L56" s="27" t="n"/>
      <c r="M56" s="27">
        <f>IF(E56="","",F56+G56+H56+I56+J56+K56+L56)</f>
        <v/>
      </c>
      <c r="N56" s="27">
        <f>IF(E56="","",E56-M56)</f>
        <v/>
      </c>
      <c r="O56" s="14" t="n"/>
    </row>
    <row r="57">
      <c r="A57" s="24" t="n"/>
      <c r="B57" s="15" t="n"/>
      <c r="C57" s="15" t="n"/>
      <c r="D57" s="15" t="n"/>
      <c r="E57" s="25" t="n"/>
      <c r="F57" s="25">
        <f>IF(E57="","",E57*0.065)</f>
        <v/>
      </c>
      <c r="G57" s="25">
        <f>IF(E57="","",E57*0.03+0.25)</f>
        <v/>
      </c>
      <c r="H57" s="25" t="n"/>
      <c r="I57" s="25" t="n"/>
      <c r="J57" s="25" t="n"/>
      <c r="K57" s="25" t="n"/>
      <c r="L57" s="25" t="n"/>
      <c r="M57" s="25">
        <f>IF(E57="","",F57+G57+H57+I57+J57+K57+L57)</f>
        <v/>
      </c>
      <c r="N57" s="25">
        <f>IF(E57="","",E57-M57)</f>
        <v/>
      </c>
      <c r="O57" s="15" t="n"/>
    </row>
    <row r="58">
      <c r="A58" s="26" t="n"/>
      <c r="B58" s="14" t="n"/>
      <c r="C58" s="14" t="n"/>
      <c r="D58" s="14" t="n"/>
      <c r="E58" s="27" t="n"/>
      <c r="F58" s="27">
        <f>IF(E58="","",E58*0.065)</f>
        <v/>
      </c>
      <c r="G58" s="27">
        <f>IF(E58="","",E58*0.03+0.25)</f>
        <v/>
      </c>
      <c r="H58" s="27" t="n"/>
      <c r="I58" s="27" t="n"/>
      <c r="J58" s="27" t="n"/>
      <c r="K58" s="27" t="n"/>
      <c r="L58" s="27" t="n"/>
      <c r="M58" s="27">
        <f>IF(E58="","",F58+G58+H58+I58+J58+K58+L58)</f>
        <v/>
      </c>
      <c r="N58" s="27">
        <f>IF(E58="","",E58-M58)</f>
        <v/>
      </c>
      <c r="O58" s="14" t="n"/>
    </row>
    <row r="59">
      <c r="A59" s="24" t="n"/>
      <c r="B59" s="15" t="n"/>
      <c r="C59" s="15" t="n"/>
      <c r="D59" s="15" t="n"/>
      <c r="E59" s="25" t="n"/>
      <c r="F59" s="25">
        <f>IF(E59="","",E59*0.065)</f>
        <v/>
      </c>
      <c r="G59" s="25">
        <f>IF(E59="","",E59*0.03+0.25)</f>
        <v/>
      </c>
      <c r="H59" s="25" t="n"/>
      <c r="I59" s="25" t="n"/>
      <c r="J59" s="25" t="n"/>
      <c r="K59" s="25" t="n"/>
      <c r="L59" s="25" t="n"/>
      <c r="M59" s="25">
        <f>IF(E59="","",F59+G59+H59+I59+J59+K59+L59)</f>
        <v/>
      </c>
      <c r="N59" s="25">
        <f>IF(E59="","",E59-M59)</f>
        <v/>
      </c>
      <c r="O59" s="15" t="n"/>
    </row>
    <row r="60">
      <c r="A60" s="26" t="n"/>
      <c r="B60" s="14" t="n"/>
      <c r="C60" s="14" t="n"/>
      <c r="D60" s="14" t="n"/>
      <c r="E60" s="27" t="n"/>
      <c r="F60" s="27">
        <f>IF(E60="","",E60*0.065)</f>
        <v/>
      </c>
      <c r="G60" s="27">
        <f>IF(E60="","",E60*0.03+0.25)</f>
        <v/>
      </c>
      <c r="H60" s="27" t="n"/>
      <c r="I60" s="27" t="n"/>
      <c r="J60" s="27" t="n"/>
      <c r="K60" s="27" t="n"/>
      <c r="L60" s="27" t="n"/>
      <c r="M60" s="27">
        <f>IF(E60="","",F60+G60+H60+I60+J60+K60+L60)</f>
        <v/>
      </c>
      <c r="N60" s="27">
        <f>IF(E60="","",E60-M60)</f>
        <v/>
      </c>
      <c r="O60" s="14" t="n"/>
    </row>
    <row r="61">
      <c r="A61" s="24" t="n"/>
      <c r="B61" s="15" t="n"/>
      <c r="C61" s="15" t="n"/>
      <c r="D61" s="15" t="n"/>
      <c r="E61" s="25" t="n"/>
      <c r="F61" s="25">
        <f>IF(E61="","",E61*0.065)</f>
        <v/>
      </c>
      <c r="G61" s="25">
        <f>IF(E61="","",E61*0.03+0.25)</f>
        <v/>
      </c>
      <c r="H61" s="25" t="n"/>
      <c r="I61" s="25" t="n"/>
      <c r="J61" s="25" t="n"/>
      <c r="K61" s="25" t="n"/>
      <c r="L61" s="25" t="n"/>
      <c r="M61" s="25">
        <f>IF(E61="","",F61+G61+H61+I61+J61+K61+L61)</f>
        <v/>
      </c>
      <c r="N61" s="25">
        <f>IF(E61="","",E61-M61)</f>
        <v/>
      </c>
      <c r="O61" s="15" t="n"/>
    </row>
    <row r="62">
      <c r="A62" s="26" t="n"/>
      <c r="B62" s="14" t="n"/>
      <c r="C62" s="14" t="n"/>
      <c r="D62" s="14" t="n"/>
      <c r="E62" s="27" t="n"/>
      <c r="F62" s="27">
        <f>IF(E62="","",E62*0.065)</f>
        <v/>
      </c>
      <c r="G62" s="27">
        <f>IF(E62="","",E62*0.03+0.25)</f>
        <v/>
      </c>
      <c r="H62" s="27" t="n"/>
      <c r="I62" s="27" t="n"/>
      <c r="J62" s="27" t="n"/>
      <c r="K62" s="27" t="n"/>
      <c r="L62" s="27" t="n"/>
      <c r="M62" s="27">
        <f>IF(E62="","",F62+G62+H62+I62+J62+K62+L62)</f>
        <v/>
      </c>
      <c r="N62" s="27">
        <f>IF(E62="","",E62-M62)</f>
        <v/>
      </c>
      <c r="O62" s="14" t="n"/>
    </row>
    <row r="63">
      <c r="A63" s="24" t="n"/>
      <c r="B63" s="15" t="n"/>
      <c r="C63" s="15" t="n"/>
      <c r="D63" s="15" t="n"/>
      <c r="E63" s="25" t="n"/>
      <c r="F63" s="25">
        <f>IF(E63="","",E63*0.065)</f>
        <v/>
      </c>
      <c r="G63" s="25">
        <f>IF(E63="","",E63*0.03+0.25)</f>
        <v/>
      </c>
      <c r="H63" s="25" t="n"/>
      <c r="I63" s="25" t="n"/>
      <c r="J63" s="25" t="n"/>
      <c r="K63" s="25" t="n"/>
      <c r="L63" s="25" t="n"/>
      <c r="M63" s="25">
        <f>IF(E63="","",F63+G63+H63+I63+J63+K63+L63)</f>
        <v/>
      </c>
      <c r="N63" s="25">
        <f>IF(E63="","",E63-M63)</f>
        <v/>
      </c>
      <c r="O63" s="15" t="n"/>
    </row>
    <row r="64">
      <c r="A64" s="26" t="n"/>
      <c r="B64" s="14" t="n"/>
      <c r="C64" s="14" t="n"/>
      <c r="D64" s="14" t="n"/>
      <c r="E64" s="27" t="n"/>
      <c r="F64" s="27">
        <f>IF(E64="","",E64*0.065)</f>
        <v/>
      </c>
      <c r="G64" s="27">
        <f>IF(E64="","",E64*0.03+0.25)</f>
        <v/>
      </c>
      <c r="H64" s="27" t="n"/>
      <c r="I64" s="27" t="n"/>
      <c r="J64" s="27" t="n"/>
      <c r="K64" s="27" t="n"/>
      <c r="L64" s="27" t="n"/>
      <c r="M64" s="27">
        <f>IF(E64="","",F64+G64+H64+I64+J64+K64+L64)</f>
        <v/>
      </c>
      <c r="N64" s="27">
        <f>IF(E64="","",E64-M64)</f>
        <v/>
      </c>
      <c r="O64" s="14" t="n"/>
    </row>
    <row r="65">
      <c r="A65" s="24" t="n"/>
      <c r="B65" s="15" t="n"/>
      <c r="C65" s="15" t="n"/>
      <c r="D65" s="15" t="n"/>
      <c r="E65" s="25" t="n"/>
      <c r="F65" s="25">
        <f>IF(E65="","",E65*0.065)</f>
        <v/>
      </c>
      <c r="G65" s="25">
        <f>IF(E65="","",E65*0.03+0.25)</f>
        <v/>
      </c>
      <c r="H65" s="25" t="n"/>
      <c r="I65" s="25" t="n"/>
      <c r="J65" s="25" t="n"/>
      <c r="K65" s="25" t="n"/>
      <c r="L65" s="25" t="n"/>
      <c r="M65" s="25">
        <f>IF(E65="","",F65+G65+H65+I65+J65+K65+L65)</f>
        <v/>
      </c>
      <c r="N65" s="25">
        <f>IF(E65="","",E65-M65)</f>
        <v/>
      </c>
      <c r="O65" s="15" t="n"/>
    </row>
    <row r="66">
      <c r="A66" s="26" t="n"/>
      <c r="B66" s="14" t="n"/>
      <c r="C66" s="14" t="n"/>
      <c r="D66" s="14" t="n"/>
      <c r="E66" s="27" t="n"/>
      <c r="F66" s="27">
        <f>IF(E66="","",E66*0.065)</f>
        <v/>
      </c>
      <c r="G66" s="27">
        <f>IF(E66="","",E66*0.03+0.25)</f>
        <v/>
      </c>
      <c r="H66" s="27" t="n"/>
      <c r="I66" s="27" t="n"/>
      <c r="J66" s="27" t="n"/>
      <c r="K66" s="27" t="n"/>
      <c r="L66" s="27" t="n"/>
      <c r="M66" s="27">
        <f>IF(E66="","",F66+G66+H66+I66+J66+K66+L66)</f>
        <v/>
      </c>
      <c r="N66" s="27">
        <f>IF(E66="","",E66-M66)</f>
        <v/>
      </c>
      <c r="O66" s="14" t="n"/>
    </row>
    <row r="67">
      <c r="A67" s="24" t="n"/>
      <c r="B67" s="15" t="n"/>
      <c r="C67" s="15" t="n"/>
      <c r="D67" s="15" t="n"/>
      <c r="E67" s="25" t="n"/>
      <c r="F67" s="25">
        <f>IF(E67="","",E67*0.065)</f>
        <v/>
      </c>
      <c r="G67" s="25">
        <f>IF(E67="","",E67*0.03+0.25)</f>
        <v/>
      </c>
      <c r="H67" s="25" t="n"/>
      <c r="I67" s="25" t="n"/>
      <c r="J67" s="25" t="n"/>
      <c r="K67" s="25" t="n"/>
      <c r="L67" s="25" t="n"/>
      <c r="M67" s="25">
        <f>IF(E67="","",F67+G67+H67+I67+J67+K67+L67)</f>
        <v/>
      </c>
      <c r="N67" s="25">
        <f>IF(E67="","",E67-M67)</f>
        <v/>
      </c>
      <c r="O67" s="15" t="n"/>
    </row>
    <row r="68">
      <c r="A68" s="26" t="n"/>
      <c r="B68" s="14" t="n"/>
      <c r="C68" s="14" t="n"/>
      <c r="D68" s="14" t="n"/>
      <c r="E68" s="27" t="n"/>
      <c r="F68" s="27">
        <f>IF(E68="","",E68*0.065)</f>
        <v/>
      </c>
      <c r="G68" s="27">
        <f>IF(E68="","",E68*0.03+0.25)</f>
        <v/>
      </c>
      <c r="H68" s="27" t="n"/>
      <c r="I68" s="27" t="n"/>
      <c r="J68" s="27" t="n"/>
      <c r="K68" s="27" t="n"/>
      <c r="L68" s="27" t="n"/>
      <c r="M68" s="27">
        <f>IF(E68="","",F68+G68+H68+I68+J68+K68+L68)</f>
        <v/>
      </c>
      <c r="N68" s="27">
        <f>IF(E68="","",E68-M68)</f>
        <v/>
      </c>
      <c r="O68" s="14" t="n"/>
    </row>
    <row r="69">
      <c r="A69" s="24" t="n"/>
      <c r="B69" s="15" t="n"/>
      <c r="C69" s="15" t="n"/>
      <c r="D69" s="15" t="n"/>
      <c r="E69" s="25" t="n"/>
      <c r="F69" s="25">
        <f>IF(E69="","",E69*0.065)</f>
        <v/>
      </c>
      <c r="G69" s="25">
        <f>IF(E69="","",E69*0.03+0.25)</f>
        <v/>
      </c>
      <c r="H69" s="25" t="n"/>
      <c r="I69" s="25" t="n"/>
      <c r="J69" s="25" t="n"/>
      <c r="K69" s="25" t="n"/>
      <c r="L69" s="25" t="n"/>
      <c r="M69" s="25">
        <f>IF(E69="","",F69+G69+H69+I69+J69+K69+L69)</f>
        <v/>
      </c>
      <c r="N69" s="25">
        <f>IF(E69="","",E69-M69)</f>
        <v/>
      </c>
      <c r="O69" s="15" t="n"/>
    </row>
    <row r="70">
      <c r="A70" s="26" t="n"/>
      <c r="B70" s="14" t="n"/>
      <c r="C70" s="14" t="n"/>
      <c r="D70" s="14" t="n"/>
      <c r="E70" s="27" t="n"/>
      <c r="F70" s="27">
        <f>IF(E70="","",E70*0.065)</f>
        <v/>
      </c>
      <c r="G70" s="27">
        <f>IF(E70="","",E70*0.03+0.25)</f>
        <v/>
      </c>
      <c r="H70" s="27" t="n"/>
      <c r="I70" s="27" t="n"/>
      <c r="J70" s="27" t="n"/>
      <c r="K70" s="27" t="n"/>
      <c r="L70" s="27" t="n"/>
      <c r="M70" s="27">
        <f>IF(E70="","",F70+G70+H70+I70+J70+K70+L70)</f>
        <v/>
      </c>
      <c r="N70" s="27">
        <f>IF(E70="","",E70-M70)</f>
        <v/>
      </c>
      <c r="O70" s="14" t="n"/>
    </row>
    <row r="71">
      <c r="A71" s="24" t="n"/>
      <c r="B71" s="15" t="n"/>
      <c r="C71" s="15" t="n"/>
      <c r="D71" s="15" t="n"/>
      <c r="E71" s="25" t="n"/>
      <c r="F71" s="25">
        <f>IF(E71="","",E71*0.065)</f>
        <v/>
      </c>
      <c r="G71" s="25">
        <f>IF(E71="","",E71*0.03+0.25)</f>
        <v/>
      </c>
      <c r="H71" s="25" t="n"/>
      <c r="I71" s="25" t="n"/>
      <c r="J71" s="25" t="n"/>
      <c r="K71" s="25" t="n"/>
      <c r="L71" s="25" t="n"/>
      <c r="M71" s="25">
        <f>IF(E71="","",F71+G71+H71+I71+J71+K71+L71)</f>
        <v/>
      </c>
      <c r="N71" s="25">
        <f>IF(E71="","",E71-M71)</f>
        <v/>
      </c>
      <c r="O71" s="15" t="n"/>
    </row>
    <row r="72">
      <c r="A72" s="26" t="n"/>
      <c r="B72" s="14" t="n"/>
      <c r="C72" s="14" t="n"/>
      <c r="D72" s="14" t="n"/>
      <c r="E72" s="27" t="n"/>
      <c r="F72" s="27">
        <f>IF(E72="","",E72*0.065)</f>
        <v/>
      </c>
      <c r="G72" s="27">
        <f>IF(E72="","",E72*0.03+0.25)</f>
        <v/>
      </c>
      <c r="H72" s="27" t="n"/>
      <c r="I72" s="27" t="n"/>
      <c r="J72" s="27" t="n"/>
      <c r="K72" s="27" t="n"/>
      <c r="L72" s="27" t="n"/>
      <c r="M72" s="27">
        <f>IF(E72="","",F72+G72+H72+I72+J72+K72+L72)</f>
        <v/>
      </c>
      <c r="N72" s="27">
        <f>IF(E72="","",E72-M72)</f>
        <v/>
      </c>
      <c r="O72" s="14" t="n"/>
    </row>
    <row r="73">
      <c r="A73" s="24" t="n"/>
      <c r="B73" s="15" t="n"/>
      <c r="C73" s="15" t="n"/>
      <c r="D73" s="15" t="n"/>
      <c r="E73" s="25" t="n"/>
      <c r="F73" s="25">
        <f>IF(E73="","",E73*0.065)</f>
        <v/>
      </c>
      <c r="G73" s="25">
        <f>IF(E73="","",E73*0.03+0.25)</f>
        <v/>
      </c>
      <c r="H73" s="25" t="n"/>
      <c r="I73" s="25" t="n"/>
      <c r="J73" s="25" t="n"/>
      <c r="K73" s="25" t="n"/>
      <c r="L73" s="25" t="n"/>
      <c r="M73" s="25">
        <f>IF(E73="","",F73+G73+H73+I73+J73+K73+L73)</f>
        <v/>
      </c>
      <c r="N73" s="25">
        <f>IF(E73="","",E73-M73)</f>
        <v/>
      </c>
      <c r="O73" s="15" t="n"/>
    </row>
    <row r="74">
      <c r="A74" s="26" t="n"/>
      <c r="B74" s="14" t="n"/>
      <c r="C74" s="14" t="n"/>
      <c r="D74" s="14" t="n"/>
      <c r="E74" s="27" t="n"/>
      <c r="F74" s="27">
        <f>IF(E74="","",E74*0.065)</f>
        <v/>
      </c>
      <c r="G74" s="27">
        <f>IF(E74="","",E74*0.03+0.25)</f>
        <v/>
      </c>
      <c r="H74" s="27" t="n"/>
      <c r="I74" s="27" t="n"/>
      <c r="J74" s="27" t="n"/>
      <c r="K74" s="27" t="n"/>
      <c r="L74" s="27" t="n"/>
      <c r="M74" s="27">
        <f>IF(E74="","",F74+G74+H74+I74+J74+K74+L74)</f>
        <v/>
      </c>
      <c r="N74" s="27">
        <f>IF(E74="","",E74-M74)</f>
        <v/>
      </c>
      <c r="O74" s="14" t="n"/>
    </row>
    <row r="75">
      <c r="A75" s="24" t="n"/>
      <c r="B75" s="15" t="n"/>
      <c r="C75" s="15" t="n"/>
      <c r="D75" s="15" t="n"/>
      <c r="E75" s="25" t="n"/>
      <c r="F75" s="25">
        <f>IF(E75="","",E75*0.065)</f>
        <v/>
      </c>
      <c r="G75" s="25">
        <f>IF(E75="","",E75*0.03+0.25)</f>
        <v/>
      </c>
      <c r="H75" s="25" t="n"/>
      <c r="I75" s="25" t="n"/>
      <c r="J75" s="25" t="n"/>
      <c r="K75" s="25" t="n"/>
      <c r="L75" s="25" t="n"/>
      <c r="M75" s="25">
        <f>IF(E75="","",F75+G75+H75+I75+J75+K75+L75)</f>
        <v/>
      </c>
      <c r="N75" s="25">
        <f>IF(E75="","",E75-M75)</f>
        <v/>
      </c>
      <c r="O75" s="15" t="n"/>
    </row>
    <row r="76">
      <c r="A76" s="26" t="n"/>
      <c r="B76" s="14" t="n"/>
      <c r="C76" s="14" t="n"/>
      <c r="D76" s="14" t="n"/>
      <c r="E76" s="27" t="n"/>
      <c r="F76" s="27">
        <f>IF(E76="","",E76*0.065)</f>
        <v/>
      </c>
      <c r="G76" s="27">
        <f>IF(E76="","",E76*0.03+0.25)</f>
        <v/>
      </c>
      <c r="H76" s="27" t="n"/>
      <c r="I76" s="27" t="n"/>
      <c r="J76" s="27" t="n"/>
      <c r="K76" s="27" t="n"/>
      <c r="L76" s="27" t="n"/>
      <c r="M76" s="27">
        <f>IF(E76="","",F76+G76+H76+I76+J76+K76+L76)</f>
        <v/>
      </c>
      <c r="N76" s="27">
        <f>IF(E76="","",E76-M76)</f>
        <v/>
      </c>
      <c r="O76" s="14" t="n"/>
    </row>
    <row r="77">
      <c r="A77" s="24" t="n"/>
      <c r="B77" s="15" t="n"/>
      <c r="C77" s="15" t="n"/>
      <c r="D77" s="15" t="n"/>
      <c r="E77" s="25" t="n"/>
      <c r="F77" s="25">
        <f>IF(E77="","",E77*0.065)</f>
        <v/>
      </c>
      <c r="G77" s="25">
        <f>IF(E77="","",E77*0.03+0.25)</f>
        <v/>
      </c>
      <c r="H77" s="25" t="n"/>
      <c r="I77" s="25" t="n"/>
      <c r="J77" s="25" t="n"/>
      <c r="K77" s="25" t="n"/>
      <c r="L77" s="25" t="n"/>
      <c r="M77" s="25">
        <f>IF(E77="","",F77+G77+H77+I77+J77+K77+L77)</f>
        <v/>
      </c>
      <c r="N77" s="25">
        <f>IF(E77="","",E77-M77)</f>
        <v/>
      </c>
      <c r="O77" s="15" t="n"/>
    </row>
    <row r="78">
      <c r="A78" s="26" t="n"/>
      <c r="B78" s="14" t="n"/>
      <c r="C78" s="14" t="n"/>
      <c r="D78" s="14" t="n"/>
      <c r="E78" s="27" t="n"/>
      <c r="F78" s="27">
        <f>IF(E78="","",E78*0.065)</f>
        <v/>
      </c>
      <c r="G78" s="27">
        <f>IF(E78="","",E78*0.03+0.25)</f>
        <v/>
      </c>
      <c r="H78" s="27" t="n"/>
      <c r="I78" s="27" t="n"/>
      <c r="J78" s="27" t="n"/>
      <c r="K78" s="27" t="n"/>
      <c r="L78" s="27" t="n"/>
      <c r="M78" s="27">
        <f>IF(E78="","",F78+G78+H78+I78+J78+K78+L78)</f>
        <v/>
      </c>
      <c r="N78" s="27">
        <f>IF(E78="","",E78-M78)</f>
        <v/>
      </c>
      <c r="O78" s="14" t="n"/>
    </row>
    <row r="79">
      <c r="A79" s="24" t="n"/>
      <c r="B79" s="15" t="n"/>
      <c r="C79" s="15" t="n"/>
      <c r="D79" s="15" t="n"/>
      <c r="E79" s="25" t="n"/>
      <c r="F79" s="25">
        <f>IF(E79="","",E79*0.065)</f>
        <v/>
      </c>
      <c r="G79" s="25">
        <f>IF(E79="","",E79*0.03+0.25)</f>
        <v/>
      </c>
      <c r="H79" s="25" t="n"/>
      <c r="I79" s="25" t="n"/>
      <c r="J79" s="25" t="n"/>
      <c r="K79" s="25" t="n"/>
      <c r="L79" s="25" t="n"/>
      <c r="M79" s="25">
        <f>IF(E79="","",F79+G79+H79+I79+J79+K79+L79)</f>
        <v/>
      </c>
      <c r="N79" s="25">
        <f>IF(E79="","",E79-M79)</f>
        <v/>
      </c>
      <c r="O79" s="15" t="n"/>
    </row>
    <row r="80">
      <c r="A80" s="26" t="n"/>
      <c r="B80" s="14" t="n"/>
      <c r="C80" s="14" t="n"/>
      <c r="D80" s="14" t="n"/>
      <c r="E80" s="27" t="n"/>
      <c r="F80" s="27">
        <f>IF(E80="","",E80*0.065)</f>
        <v/>
      </c>
      <c r="G80" s="27">
        <f>IF(E80="","",E80*0.03+0.25)</f>
        <v/>
      </c>
      <c r="H80" s="27" t="n"/>
      <c r="I80" s="27" t="n"/>
      <c r="J80" s="27" t="n"/>
      <c r="K80" s="27" t="n"/>
      <c r="L80" s="27" t="n"/>
      <c r="M80" s="27">
        <f>IF(E80="","",F80+G80+H80+I80+J80+K80+L80)</f>
        <v/>
      </c>
      <c r="N80" s="27">
        <f>IF(E80="","",E80-M80)</f>
        <v/>
      </c>
      <c r="O80" s="14" t="n"/>
    </row>
    <row r="81">
      <c r="A81" s="24" t="n"/>
      <c r="B81" s="15" t="n"/>
      <c r="C81" s="15" t="n"/>
      <c r="D81" s="15" t="n"/>
      <c r="E81" s="25" t="n"/>
      <c r="F81" s="25">
        <f>IF(E81="","",E81*0.065)</f>
        <v/>
      </c>
      <c r="G81" s="25">
        <f>IF(E81="","",E81*0.03+0.25)</f>
        <v/>
      </c>
      <c r="H81" s="25" t="n"/>
      <c r="I81" s="25" t="n"/>
      <c r="J81" s="25" t="n"/>
      <c r="K81" s="25" t="n"/>
      <c r="L81" s="25" t="n"/>
      <c r="M81" s="25">
        <f>IF(E81="","",F81+G81+H81+I81+J81+K81+L81)</f>
        <v/>
      </c>
      <c r="N81" s="25">
        <f>IF(E81="","",E81-M81)</f>
        <v/>
      </c>
      <c r="O81" s="15" t="n"/>
    </row>
    <row r="82">
      <c r="A82" s="26" t="n"/>
      <c r="B82" s="14" t="n"/>
      <c r="C82" s="14" t="n"/>
      <c r="D82" s="14" t="n"/>
      <c r="E82" s="27" t="n"/>
      <c r="F82" s="27">
        <f>IF(E82="","",E82*0.065)</f>
        <v/>
      </c>
      <c r="G82" s="27">
        <f>IF(E82="","",E82*0.03+0.25)</f>
        <v/>
      </c>
      <c r="H82" s="27" t="n"/>
      <c r="I82" s="27" t="n"/>
      <c r="J82" s="27" t="n"/>
      <c r="K82" s="27" t="n"/>
      <c r="L82" s="27" t="n"/>
      <c r="M82" s="27">
        <f>IF(E82="","",F82+G82+H82+I82+J82+K82+L82)</f>
        <v/>
      </c>
      <c r="N82" s="27">
        <f>IF(E82="","",E82-M82)</f>
        <v/>
      </c>
      <c r="O82" s="14" t="n"/>
    </row>
    <row r="83">
      <c r="A83" s="24" t="n"/>
      <c r="B83" s="15" t="n"/>
      <c r="C83" s="15" t="n"/>
      <c r="D83" s="15" t="n"/>
      <c r="E83" s="25" t="n"/>
      <c r="F83" s="25">
        <f>IF(E83="","",E83*0.065)</f>
        <v/>
      </c>
      <c r="G83" s="25">
        <f>IF(E83="","",E83*0.03+0.25)</f>
        <v/>
      </c>
      <c r="H83" s="25" t="n"/>
      <c r="I83" s="25" t="n"/>
      <c r="J83" s="25" t="n"/>
      <c r="K83" s="25" t="n"/>
      <c r="L83" s="25" t="n"/>
      <c r="M83" s="25">
        <f>IF(E83="","",F83+G83+H83+I83+J83+K83+L83)</f>
        <v/>
      </c>
      <c r="N83" s="25">
        <f>IF(E83="","",E83-M83)</f>
        <v/>
      </c>
      <c r="O83" s="15" t="n"/>
    </row>
    <row r="84">
      <c r="A84" s="26" t="n"/>
      <c r="B84" s="14" t="n"/>
      <c r="C84" s="14" t="n"/>
      <c r="D84" s="14" t="n"/>
      <c r="E84" s="27" t="n"/>
      <c r="F84" s="27">
        <f>IF(E84="","",E84*0.065)</f>
        <v/>
      </c>
      <c r="G84" s="27">
        <f>IF(E84="","",E84*0.03+0.25)</f>
        <v/>
      </c>
      <c r="H84" s="27" t="n"/>
      <c r="I84" s="27" t="n"/>
      <c r="J84" s="27" t="n"/>
      <c r="K84" s="27" t="n"/>
      <c r="L84" s="27" t="n"/>
      <c r="M84" s="27">
        <f>IF(E84="","",F84+G84+H84+I84+J84+K84+L84)</f>
        <v/>
      </c>
      <c r="N84" s="27">
        <f>IF(E84="","",E84-M84)</f>
        <v/>
      </c>
      <c r="O84" s="14" t="n"/>
    </row>
    <row r="85">
      <c r="A85" s="24" t="n"/>
      <c r="B85" s="15" t="n"/>
      <c r="C85" s="15" t="n"/>
      <c r="D85" s="15" t="n"/>
      <c r="E85" s="25" t="n"/>
      <c r="F85" s="25">
        <f>IF(E85="","",E85*0.065)</f>
        <v/>
      </c>
      <c r="G85" s="25">
        <f>IF(E85="","",E85*0.03+0.25)</f>
        <v/>
      </c>
      <c r="H85" s="25" t="n"/>
      <c r="I85" s="25" t="n"/>
      <c r="J85" s="25" t="n"/>
      <c r="K85" s="25" t="n"/>
      <c r="L85" s="25" t="n"/>
      <c r="M85" s="25">
        <f>IF(E85="","",F85+G85+H85+I85+J85+K85+L85)</f>
        <v/>
      </c>
      <c r="N85" s="25">
        <f>IF(E85="","",E85-M85)</f>
        <v/>
      </c>
      <c r="O85" s="15" t="n"/>
    </row>
    <row r="86">
      <c r="A86" s="26" t="n"/>
      <c r="B86" s="14" t="n"/>
      <c r="C86" s="14" t="n"/>
      <c r="D86" s="14" t="n"/>
      <c r="E86" s="27" t="n"/>
      <c r="F86" s="27">
        <f>IF(E86="","",E86*0.065)</f>
        <v/>
      </c>
      <c r="G86" s="27">
        <f>IF(E86="","",E86*0.03+0.25)</f>
        <v/>
      </c>
      <c r="H86" s="27" t="n"/>
      <c r="I86" s="27" t="n"/>
      <c r="J86" s="27" t="n"/>
      <c r="K86" s="27" t="n"/>
      <c r="L86" s="27" t="n"/>
      <c r="M86" s="27">
        <f>IF(E86="","",F86+G86+H86+I86+J86+K86+L86)</f>
        <v/>
      </c>
      <c r="N86" s="27">
        <f>IF(E86="","",E86-M86)</f>
        <v/>
      </c>
      <c r="O86" s="14" t="n"/>
    </row>
    <row r="87">
      <c r="A87" s="24" t="n"/>
      <c r="B87" s="15" t="n"/>
      <c r="C87" s="15" t="n"/>
      <c r="D87" s="15" t="n"/>
      <c r="E87" s="25" t="n"/>
      <c r="F87" s="25">
        <f>IF(E87="","",E87*0.065)</f>
        <v/>
      </c>
      <c r="G87" s="25">
        <f>IF(E87="","",E87*0.03+0.25)</f>
        <v/>
      </c>
      <c r="H87" s="25" t="n"/>
      <c r="I87" s="25" t="n"/>
      <c r="J87" s="25" t="n"/>
      <c r="K87" s="25" t="n"/>
      <c r="L87" s="25" t="n"/>
      <c r="M87" s="25">
        <f>IF(E87="","",F87+G87+H87+I87+J87+K87+L87)</f>
        <v/>
      </c>
      <c r="N87" s="25">
        <f>IF(E87="","",E87-M87)</f>
        <v/>
      </c>
      <c r="O87" s="15" t="n"/>
    </row>
    <row r="88">
      <c r="A88" s="26" t="n"/>
      <c r="B88" s="14" t="n"/>
      <c r="C88" s="14" t="n"/>
      <c r="D88" s="14" t="n"/>
      <c r="E88" s="27" t="n"/>
      <c r="F88" s="27">
        <f>IF(E88="","",E88*0.065)</f>
        <v/>
      </c>
      <c r="G88" s="27">
        <f>IF(E88="","",E88*0.03+0.25)</f>
        <v/>
      </c>
      <c r="H88" s="27" t="n"/>
      <c r="I88" s="27" t="n"/>
      <c r="J88" s="27" t="n"/>
      <c r="K88" s="27" t="n"/>
      <c r="L88" s="27" t="n"/>
      <c r="M88" s="27">
        <f>IF(E88="","",F88+G88+H88+I88+J88+K88+L88)</f>
        <v/>
      </c>
      <c r="N88" s="27">
        <f>IF(E88="","",E88-M88)</f>
        <v/>
      </c>
      <c r="O88" s="14" t="n"/>
    </row>
    <row r="89">
      <c r="A89" s="24" t="n"/>
      <c r="B89" s="15" t="n"/>
      <c r="C89" s="15" t="n"/>
      <c r="D89" s="15" t="n"/>
      <c r="E89" s="25" t="n"/>
      <c r="F89" s="25">
        <f>IF(E89="","",E89*0.065)</f>
        <v/>
      </c>
      <c r="G89" s="25">
        <f>IF(E89="","",E89*0.03+0.25)</f>
        <v/>
      </c>
      <c r="H89" s="25" t="n"/>
      <c r="I89" s="25" t="n"/>
      <c r="J89" s="25" t="n"/>
      <c r="K89" s="25" t="n"/>
      <c r="L89" s="25" t="n"/>
      <c r="M89" s="25">
        <f>IF(E89="","",F89+G89+H89+I89+J89+K89+L89)</f>
        <v/>
      </c>
      <c r="N89" s="25">
        <f>IF(E89="","",E89-M89)</f>
        <v/>
      </c>
      <c r="O89" s="15" t="n"/>
    </row>
    <row r="90">
      <c r="A90" s="26" t="n"/>
      <c r="B90" s="14" t="n"/>
      <c r="C90" s="14" t="n"/>
      <c r="D90" s="14" t="n"/>
      <c r="E90" s="27" t="n"/>
      <c r="F90" s="27">
        <f>IF(E90="","",E90*0.065)</f>
        <v/>
      </c>
      <c r="G90" s="27">
        <f>IF(E90="","",E90*0.03+0.25)</f>
        <v/>
      </c>
      <c r="H90" s="27" t="n"/>
      <c r="I90" s="27" t="n"/>
      <c r="J90" s="27" t="n"/>
      <c r="K90" s="27" t="n"/>
      <c r="L90" s="27" t="n"/>
      <c r="M90" s="27">
        <f>IF(E90="","",F90+G90+H90+I90+J90+K90+L90)</f>
        <v/>
      </c>
      <c r="N90" s="27">
        <f>IF(E90="","",E90-M90)</f>
        <v/>
      </c>
      <c r="O90" s="14" t="n"/>
    </row>
    <row r="91">
      <c r="A91" s="24" t="n"/>
      <c r="B91" s="15" t="n"/>
      <c r="C91" s="15" t="n"/>
      <c r="D91" s="15" t="n"/>
      <c r="E91" s="25" t="n"/>
      <c r="F91" s="25">
        <f>IF(E91="","",E91*0.065)</f>
        <v/>
      </c>
      <c r="G91" s="25">
        <f>IF(E91="","",E91*0.03+0.25)</f>
        <v/>
      </c>
      <c r="H91" s="25" t="n"/>
      <c r="I91" s="25" t="n"/>
      <c r="J91" s="25" t="n"/>
      <c r="K91" s="25" t="n"/>
      <c r="L91" s="25" t="n"/>
      <c r="M91" s="25">
        <f>IF(E91="","",F91+G91+H91+I91+J91+K91+L91)</f>
        <v/>
      </c>
      <c r="N91" s="25">
        <f>IF(E91="","",E91-M91)</f>
        <v/>
      </c>
      <c r="O91" s="15" t="n"/>
    </row>
    <row r="92">
      <c r="A92" s="26" t="n"/>
      <c r="B92" s="14" t="n"/>
      <c r="C92" s="14" t="n"/>
      <c r="D92" s="14" t="n"/>
      <c r="E92" s="27" t="n"/>
      <c r="F92" s="27">
        <f>IF(E92="","",E92*0.065)</f>
        <v/>
      </c>
      <c r="G92" s="27">
        <f>IF(E92="","",E92*0.03+0.25)</f>
        <v/>
      </c>
      <c r="H92" s="27" t="n"/>
      <c r="I92" s="27" t="n"/>
      <c r="J92" s="27" t="n"/>
      <c r="K92" s="27" t="n"/>
      <c r="L92" s="27" t="n"/>
      <c r="M92" s="27">
        <f>IF(E92="","",F92+G92+H92+I92+J92+K92+L92)</f>
        <v/>
      </c>
      <c r="N92" s="27">
        <f>IF(E92="","",E92-M92)</f>
        <v/>
      </c>
      <c r="O92" s="14" t="n"/>
    </row>
    <row r="93">
      <c r="A93" s="24" t="n"/>
      <c r="B93" s="15" t="n"/>
      <c r="C93" s="15" t="n"/>
      <c r="D93" s="15" t="n"/>
      <c r="E93" s="25" t="n"/>
      <c r="F93" s="25">
        <f>IF(E93="","",E93*0.065)</f>
        <v/>
      </c>
      <c r="G93" s="25">
        <f>IF(E93="","",E93*0.03+0.25)</f>
        <v/>
      </c>
      <c r="H93" s="25" t="n"/>
      <c r="I93" s="25" t="n"/>
      <c r="J93" s="25" t="n"/>
      <c r="K93" s="25" t="n"/>
      <c r="L93" s="25" t="n"/>
      <c r="M93" s="25">
        <f>IF(E93="","",F93+G93+H93+I93+J93+K93+L93)</f>
        <v/>
      </c>
      <c r="N93" s="25">
        <f>IF(E93="","",E93-M93)</f>
        <v/>
      </c>
      <c r="O93" s="15" t="n"/>
    </row>
    <row r="94">
      <c r="A94" s="26" t="n"/>
      <c r="B94" s="14" t="n"/>
      <c r="C94" s="14" t="n"/>
      <c r="D94" s="14" t="n"/>
      <c r="E94" s="27" t="n"/>
      <c r="F94" s="27">
        <f>IF(E94="","",E94*0.065)</f>
        <v/>
      </c>
      <c r="G94" s="27">
        <f>IF(E94="","",E94*0.03+0.25)</f>
        <v/>
      </c>
      <c r="H94" s="27" t="n"/>
      <c r="I94" s="27" t="n"/>
      <c r="J94" s="27" t="n"/>
      <c r="K94" s="27" t="n"/>
      <c r="L94" s="27" t="n"/>
      <c r="M94" s="27">
        <f>IF(E94="","",F94+G94+H94+I94+J94+K94+L94)</f>
        <v/>
      </c>
      <c r="N94" s="27">
        <f>IF(E94="","",E94-M94)</f>
        <v/>
      </c>
      <c r="O94" s="14" t="n"/>
    </row>
    <row r="95">
      <c r="A95" s="24" t="n"/>
      <c r="B95" s="15" t="n"/>
      <c r="C95" s="15" t="n"/>
      <c r="D95" s="15" t="n"/>
      <c r="E95" s="25" t="n"/>
      <c r="F95" s="25">
        <f>IF(E95="","",E95*0.065)</f>
        <v/>
      </c>
      <c r="G95" s="25">
        <f>IF(E95="","",E95*0.03+0.25)</f>
        <v/>
      </c>
      <c r="H95" s="25" t="n"/>
      <c r="I95" s="25" t="n"/>
      <c r="J95" s="25" t="n"/>
      <c r="K95" s="25" t="n"/>
      <c r="L95" s="25" t="n"/>
      <c r="M95" s="25">
        <f>IF(E95="","",F95+G95+H95+I95+J95+K95+L95)</f>
        <v/>
      </c>
      <c r="N95" s="25">
        <f>IF(E95="","",E95-M95)</f>
        <v/>
      </c>
      <c r="O95" s="15" t="n"/>
    </row>
    <row r="96">
      <c r="A96" s="26" t="n"/>
      <c r="B96" s="14" t="n"/>
      <c r="C96" s="14" t="n"/>
      <c r="D96" s="14" t="n"/>
      <c r="E96" s="27" t="n"/>
      <c r="F96" s="27">
        <f>IF(E96="","",E96*0.065)</f>
        <v/>
      </c>
      <c r="G96" s="27">
        <f>IF(E96="","",E96*0.03+0.25)</f>
        <v/>
      </c>
      <c r="H96" s="27" t="n"/>
      <c r="I96" s="27" t="n"/>
      <c r="J96" s="27" t="n"/>
      <c r="K96" s="27" t="n"/>
      <c r="L96" s="27" t="n"/>
      <c r="M96" s="27">
        <f>IF(E96="","",F96+G96+H96+I96+J96+K96+L96)</f>
        <v/>
      </c>
      <c r="N96" s="27">
        <f>IF(E96="","",E96-M96)</f>
        <v/>
      </c>
      <c r="O96" s="14" t="n"/>
    </row>
    <row r="97">
      <c r="A97" s="24" t="n"/>
      <c r="B97" s="15" t="n"/>
      <c r="C97" s="15" t="n"/>
      <c r="D97" s="15" t="n"/>
      <c r="E97" s="25" t="n"/>
      <c r="F97" s="25">
        <f>IF(E97="","",E97*0.065)</f>
        <v/>
      </c>
      <c r="G97" s="25">
        <f>IF(E97="","",E97*0.03+0.25)</f>
        <v/>
      </c>
      <c r="H97" s="25" t="n"/>
      <c r="I97" s="25" t="n"/>
      <c r="J97" s="25" t="n"/>
      <c r="K97" s="25" t="n"/>
      <c r="L97" s="25" t="n"/>
      <c r="M97" s="25">
        <f>IF(E97="","",F97+G97+H97+I97+J97+K97+L97)</f>
        <v/>
      </c>
      <c r="N97" s="25">
        <f>IF(E97="","",E97-M97)</f>
        <v/>
      </c>
      <c r="O97" s="15" t="n"/>
    </row>
    <row r="98">
      <c r="A98" s="26" t="n"/>
      <c r="B98" s="14" t="n"/>
      <c r="C98" s="14" t="n"/>
      <c r="D98" s="14" t="n"/>
      <c r="E98" s="27" t="n"/>
      <c r="F98" s="27">
        <f>IF(E98="","",E98*0.065)</f>
        <v/>
      </c>
      <c r="G98" s="27">
        <f>IF(E98="","",E98*0.03+0.25)</f>
        <v/>
      </c>
      <c r="H98" s="27" t="n"/>
      <c r="I98" s="27" t="n"/>
      <c r="J98" s="27" t="n"/>
      <c r="K98" s="27" t="n"/>
      <c r="L98" s="27" t="n"/>
      <c r="M98" s="27">
        <f>IF(E98="","",F98+G98+H98+I98+J98+K98+L98)</f>
        <v/>
      </c>
      <c r="N98" s="27">
        <f>IF(E98="","",E98-M98)</f>
        <v/>
      </c>
      <c r="O98" s="14" t="n"/>
    </row>
    <row r="99">
      <c r="A99" s="24" t="n"/>
      <c r="B99" s="15" t="n"/>
      <c r="C99" s="15" t="n"/>
      <c r="D99" s="15" t="n"/>
      <c r="E99" s="25" t="n"/>
      <c r="F99" s="25">
        <f>IF(E99="","",E99*0.065)</f>
        <v/>
      </c>
      <c r="G99" s="25">
        <f>IF(E99="","",E99*0.03+0.25)</f>
        <v/>
      </c>
      <c r="H99" s="25" t="n"/>
      <c r="I99" s="25" t="n"/>
      <c r="J99" s="25" t="n"/>
      <c r="K99" s="25" t="n"/>
      <c r="L99" s="25" t="n"/>
      <c r="M99" s="25">
        <f>IF(E99="","",F99+G99+H99+I99+J99+K99+L99)</f>
        <v/>
      </c>
      <c r="N99" s="25">
        <f>IF(E99="","",E99-M99)</f>
        <v/>
      </c>
      <c r="O99" s="15" t="n"/>
    </row>
    <row r="100">
      <c r="A100" s="26" t="n"/>
      <c r="B100" s="14" t="n"/>
      <c r="C100" s="14" t="n"/>
      <c r="D100" s="14" t="n"/>
      <c r="E100" s="27" t="n"/>
      <c r="F100" s="27">
        <f>IF(E100="","",E100*0.065)</f>
        <v/>
      </c>
      <c r="G100" s="27">
        <f>IF(E100="","",E100*0.03+0.25)</f>
        <v/>
      </c>
      <c r="H100" s="27" t="n"/>
      <c r="I100" s="27" t="n"/>
      <c r="J100" s="27" t="n"/>
      <c r="K100" s="27" t="n"/>
      <c r="L100" s="27" t="n"/>
      <c r="M100" s="27">
        <f>IF(E100="","",F100+G100+H100+I100+J100+K100+L100)</f>
        <v/>
      </c>
      <c r="N100" s="27">
        <f>IF(E100="","",E100-M100)</f>
        <v/>
      </c>
      <c r="O100" s="14" t="n"/>
    </row>
    <row r="101">
      <c r="A101" s="24" t="n"/>
      <c r="B101" s="15" t="n"/>
      <c r="C101" s="15" t="n"/>
      <c r="D101" s="15" t="n"/>
      <c r="E101" s="25" t="n"/>
      <c r="F101" s="25">
        <f>IF(E101="","",E101*0.065)</f>
        <v/>
      </c>
      <c r="G101" s="25">
        <f>IF(E101="","",E101*0.03+0.25)</f>
        <v/>
      </c>
      <c r="H101" s="25" t="n"/>
      <c r="I101" s="25" t="n"/>
      <c r="J101" s="25" t="n"/>
      <c r="K101" s="25" t="n"/>
      <c r="L101" s="25" t="n"/>
      <c r="M101" s="25">
        <f>IF(E101="","",F101+G101+H101+I101+J101+K101+L101)</f>
        <v/>
      </c>
      <c r="N101" s="25">
        <f>IF(E101="","",E101-M101)</f>
        <v/>
      </c>
      <c r="O101" s="15" t="n"/>
    </row>
    <row r="102">
      <c r="A102" s="26" t="n"/>
      <c r="B102" s="14" t="n"/>
      <c r="C102" s="14" t="n"/>
      <c r="D102" s="14" t="n"/>
      <c r="E102" s="27" t="n"/>
      <c r="F102" s="27">
        <f>IF(E102="","",E102*0.065)</f>
        <v/>
      </c>
      <c r="G102" s="27">
        <f>IF(E102="","",E102*0.03+0.25)</f>
        <v/>
      </c>
      <c r="H102" s="27" t="n"/>
      <c r="I102" s="27" t="n"/>
      <c r="J102" s="27" t="n"/>
      <c r="K102" s="27" t="n"/>
      <c r="L102" s="27" t="n"/>
      <c r="M102" s="27">
        <f>IF(E102="","",F102+G102+H102+I102+J102+K102+L102)</f>
        <v/>
      </c>
      <c r="N102" s="27">
        <f>IF(E102="","",E102-M102)</f>
        <v/>
      </c>
      <c r="O102" s="14" t="n"/>
    </row>
    <row r="103">
      <c r="A103" s="24" t="n"/>
      <c r="B103" s="15" t="n"/>
      <c r="C103" s="15" t="n"/>
      <c r="D103" s="15" t="n"/>
      <c r="E103" s="25" t="n"/>
      <c r="F103" s="25">
        <f>IF(E103="","",E103*0.065)</f>
        <v/>
      </c>
      <c r="G103" s="25">
        <f>IF(E103="","",E103*0.03+0.25)</f>
        <v/>
      </c>
      <c r="H103" s="25" t="n"/>
      <c r="I103" s="25" t="n"/>
      <c r="J103" s="25" t="n"/>
      <c r="K103" s="25" t="n"/>
      <c r="L103" s="25" t="n"/>
      <c r="M103" s="25">
        <f>IF(E103="","",F103+G103+H103+I103+J103+K103+L103)</f>
        <v/>
      </c>
      <c r="N103" s="25">
        <f>IF(E103="","",E103-M103)</f>
        <v/>
      </c>
      <c r="O103" s="15" t="n"/>
    </row>
    <row r="104">
      <c r="A104" s="26" t="n"/>
      <c r="B104" s="14" t="n"/>
      <c r="C104" s="14" t="n"/>
      <c r="D104" s="14" t="n"/>
      <c r="E104" s="27" t="n"/>
      <c r="F104" s="27">
        <f>IF(E104="","",E104*0.065)</f>
        <v/>
      </c>
      <c r="G104" s="27">
        <f>IF(E104="","",E104*0.03+0.25)</f>
        <v/>
      </c>
      <c r="H104" s="27" t="n"/>
      <c r="I104" s="27" t="n"/>
      <c r="J104" s="27" t="n"/>
      <c r="K104" s="27" t="n"/>
      <c r="L104" s="27" t="n"/>
      <c r="M104" s="27">
        <f>IF(E104="","",F104+G104+H104+I104+J104+K104+L104)</f>
        <v/>
      </c>
      <c r="N104" s="27">
        <f>IF(E104="","",E104-M104)</f>
        <v/>
      </c>
      <c r="O104" s="14" t="n"/>
    </row>
    <row r="105">
      <c r="A105" s="24" t="n"/>
      <c r="B105" s="15" t="n"/>
      <c r="C105" s="15" t="n"/>
      <c r="D105" s="15" t="n"/>
      <c r="E105" s="25" t="n"/>
      <c r="F105" s="25">
        <f>IF(E105="","",E105*0.065)</f>
        <v/>
      </c>
      <c r="G105" s="25">
        <f>IF(E105="","",E105*0.03+0.25)</f>
        <v/>
      </c>
      <c r="H105" s="25" t="n"/>
      <c r="I105" s="25" t="n"/>
      <c r="J105" s="25" t="n"/>
      <c r="K105" s="25" t="n"/>
      <c r="L105" s="25" t="n"/>
      <c r="M105" s="25">
        <f>IF(E105="","",F105+G105+H105+I105+J105+K105+L105)</f>
        <v/>
      </c>
      <c r="N105" s="25">
        <f>IF(E105="","",E105-M105)</f>
        <v/>
      </c>
      <c r="O105" s="15" t="n"/>
    </row>
    <row r="106">
      <c r="A106" s="26" t="n"/>
      <c r="B106" s="14" t="n"/>
      <c r="C106" s="14" t="n"/>
      <c r="D106" s="14" t="n"/>
      <c r="E106" s="27" t="n"/>
      <c r="F106" s="27">
        <f>IF(E106="","",E106*0.065)</f>
        <v/>
      </c>
      <c r="G106" s="27">
        <f>IF(E106="","",E106*0.03+0.25)</f>
        <v/>
      </c>
      <c r="H106" s="27" t="n"/>
      <c r="I106" s="27" t="n"/>
      <c r="J106" s="27" t="n"/>
      <c r="K106" s="27" t="n"/>
      <c r="L106" s="27" t="n"/>
      <c r="M106" s="27">
        <f>IF(E106="","",F106+G106+H106+I106+J106+K106+L106)</f>
        <v/>
      </c>
      <c r="N106" s="27">
        <f>IF(E106="","",E106-M106)</f>
        <v/>
      </c>
      <c r="O106" s="14" t="n"/>
    </row>
    <row r="107">
      <c r="A107" s="24" t="n"/>
      <c r="B107" s="15" t="n"/>
      <c r="C107" s="15" t="n"/>
      <c r="D107" s="15" t="n"/>
      <c r="E107" s="25" t="n"/>
      <c r="F107" s="25">
        <f>IF(E107="","",E107*0.065)</f>
        <v/>
      </c>
      <c r="G107" s="25">
        <f>IF(E107="","",E107*0.03+0.25)</f>
        <v/>
      </c>
      <c r="H107" s="25" t="n"/>
      <c r="I107" s="25" t="n"/>
      <c r="J107" s="25" t="n"/>
      <c r="K107" s="25" t="n"/>
      <c r="L107" s="25" t="n"/>
      <c r="M107" s="25">
        <f>IF(E107="","",F107+G107+H107+I107+J107+K107+L107)</f>
        <v/>
      </c>
      <c r="N107" s="25">
        <f>IF(E107="","",E107-M107)</f>
        <v/>
      </c>
      <c r="O107" s="15" t="n"/>
    </row>
    <row r="108">
      <c r="A108" s="26" t="n"/>
      <c r="B108" s="14" t="n"/>
      <c r="C108" s="14" t="n"/>
      <c r="D108" s="14" t="n"/>
      <c r="E108" s="27" t="n"/>
      <c r="F108" s="27">
        <f>IF(E108="","",E108*0.065)</f>
        <v/>
      </c>
      <c r="G108" s="27">
        <f>IF(E108="","",E108*0.03+0.25)</f>
        <v/>
      </c>
      <c r="H108" s="27" t="n"/>
      <c r="I108" s="27" t="n"/>
      <c r="J108" s="27" t="n"/>
      <c r="K108" s="27" t="n"/>
      <c r="L108" s="27" t="n"/>
      <c r="M108" s="27">
        <f>IF(E108="","",F108+G108+H108+I108+J108+K108+L108)</f>
        <v/>
      </c>
      <c r="N108" s="27">
        <f>IF(E108="","",E108-M108)</f>
        <v/>
      </c>
      <c r="O108" s="14" t="n"/>
    </row>
    <row r="109">
      <c r="A109" s="24" t="n"/>
      <c r="B109" s="15" t="n"/>
      <c r="C109" s="15" t="n"/>
      <c r="D109" s="15" t="n"/>
      <c r="E109" s="25" t="n"/>
      <c r="F109" s="25">
        <f>IF(E109="","",E109*0.065)</f>
        <v/>
      </c>
      <c r="G109" s="25">
        <f>IF(E109="","",E109*0.03+0.25)</f>
        <v/>
      </c>
      <c r="H109" s="25" t="n"/>
      <c r="I109" s="25" t="n"/>
      <c r="J109" s="25" t="n"/>
      <c r="K109" s="25" t="n"/>
      <c r="L109" s="25" t="n"/>
      <c r="M109" s="25">
        <f>IF(E109="","",F109+G109+H109+I109+J109+K109+L109)</f>
        <v/>
      </c>
      <c r="N109" s="25">
        <f>IF(E109="","",E109-M109)</f>
        <v/>
      </c>
      <c r="O109" s="15" t="n"/>
    </row>
    <row r="110">
      <c r="A110" s="26" t="n"/>
      <c r="B110" s="14" t="n"/>
      <c r="C110" s="14" t="n"/>
      <c r="D110" s="14" t="n"/>
      <c r="E110" s="27" t="n"/>
      <c r="F110" s="27">
        <f>IF(E110="","",E110*0.065)</f>
        <v/>
      </c>
      <c r="G110" s="27">
        <f>IF(E110="","",E110*0.03+0.25)</f>
        <v/>
      </c>
      <c r="H110" s="27" t="n"/>
      <c r="I110" s="27" t="n"/>
      <c r="J110" s="27" t="n"/>
      <c r="K110" s="27" t="n"/>
      <c r="L110" s="27" t="n"/>
      <c r="M110" s="27">
        <f>IF(E110="","",F110+G110+H110+I110+J110+K110+L110)</f>
        <v/>
      </c>
      <c r="N110" s="27">
        <f>IF(E110="","",E110-M110)</f>
        <v/>
      </c>
      <c r="O110" s="14" t="n"/>
    </row>
    <row r="111">
      <c r="A111" s="24" t="n"/>
      <c r="B111" s="15" t="n"/>
      <c r="C111" s="15" t="n"/>
      <c r="D111" s="15" t="n"/>
      <c r="E111" s="25" t="n"/>
      <c r="F111" s="25">
        <f>IF(E111="","",E111*0.065)</f>
        <v/>
      </c>
      <c r="G111" s="25">
        <f>IF(E111="","",E111*0.03+0.25)</f>
        <v/>
      </c>
      <c r="H111" s="25" t="n"/>
      <c r="I111" s="25" t="n"/>
      <c r="J111" s="25" t="n"/>
      <c r="K111" s="25" t="n"/>
      <c r="L111" s="25" t="n"/>
      <c r="M111" s="25">
        <f>IF(E111="","",F111+G111+H111+I111+J111+K111+L111)</f>
        <v/>
      </c>
      <c r="N111" s="25">
        <f>IF(E111="","",E111-M111)</f>
        <v/>
      </c>
      <c r="O111" s="15" t="n"/>
    </row>
    <row r="112">
      <c r="A112" s="26" t="n"/>
      <c r="B112" s="14" t="n"/>
      <c r="C112" s="14" t="n"/>
      <c r="D112" s="14" t="n"/>
      <c r="E112" s="27" t="n"/>
      <c r="F112" s="27">
        <f>IF(E112="","",E112*0.065)</f>
        <v/>
      </c>
      <c r="G112" s="27">
        <f>IF(E112="","",E112*0.03+0.25)</f>
        <v/>
      </c>
      <c r="H112" s="27" t="n"/>
      <c r="I112" s="27" t="n"/>
      <c r="J112" s="27" t="n"/>
      <c r="K112" s="27" t="n"/>
      <c r="L112" s="27" t="n"/>
      <c r="M112" s="27">
        <f>IF(E112="","",F112+G112+H112+I112+J112+K112+L112)</f>
        <v/>
      </c>
      <c r="N112" s="27">
        <f>IF(E112="","",E112-M112)</f>
        <v/>
      </c>
      <c r="O112" s="14" t="n"/>
    </row>
    <row r="113">
      <c r="A113" s="24" t="n"/>
      <c r="B113" s="15" t="n"/>
      <c r="C113" s="15" t="n"/>
      <c r="D113" s="15" t="n"/>
      <c r="E113" s="25" t="n"/>
      <c r="F113" s="25">
        <f>IF(E113="","",E113*0.065)</f>
        <v/>
      </c>
      <c r="G113" s="25">
        <f>IF(E113="","",E113*0.03+0.25)</f>
        <v/>
      </c>
      <c r="H113" s="25" t="n"/>
      <c r="I113" s="25" t="n"/>
      <c r="J113" s="25" t="n"/>
      <c r="K113" s="25" t="n"/>
      <c r="L113" s="25" t="n"/>
      <c r="M113" s="25">
        <f>IF(E113="","",F113+G113+H113+I113+J113+K113+L113)</f>
        <v/>
      </c>
      <c r="N113" s="25">
        <f>IF(E113="","",E113-M113)</f>
        <v/>
      </c>
      <c r="O113" s="15" t="n"/>
    </row>
    <row r="114">
      <c r="A114" s="26" t="n"/>
      <c r="B114" s="14" t="n"/>
      <c r="C114" s="14" t="n"/>
      <c r="D114" s="14" t="n"/>
      <c r="E114" s="27" t="n"/>
      <c r="F114" s="27">
        <f>IF(E114="","",E114*0.065)</f>
        <v/>
      </c>
      <c r="G114" s="27">
        <f>IF(E114="","",E114*0.03+0.25)</f>
        <v/>
      </c>
      <c r="H114" s="27" t="n"/>
      <c r="I114" s="27" t="n"/>
      <c r="J114" s="27" t="n"/>
      <c r="K114" s="27" t="n"/>
      <c r="L114" s="27" t="n"/>
      <c r="M114" s="27">
        <f>IF(E114="","",F114+G114+H114+I114+J114+K114+L114)</f>
        <v/>
      </c>
      <c r="N114" s="27">
        <f>IF(E114="","",E114-M114)</f>
        <v/>
      </c>
      <c r="O114" s="14" t="n"/>
    </row>
    <row r="115">
      <c r="A115" s="24" t="n"/>
      <c r="B115" s="15" t="n"/>
      <c r="C115" s="15" t="n"/>
      <c r="D115" s="15" t="n"/>
      <c r="E115" s="25" t="n"/>
      <c r="F115" s="25">
        <f>IF(E115="","",E115*0.065)</f>
        <v/>
      </c>
      <c r="G115" s="25">
        <f>IF(E115="","",E115*0.03+0.25)</f>
        <v/>
      </c>
      <c r="H115" s="25" t="n"/>
      <c r="I115" s="25" t="n"/>
      <c r="J115" s="25" t="n"/>
      <c r="K115" s="25" t="n"/>
      <c r="L115" s="25" t="n"/>
      <c r="M115" s="25">
        <f>IF(E115="","",F115+G115+H115+I115+J115+K115+L115)</f>
        <v/>
      </c>
      <c r="N115" s="25">
        <f>IF(E115="","",E115-M115)</f>
        <v/>
      </c>
      <c r="O115" s="15" t="n"/>
    </row>
    <row r="116">
      <c r="A116" s="26" t="n"/>
      <c r="B116" s="14" t="n"/>
      <c r="C116" s="14" t="n"/>
      <c r="D116" s="14" t="n"/>
      <c r="E116" s="27" t="n"/>
      <c r="F116" s="27">
        <f>IF(E116="","",E116*0.065)</f>
        <v/>
      </c>
      <c r="G116" s="27">
        <f>IF(E116="","",E116*0.03+0.25)</f>
        <v/>
      </c>
      <c r="H116" s="27" t="n"/>
      <c r="I116" s="27" t="n"/>
      <c r="J116" s="27" t="n"/>
      <c r="K116" s="27" t="n"/>
      <c r="L116" s="27" t="n"/>
      <c r="M116" s="27">
        <f>IF(E116="","",F116+G116+H116+I116+J116+K116+L116)</f>
        <v/>
      </c>
      <c r="N116" s="27">
        <f>IF(E116="","",E116-M116)</f>
        <v/>
      </c>
      <c r="O116" s="14" t="n"/>
    </row>
    <row r="117">
      <c r="A117" s="24" t="n"/>
      <c r="B117" s="15" t="n"/>
      <c r="C117" s="15" t="n"/>
      <c r="D117" s="15" t="n"/>
      <c r="E117" s="25" t="n"/>
      <c r="F117" s="25">
        <f>IF(E117="","",E117*0.065)</f>
        <v/>
      </c>
      <c r="G117" s="25">
        <f>IF(E117="","",E117*0.03+0.25)</f>
        <v/>
      </c>
      <c r="H117" s="25" t="n"/>
      <c r="I117" s="25" t="n"/>
      <c r="J117" s="25" t="n"/>
      <c r="K117" s="25" t="n"/>
      <c r="L117" s="25" t="n"/>
      <c r="M117" s="25">
        <f>IF(E117="","",F117+G117+H117+I117+J117+K117+L117)</f>
        <v/>
      </c>
      <c r="N117" s="25">
        <f>IF(E117="","",E117-M117)</f>
        <v/>
      </c>
      <c r="O117" s="15" t="n"/>
    </row>
    <row r="118">
      <c r="A118" s="26" t="n"/>
      <c r="B118" s="14" t="n"/>
      <c r="C118" s="14" t="n"/>
      <c r="D118" s="14" t="n"/>
      <c r="E118" s="27" t="n"/>
      <c r="F118" s="27">
        <f>IF(E118="","",E118*0.065)</f>
        <v/>
      </c>
      <c r="G118" s="27">
        <f>IF(E118="","",E118*0.03+0.25)</f>
        <v/>
      </c>
      <c r="H118" s="27" t="n"/>
      <c r="I118" s="27" t="n"/>
      <c r="J118" s="27" t="n"/>
      <c r="K118" s="27" t="n"/>
      <c r="L118" s="27" t="n"/>
      <c r="M118" s="27">
        <f>IF(E118="","",F118+G118+H118+I118+J118+K118+L118)</f>
        <v/>
      </c>
      <c r="N118" s="27">
        <f>IF(E118="","",E118-M118)</f>
        <v/>
      </c>
      <c r="O118" s="14" t="n"/>
    </row>
    <row r="119">
      <c r="A119" s="24" t="n"/>
      <c r="B119" s="15" t="n"/>
      <c r="C119" s="15" t="n"/>
      <c r="D119" s="15" t="n"/>
      <c r="E119" s="25" t="n"/>
      <c r="F119" s="25">
        <f>IF(E119="","",E119*0.065)</f>
        <v/>
      </c>
      <c r="G119" s="25">
        <f>IF(E119="","",E119*0.03+0.25)</f>
        <v/>
      </c>
      <c r="H119" s="25" t="n"/>
      <c r="I119" s="25" t="n"/>
      <c r="J119" s="25" t="n"/>
      <c r="K119" s="25" t="n"/>
      <c r="L119" s="25" t="n"/>
      <c r="M119" s="25">
        <f>IF(E119="","",F119+G119+H119+I119+J119+K119+L119)</f>
        <v/>
      </c>
      <c r="N119" s="25">
        <f>IF(E119="","",E119-M119)</f>
        <v/>
      </c>
      <c r="O119" s="15" t="n"/>
    </row>
    <row r="120">
      <c r="A120" s="26" t="n"/>
      <c r="B120" s="14" t="n"/>
      <c r="C120" s="14" t="n"/>
      <c r="D120" s="14" t="n"/>
      <c r="E120" s="27" t="n"/>
      <c r="F120" s="27">
        <f>IF(E120="","",E120*0.065)</f>
        <v/>
      </c>
      <c r="G120" s="27">
        <f>IF(E120="","",E120*0.03+0.25)</f>
        <v/>
      </c>
      <c r="H120" s="27" t="n"/>
      <c r="I120" s="27" t="n"/>
      <c r="J120" s="27" t="n"/>
      <c r="K120" s="27" t="n"/>
      <c r="L120" s="27" t="n"/>
      <c r="M120" s="27">
        <f>IF(E120="","",F120+G120+H120+I120+J120+K120+L120)</f>
        <v/>
      </c>
      <c r="N120" s="27">
        <f>IF(E120="","",E120-M120)</f>
        <v/>
      </c>
      <c r="O120" s="14" t="n"/>
    </row>
    <row r="121">
      <c r="A121" s="24" t="n"/>
      <c r="B121" s="15" t="n"/>
      <c r="C121" s="15" t="n"/>
      <c r="D121" s="15" t="n"/>
      <c r="E121" s="25" t="n"/>
      <c r="F121" s="25">
        <f>IF(E121="","",E121*0.065)</f>
        <v/>
      </c>
      <c r="G121" s="25">
        <f>IF(E121="","",E121*0.03+0.25)</f>
        <v/>
      </c>
      <c r="H121" s="25" t="n"/>
      <c r="I121" s="25" t="n"/>
      <c r="J121" s="25" t="n"/>
      <c r="K121" s="25" t="n"/>
      <c r="L121" s="25" t="n"/>
      <c r="M121" s="25">
        <f>IF(E121="","",F121+G121+H121+I121+J121+K121+L121)</f>
        <v/>
      </c>
      <c r="N121" s="25">
        <f>IF(E121="","",E121-M121)</f>
        <v/>
      </c>
      <c r="O121" s="15" t="n"/>
    </row>
    <row r="122">
      <c r="A122" s="26" t="n"/>
      <c r="B122" s="14" t="n"/>
      <c r="C122" s="14" t="n"/>
      <c r="D122" s="14" t="n"/>
      <c r="E122" s="27" t="n"/>
      <c r="F122" s="27">
        <f>IF(E122="","",E122*0.065)</f>
        <v/>
      </c>
      <c r="G122" s="27">
        <f>IF(E122="","",E122*0.03+0.25)</f>
        <v/>
      </c>
      <c r="H122" s="27" t="n"/>
      <c r="I122" s="27" t="n"/>
      <c r="J122" s="27" t="n"/>
      <c r="K122" s="27" t="n"/>
      <c r="L122" s="27" t="n"/>
      <c r="M122" s="27">
        <f>IF(E122="","",F122+G122+H122+I122+J122+K122+L122)</f>
        <v/>
      </c>
      <c r="N122" s="27">
        <f>IF(E122="","",E122-M122)</f>
        <v/>
      </c>
      <c r="O122" s="14" t="n"/>
    </row>
    <row r="123">
      <c r="A123" s="24" t="n"/>
      <c r="B123" s="15" t="n"/>
      <c r="C123" s="15" t="n"/>
      <c r="D123" s="15" t="n"/>
      <c r="E123" s="25" t="n"/>
      <c r="F123" s="25">
        <f>IF(E123="","",E123*0.065)</f>
        <v/>
      </c>
      <c r="G123" s="25">
        <f>IF(E123="","",E123*0.03+0.25)</f>
        <v/>
      </c>
      <c r="H123" s="25" t="n"/>
      <c r="I123" s="25" t="n"/>
      <c r="J123" s="25" t="n"/>
      <c r="K123" s="25" t="n"/>
      <c r="L123" s="25" t="n"/>
      <c r="M123" s="25">
        <f>IF(E123="","",F123+G123+H123+I123+J123+K123+L123)</f>
        <v/>
      </c>
      <c r="N123" s="25">
        <f>IF(E123="","",E123-M123)</f>
        <v/>
      </c>
      <c r="O123" s="15" t="n"/>
    </row>
    <row r="124">
      <c r="A124" s="26" t="n"/>
      <c r="B124" s="14" t="n"/>
      <c r="C124" s="14" t="n"/>
      <c r="D124" s="14" t="n"/>
      <c r="E124" s="27" t="n"/>
      <c r="F124" s="27">
        <f>IF(E124="","",E124*0.065)</f>
        <v/>
      </c>
      <c r="G124" s="27">
        <f>IF(E124="","",E124*0.03+0.25)</f>
        <v/>
      </c>
      <c r="H124" s="27" t="n"/>
      <c r="I124" s="27" t="n"/>
      <c r="J124" s="27" t="n"/>
      <c r="K124" s="27" t="n"/>
      <c r="L124" s="27" t="n"/>
      <c r="M124" s="27">
        <f>IF(E124="","",F124+G124+H124+I124+J124+K124+L124)</f>
        <v/>
      </c>
      <c r="N124" s="27">
        <f>IF(E124="","",E124-M124)</f>
        <v/>
      </c>
      <c r="O124" s="14" t="n"/>
    </row>
    <row r="125">
      <c r="A125" s="24" t="n"/>
      <c r="B125" s="15" t="n"/>
      <c r="C125" s="15" t="n"/>
      <c r="D125" s="15" t="n"/>
      <c r="E125" s="25" t="n"/>
      <c r="F125" s="25">
        <f>IF(E125="","",E125*0.065)</f>
        <v/>
      </c>
      <c r="G125" s="25">
        <f>IF(E125="","",E125*0.03+0.25)</f>
        <v/>
      </c>
      <c r="H125" s="25" t="n"/>
      <c r="I125" s="25" t="n"/>
      <c r="J125" s="25" t="n"/>
      <c r="K125" s="25" t="n"/>
      <c r="L125" s="25" t="n"/>
      <c r="M125" s="25">
        <f>IF(E125="","",F125+G125+H125+I125+J125+K125+L125)</f>
        <v/>
      </c>
      <c r="N125" s="25">
        <f>IF(E125="","",E125-M125)</f>
        <v/>
      </c>
      <c r="O125" s="15" t="n"/>
    </row>
    <row r="126">
      <c r="A126" s="26" t="n"/>
      <c r="B126" s="14" t="n"/>
      <c r="C126" s="14" t="n"/>
      <c r="D126" s="14" t="n"/>
      <c r="E126" s="27" t="n"/>
      <c r="F126" s="27">
        <f>IF(E126="","",E126*0.065)</f>
        <v/>
      </c>
      <c r="G126" s="27">
        <f>IF(E126="","",E126*0.03+0.25)</f>
        <v/>
      </c>
      <c r="H126" s="27" t="n"/>
      <c r="I126" s="27" t="n"/>
      <c r="J126" s="27" t="n"/>
      <c r="K126" s="27" t="n"/>
      <c r="L126" s="27" t="n"/>
      <c r="M126" s="27">
        <f>IF(E126="","",F126+G126+H126+I126+J126+K126+L126)</f>
        <v/>
      </c>
      <c r="N126" s="27">
        <f>IF(E126="","",E126-M126)</f>
        <v/>
      </c>
      <c r="O126" s="14" t="n"/>
    </row>
    <row r="127">
      <c r="A127" s="24" t="n"/>
      <c r="B127" s="15" t="n"/>
      <c r="C127" s="15" t="n"/>
      <c r="D127" s="15" t="n"/>
      <c r="E127" s="25" t="n"/>
      <c r="F127" s="25">
        <f>IF(E127="","",E127*0.065)</f>
        <v/>
      </c>
      <c r="G127" s="25">
        <f>IF(E127="","",E127*0.03+0.25)</f>
        <v/>
      </c>
      <c r="H127" s="25" t="n"/>
      <c r="I127" s="25" t="n"/>
      <c r="J127" s="25" t="n"/>
      <c r="K127" s="25" t="n"/>
      <c r="L127" s="25" t="n"/>
      <c r="M127" s="25">
        <f>IF(E127="","",F127+G127+H127+I127+J127+K127+L127)</f>
        <v/>
      </c>
      <c r="N127" s="25">
        <f>IF(E127="","",E127-M127)</f>
        <v/>
      </c>
      <c r="O127" s="15" t="n"/>
    </row>
    <row r="128">
      <c r="A128" s="26" t="n"/>
      <c r="B128" s="14" t="n"/>
      <c r="C128" s="14" t="n"/>
      <c r="D128" s="14" t="n"/>
      <c r="E128" s="27" t="n"/>
      <c r="F128" s="27">
        <f>IF(E128="","",E128*0.065)</f>
        <v/>
      </c>
      <c r="G128" s="27">
        <f>IF(E128="","",E128*0.03+0.25)</f>
        <v/>
      </c>
      <c r="H128" s="27" t="n"/>
      <c r="I128" s="27" t="n"/>
      <c r="J128" s="27" t="n"/>
      <c r="K128" s="27" t="n"/>
      <c r="L128" s="27" t="n"/>
      <c r="M128" s="27">
        <f>IF(E128="","",F128+G128+H128+I128+J128+K128+L128)</f>
        <v/>
      </c>
      <c r="N128" s="27">
        <f>IF(E128="","",E128-M128)</f>
        <v/>
      </c>
      <c r="O128" s="14" t="n"/>
    </row>
    <row r="129">
      <c r="A129" s="24" t="n"/>
      <c r="B129" s="15" t="n"/>
      <c r="C129" s="15" t="n"/>
      <c r="D129" s="15" t="n"/>
      <c r="E129" s="25" t="n"/>
      <c r="F129" s="25">
        <f>IF(E129="","",E129*0.065)</f>
        <v/>
      </c>
      <c r="G129" s="25">
        <f>IF(E129="","",E129*0.03+0.25)</f>
        <v/>
      </c>
      <c r="H129" s="25" t="n"/>
      <c r="I129" s="25" t="n"/>
      <c r="J129" s="25" t="n"/>
      <c r="K129" s="25" t="n"/>
      <c r="L129" s="25" t="n"/>
      <c r="M129" s="25">
        <f>IF(E129="","",F129+G129+H129+I129+J129+K129+L129)</f>
        <v/>
      </c>
      <c r="N129" s="25">
        <f>IF(E129="","",E129-M129)</f>
        <v/>
      </c>
      <c r="O129" s="15" t="n"/>
    </row>
    <row r="130">
      <c r="A130" s="26" t="n"/>
      <c r="B130" s="14" t="n"/>
      <c r="C130" s="14" t="n"/>
      <c r="D130" s="14" t="n"/>
      <c r="E130" s="27" t="n"/>
      <c r="F130" s="27">
        <f>IF(E130="","",E130*0.065)</f>
        <v/>
      </c>
      <c r="G130" s="27">
        <f>IF(E130="","",E130*0.03+0.25)</f>
        <v/>
      </c>
      <c r="H130" s="27" t="n"/>
      <c r="I130" s="27" t="n"/>
      <c r="J130" s="27" t="n"/>
      <c r="K130" s="27" t="n"/>
      <c r="L130" s="27" t="n"/>
      <c r="M130" s="27">
        <f>IF(E130="","",F130+G130+H130+I130+J130+K130+L130)</f>
        <v/>
      </c>
      <c r="N130" s="27">
        <f>IF(E130="","",E130-M130)</f>
        <v/>
      </c>
      <c r="O130" s="14" t="n"/>
    </row>
    <row r="131">
      <c r="A131" s="24" t="n"/>
      <c r="B131" s="15" t="n"/>
      <c r="C131" s="15" t="n"/>
      <c r="D131" s="15" t="n"/>
      <c r="E131" s="25" t="n"/>
      <c r="F131" s="25">
        <f>IF(E131="","",E131*0.065)</f>
        <v/>
      </c>
      <c r="G131" s="25">
        <f>IF(E131="","",E131*0.03+0.25)</f>
        <v/>
      </c>
      <c r="H131" s="25" t="n"/>
      <c r="I131" s="25" t="n"/>
      <c r="J131" s="25" t="n"/>
      <c r="K131" s="25" t="n"/>
      <c r="L131" s="25" t="n"/>
      <c r="M131" s="25">
        <f>IF(E131="","",F131+G131+H131+I131+J131+K131+L131)</f>
        <v/>
      </c>
      <c r="N131" s="25">
        <f>IF(E131="","",E131-M131)</f>
        <v/>
      </c>
      <c r="O131" s="15" t="n"/>
    </row>
    <row r="132">
      <c r="A132" s="26" t="n"/>
      <c r="B132" s="14" t="n"/>
      <c r="C132" s="14" t="n"/>
      <c r="D132" s="14" t="n"/>
      <c r="E132" s="27" t="n"/>
      <c r="F132" s="27">
        <f>IF(E132="","",E132*0.065)</f>
        <v/>
      </c>
      <c r="G132" s="27">
        <f>IF(E132="","",E132*0.03+0.25)</f>
        <v/>
      </c>
      <c r="H132" s="27" t="n"/>
      <c r="I132" s="27" t="n"/>
      <c r="J132" s="27" t="n"/>
      <c r="K132" s="27" t="n"/>
      <c r="L132" s="27" t="n"/>
      <c r="M132" s="27">
        <f>IF(E132="","",F132+G132+H132+I132+J132+K132+L132)</f>
        <v/>
      </c>
      <c r="N132" s="27">
        <f>IF(E132="","",E132-M132)</f>
        <v/>
      </c>
      <c r="O132" s="14" t="n"/>
    </row>
    <row r="133">
      <c r="A133" s="24" t="n"/>
      <c r="B133" s="15" t="n"/>
      <c r="C133" s="15" t="n"/>
      <c r="D133" s="15" t="n"/>
      <c r="E133" s="25" t="n"/>
      <c r="F133" s="25">
        <f>IF(E133="","",E133*0.065)</f>
        <v/>
      </c>
      <c r="G133" s="25">
        <f>IF(E133="","",E133*0.03+0.25)</f>
        <v/>
      </c>
      <c r="H133" s="25" t="n"/>
      <c r="I133" s="25" t="n"/>
      <c r="J133" s="25" t="n"/>
      <c r="K133" s="25" t="n"/>
      <c r="L133" s="25" t="n"/>
      <c r="M133" s="25">
        <f>IF(E133="","",F133+G133+H133+I133+J133+K133+L133)</f>
        <v/>
      </c>
      <c r="N133" s="25">
        <f>IF(E133="","",E133-M133)</f>
        <v/>
      </c>
      <c r="O133" s="15" t="n"/>
    </row>
    <row r="134">
      <c r="A134" s="26" t="n"/>
      <c r="B134" s="14" t="n"/>
      <c r="C134" s="14" t="n"/>
      <c r="D134" s="14" t="n"/>
      <c r="E134" s="27" t="n"/>
      <c r="F134" s="27">
        <f>IF(E134="","",E134*0.065)</f>
        <v/>
      </c>
      <c r="G134" s="27">
        <f>IF(E134="","",E134*0.03+0.25)</f>
        <v/>
      </c>
      <c r="H134" s="27" t="n"/>
      <c r="I134" s="27" t="n"/>
      <c r="J134" s="27" t="n"/>
      <c r="K134" s="27" t="n"/>
      <c r="L134" s="27" t="n"/>
      <c r="M134" s="27">
        <f>IF(E134="","",F134+G134+H134+I134+J134+K134+L134)</f>
        <v/>
      </c>
      <c r="N134" s="27">
        <f>IF(E134="","",E134-M134)</f>
        <v/>
      </c>
      <c r="O134" s="14" t="n"/>
    </row>
    <row r="135">
      <c r="A135" s="24" t="n"/>
      <c r="B135" s="15" t="n"/>
      <c r="C135" s="15" t="n"/>
      <c r="D135" s="15" t="n"/>
      <c r="E135" s="25" t="n"/>
      <c r="F135" s="25">
        <f>IF(E135="","",E135*0.065)</f>
        <v/>
      </c>
      <c r="G135" s="25">
        <f>IF(E135="","",E135*0.03+0.25)</f>
        <v/>
      </c>
      <c r="H135" s="25" t="n"/>
      <c r="I135" s="25" t="n"/>
      <c r="J135" s="25" t="n"/>
      <c r="K135" s="25" t="n"/>
      <c r="L135" s="25" t="n"/>
      <c r="M135" s="25">
        <f>IF(E135="","",F135+G135+H135+I135+J135+K135+L135)</f>
        <v/>
      </c>
      <c r="N135" s="25">
        <f>IF(E135="","",E135-M135)</f>
        <v/>
      </c>
      <c r="O135" s="15" t="n"/>
    </row>
    <row r="136">
      <c r="A136" s="26" t="n"/>
      <c r="B136" s="14" t="n"/>
      <c r="C136" s="14" t="n"/>
      <c r="D136" s="14" t="n"/>
      <c r="E136" s="27" t="n"/>
      <c r="F136" s="27">
        <f>IF(E136="","",E136*0.065)</f>
        <v/>
      </c>
      <c r="G136" s="27">
        <f>IF(E136="","",E136*0.03+0.25)</f>
        <v/>
      </c>
      <c r="H136" s="27" t="n"/>
      <c r="I136" s="27" t="n"/>
      <c r="J136" s="27" t="n"/>
      <c r="K136" s="27" t="n"/>
      <c r="L136" s="27" t="n"/>
      <c r="M136" s="27">
        <f>IF(E136="","",F136+G136+H136+I136+J136+K136+L136)</f>
        <v/>
      </c>
      <c r="N136" s="27">
        <f>IF(E136="","",E136-M136)</f>
        <v/>
      </c>
      <c r="O136" s="14" t="n"/>
    </row>
    <row r="137">
      <c r="A137" s="24" t="n"/>
      <c r="B137" s="15" t="n"/>
      <c r="C137" s="15" t="n"/>
      <c r="D137" s="15" t="n"/>
      <c r="E137" s="25" t="n"/>
      <c r="F137" s="25">
        <f>IF(E137="","",E137*0.065)</f>
        <v/>
      </c>
      <c r="G137" s="25">
        <f>IF(E137="","",E137*0.03+0.25)</f>
        <v/>
      </c>
      <c r="H137" s="25" t="n"/>
      <c r="I137" s="25" t="n"/>
      <c r="J137" s="25" t="n"/>
      <c r="K137" s="25" t="n"/>
      <c r="L137" s="25" t="n"/>
      <c r="M137" s="25">
        <f>IF(E137="","",F137+G137+H137+I137+J137+K137+L137)</f>
        <v/>
      </c>
      <c r="N137" s="25">
        <f>IF(E137="","",E137-M137)</f>
        <v/>
      </c>
      <c r="O137" s="15" t="n"/>
    </row>
    <row r="138">
      <c r="A138" s="26" t="n"/>
      <c r="B138" s="14" t="n"/>
      <c r="C138" s="14" t="n"/>
      <c r="D138" s="14" t="n"/>
      <c r="E138" s="27" t="n"/>
      <c r="F138" s="27">
        <f>IF(E138="","",E138*0.065)</f>
        <v/>
      </c>
      <c r="G138" s="27">
        <f>IF(E138="","",E138*0.03+0.25)</f>
        <v/>
      </c>
      <c r="H138" s="27" t="n"/>
      <c r="I138" s="27" t="n"/>
      <c r="J138" s="27" t="n"/>
      <c r="K138" s="27" t="n"/>
      <c r="L138" s="27" t="n"/>
      <c r="M138" s="27">
        <f>IF(E138="","",F138+G138+H138+I138+J138+K138+L138)</f>
        <v/>
      </c>
      <c r="N138" s="27">
        <f>IF(E138="","",E138-M138)</f>
        <v/>
      </c>
      <c r="O138" s="14" t="n"/>
    </row>
    <row r="139">
      <c r="A139" s="24" t="n"/>
      <c r="B139" s="15" t="n"/>
      <c r="C139" s="15" t="n"/>
      <c r="D139" s="15" t="n"/>
      <c r="E139" s="25" t="n"/>
      <c r="F139" s="25">
        <f>IF(E139="","",E139*0.065)</f>
        <v/>
      </c>
      <c r="G139" s="25">
        <f>IF(E139="","",E139*0.03+0.25)</f>
        <v/>
      </c>
      <c r="H139" s="25" t="n"/>
      <c r="I139" s="25" t="n"/>
      <c r="J139" s="25" t="n"/>
      <c r="K139" s="25" t="n"/>
      <c r="L139" s="25" t="n"/>
      <c r="M139" s="25">
        <f>IF(E139="","",F139+G139+H139+I139+J139+K139+L139)</f>
        <v/>
      </c>
      <c r="N139" s="25">
        <f>IF(E139="","",E139-M139)</f>
        <v/>
      </c>
      <c r="O139" s="15" t="n"/>
    </row>
    <row r="140">
      <c r="A140" s="26" t="n"/>
      <c r="B140" s="14" t="n"/>
      <c r="C140" s="14" t="n"/>
      <c r="D140" s="14" t="n"/>
      <c r="E140" s="27" t="n"/>
      <c r="F140" s="27">
        <f>IF(E140="","",E140*0.065)</f>
        <v/>
      </c>
      <c r="G140" s="27">
        <f>IF(E140="","",E140*0.03+0.25)</f>
        <v/>
      </c>
      <c r="H140" s="27" t="n"/>
      <c r="I140" s="27" t="n"/>
      <c r="J140" s="27" t="n"/>
      <c r="K140" s="27" t="n"/>
      <c r="L140" s="27" t="n"/>
      <c r="M140" s="27">
        <f>IF(E140="","",F140+G140+H140+I140+J140+K140+L140)</f>
        <v/>
      </c>
      <c r="N140" s="27">
        <f>IF(E140="","",E140-M140)</f>
        <v/>
      </c>
      <c r="O140" s="14" t="n"/>
    </row>
    <row r="141">
      <c r="A141" s="24" t="n"/>
      <c r="B141" s="15" t="n"/>
      <c r="C141" s="15" t="n"/>
      <c r="D141" s="15" t="n"/>
      <c r="E141" s="25" t="n"/>
      <c r="F141" s="25">
        <f>IF(E141="","",E141*0.065)</f>
        <v/>
      </c>
      <c r="G141" s="25">
        <f>IF(E141="","",E141*0.03+0.25)</f>
        <v/>
      </c>
      <c r="H141" s="25" t="n"/>
      <c r="I141" s="25" t="n"/>
      <c r="J141" s="25" t="n"/>
      <c r="K141" s="25" t="n"/>
      <c r="L141" s="25" t="n"/>
      <c r="M141" s="25">
        <f>IF(E141="","",F141+G141+H141+I141+J141+K141+L141)</f>
        <v/>
      </c>
      <c r="N141" s="25">
        <f>IF(E141="","",E141-M141)</f>
        <v/>
      </c>
      <c r="O141" s="15" t="n"/>
    </row>
    <row r="142">
      <c r="A142" s="26" t="n"/>
      <c r="B142" s="14" t="n"/>
      <c r="C142" s="14" t="n"/>
      <c r="D142" s="14" t="n"/>
      <c r="E142" s="27" t="n"/>
      <c r="F142" s="27">
        <f>IF(E142="","",E142*0.065)</f>
        <v/>
      </c>
      <c r="G142" s="27">
        <f>IF(E142="","",E142*0.03+0.25)</f>
        <v/>
      </c>
      <c r="H142" s="27" t="n"/>
      <c r="I142" s="27" t="n"/>
      <c r="J142" s="27" t="n"/>
      <c r="K142" s="27" t="n"/>
      <c r="L142" s="27" t="n"/>
      <c r="M142" s="27">
        <f>IF(E142="","",F142+G142+H142+I142+J142+K142+L142)</f>
        <v/>
      </c>
      <c r="N142" s="27">
        <f>IF(E142="","",E142-M142)</f>
        <v/>
      </c>
      <c r="O142" s="14" t="n"/>
    </row>
    <row r="143">
      <c r="A143" s="24" t="n"/>
      <c r="B143" s="15" t="n"/>
      <c r="C143" s="15" t="n"/>
      <c r="D143" s="15" t="n"/>
      <c r="E143" s="25" t="n"/>
      <c r="F143" s="25">
        <f>IF(E143="","",E143*0.065)</f>
        <v/>
      </c>
      <c r="G143" s="25">
        <f>IF(E143="","",E143*0.03+0.25)</f>
        <v/>
      </c>
      <c r="H143" s="25" t="n"/>
      <c r="I143" s="25" t="n"/>
      <c r="J143" s="25" t="n"/>
      <c r="K143" s="25" t="n"/>
      <c r="L143" s="25" t="n"/>
      <c r="M143" s="25">
        <f>IF(E143="","",F143+G143+H143+I143+J143+K143+L143)</f>
        <v/>
      </c>
      <c r="N143" s="25">
        <f>IF(E143="","",E143-M143)</f>
        <v/>
      </c>
      <c r="O143" s="15" t="n"/>
    </row>
    <row r="144">
      <c r="A144" s="26" t="n"/>
      <c r="B144" s="14" t="n"/>
      <c r="C144" s="14" t="n"/>
      <c r="D144" s="14" t="n"/>
      <c r="E144" s="27" t="n"/>
      <c r="F144" s="27">
        <f>IF(E144="","",E144*0.065)</f>
        <v/>
      </c>
      <c r="G144" s="27">
        <f>IF(E144="","",E144*0.03+0.25)</f>
        <v/>
      </c>
      <c r="H144" s="27" t="n"/>
      <c r="I144" s="27" t="n"/>
      <c r="J144" s="27" t="n"/>
      <c r="K144" s="27" t="n"/>
      <c r="L144" s="27" t="n"/>
      <c r="M144" s="27">
        <f>IF(E144="","",F144+G144+H144+I144+J144+K144+L144)</f>
        <v/>
      </c>
      <c r="N144" s="27">
        <f>IF(E144="","",E144-M144)</f>
        <v/>
      </c>
      <c r="O144" s="14" t="n"/>
    </row>
    <row r="145">
      <c r="A145" s="24" t="n"/>
      <c r="B145" s="15" t="n"/>
      <c r="C145" s="15" t="n"/>
      <c r="D145" s="15" t="n"/>
      <c r="E145" s="25" t="n"/>
      <c r="F145" s="25">
        <f>IF(E145="","",E145*0.065)</f>
        <v/>
      </c>
      <c r="G145" s="25">
        <f>IF(E145="","",E145*0.03+0.25)</f>
        <v/>
      </c>
      <c r="H145" s="25" t="n"/>
      <c r="I145" s="25" t="n"/>
      <c r="J145" s="25" t="n"/>
      <c r="K145" s="25" t="n"/>
      <c r="L145" s="25" t="n"/>
      <c r="M145" s="25">
        <f>IF(E145="","",F145+G145+H145+I145+J145+K145+L145)</f>
        <v/>
      </c>
      <c r="N145" s="25">
        <f>IF(E145="","",E145-M145)</f>
        <v/>
      </c>
      <c r="O145" s="15" t="n"/>
    </row>
    <row r="146">
      <c r="A146" s="26" t="n"/>
      <c r="B146" s="14" t="n"/>
      <c r="C146" s="14" t="n"/>
      <c r="D146" s="14" t="n"/>
      <c r="E146" s="27" t="n"/>
      <c r="F146" s="27">
        <f>IF(E146="","",E146*0.065)</f>
        <v/>
      </c>
      <c r="G146" s="27">
        <f>IF(E146="","",E146*0.03+0.25)</f>
        <v/>
      </c>
      <c r="H146" s="27" t="n"/>
      <c r="I146" s="27" t="n"/>
      <c r="J146" s="27" t="n"/>
      <c r="K146" s="27" t="n"/>
      <c r="L146" s="27" t="n"/>
      <c r="M146" s="27">
        <f>IF(E146="","",F146+G146+H146+I146+J146+K146+L146)</f>
        <v/>
      </c>
      <c r="N146" s="27">
        <f>IF(E146="","",E146-M146)</f>
        <v/>
      </c>
      <c r="O146" s="14" t="n"/>
    </row>
    <row r="147">
      <c r="A147" s="24" t="n"/>
      <c r="B147" s="15" t="n"/>
      <c r="C147" s="15" t="n"/>
      <c r="D147" s="15" t="n"/>
      <c r="E147" s="25" t="n"/>
      <c r="F147" s="25">
        <f>IF(E147="","",E147*0.065)</f>
        <v/>
      </c>
      <c r="G147" s="25">
        <f>IF(E147="","",E147*0.03+0.25)</f>
        <v/>
      </c>
      <c r="H147" s="25" t="n"/>
      <c r="I147" s="25" t="n"/>
      <c r="J147" s="25" t="n"/>
      <c r="K147" s="25" t="n"/>
      <c r="L147" s="25" t="n"/>
      <c r="M147" s="25">
        <f>IF(E147="","",F147+G147+H147+I147+J147+K147+L147)</f>
        <v/>
      </c>
      <c r="N147" s="25">
        <f>IF(E147="","",E147-M147)</f>
        <v/>
      </c>
      <c r="O147" s="15" t="n"/>
    </row>
    <row r="148">
      <c r="A148" s="26" t="n"/>
      <c r="B148" s="14" t="n"/>
      <c r="C148" s="14" t="n"/>
      <c r="D148" s="14" t="n"/>
      <c r="E148" s="27" t="n"/>
      <c r="F148" s="27">
        <f>IF(E148="","",E148*0.065)</f>
        <v/>
      </c>
      <c r="G148" s="27">
        <f>IF(E148="","",E148*0.03+0.25)</f>
        <v/>
      </c>
      <c r="H148" s="27" t="n"/>
      <c r="I148" s="27" t="n"/>
      <c r="J148" s="27" t="n"/>
      <c r="K148" s="27" t="n"/>
      <c r="L148" s="27" t="n"/>
      <c r="M148" s="27">
        <f>IF(E148="","",F148+G148+H148+I148+J148+K148+L148)</f>
        <v/>
      </c>
      <c r="N148" s="27">
        <f>IF(E148="","",E148-M148)</f>
        <v/>
      </c>
      <c r="O148" s="14" t="n"/>
    </row>
    <row r="149">
      <c r="A149" s="24" t="n"/>
      <c r="B149" s="15" t="n"/>
      <c r="C149" s="15" t="n"/>
      <c r="D149" s="15" t="n"/>
      <c r="E149" s="25" t="n"/>
      <c r="F149" s="25">
        <f>IF(E149="","",E149*0.065)</f>
        <v/>
      </c>
      <c r="G149" s="25">
        <f>IF(E149="","",E149*0.03+0.25)</f>
        <v/>
      </c>
      <c r="H149" s="25" t="n"/>
      <c r="I149" s="25" t="n"/>
      <c r="J149" s="25" t="n"/>
      <c r="K149" s="25" t="n"/>
      <c r="L149" s="25" t="n"/>
      <c r="M149" s="25">
        <f>IF(E149="","",F149+G149+H149+I149+J149+K149+L149)</f>
        <v/>
      </c>
      <c r="N149" s="25">
        <f>IF(E149="","",E149-M149)</f>
        <v/>
      </c>
      <c r="O149" s="15" t="n"/>
    </row>
    <row r="150">
      <c r="A150" s="26" t="n"/>
      <c r="B150" s="14" t="n"/>
      <c r="C150" s="14" t="n"/>
      <c r="D150" s="14" t="n"/>
      <c r="E150" s="27" t="n"/>
      <c r="F150" s="27">
        <f>IF(E150="","",E150*0.065)</f>
        <v/>
      </c>
      <c r="G150" s="27">
        <f>IF(E150="","",E150*0.03+0.25)</f>
        <v/>
      </c>
      <c r="H150" s="27" t="n"/>
      <c r="I150" s="27" t="n"/>
      <c r="J150" s="27" t="n"/>
      <c r="K150" s="27" t="n"/>
      <c r="L150" s="27" t="n"/>
      <c r="M150" s="27">
        <f>IF(E150="","",F150+G150+H150+I150+J150+K150+L150)</f>
        <v/>
      </c>
      <c r="N150" s="27">
        <f>IF(E150="","",E150-M150)</f>
        <v/>
      </c>
      <c r="O150" s="14" t="n"/>
    </row>
    <row r="151">
      <c r="A151" s="24" t="n"/>
      <c r="B151" s="15" t="n"/>
      <c r="C151" s="15" t="n"/>
      <c r="D151" s="15" t="n"/>
      <c r="E151" s="25" t="n"/>
      <c r="F151" s="25">
        <f>IF(E151="","",E151*0.065)</f>
        <v/>
      </c>
      <c r="G151" s="25">
        <f>IF(E151="","",E151*0.03+0.25)</f>
        <v/>
      </c>
      <c r="H151" s="25" t="n"/>
      <c r="I151" s="25" t="n"/>
      <c r="J151" s="25" t="n"/>
      <c r="K151" s="25" t="n"/>
      <c r="L151" s="25" t="n"/>
      <c r="M151" s="25">
        <f>IF(E151="","",F151+G151+H151+I151+J151+K151+L151)</f>
        <v/>
      </c>
      <c r="N151" s="25">
        <f>IF(E151="","",E151-M151)</f>
        <v/>
      </c>
      <c r="O151" s="15" t="n"/>
    </row>
    <row r="152">
      <c r="A152" s="26" t="n"/>
      <c r="B152" s="14" t="n"/>
      <c r="C152" s="14" t="n"/>
      <c r="D152" s="14" t="n"/>
      <c r="E152" s="27" t="n"/>
      <c r="F152" s="27">
        <f>IF(E152="","",E152*0.065)</f>
        <v/>
      </c>
      <c r="G152" s="27">
        <f>IF(E152="","",E152*0.03+0.25)</f>
        <v/>
      </c>
      <c r="H152" s="27" t="n"/>
      <c r="I152" s="27" t="n"/>
      <c r="J152" s="27" t="n"/>
      <c r="K152" s="27" t="n"/>
      <c r="L152" s="27" t="n"/>
      <c r="M152" s="27">
        <f>IF(E152="","",F152+G152+H152+I152+J152+K152+L152)</f>
        <v/>
      </c>
      <c r="N152" s="27">
        <f>IF(E152="","",E152-M152)</f>
        <v/>
      </c>
      <c r="O152" s="14" t="n"/>
    </row>
    <row r="153">
      <c r="A153" s="24" t="n"/>
      <c r="B153" s="15" t="n"/>
      <c r="C153" s="15" t="n"/>
      <c r="D153" s="15" t="n"/>
      <c r="E153" s="25" t="n"/>
      <c r="F153" s="25">
        <f>IF(E153="","",E153*0.065)</f>
        <v/>
      </c>
      <c r="G153" s="25">
        <f>IF(E153="","",E153*0.03+0.25)</f>
        <v/>
      </c>
      <c r="H153" s="25" t="n"/>
      <c r="I153" s="25" t="n"/>
      <c r="J153" s="25" t="n"/>
      <c r="K153" s="25" t="n"/>
      <c r="L153" s="25" t="n"/>
      <c r="M153" s="25">
        <f>IF(E153="","",F153+G153+H153+I153+J153+K153+L153)</f>
        <v/>
      </c>
      <c r="N153" s="25">
        <f>IF(E153="","",E153-M153)</f>
        <v/>
      </c>
      <c r="O153" s="15" t="n"/>
    </row>
    <row r="154">
      <c r="A154" s="26" t="n"/>
      <c r="B154" s="14" t="n"/>
      <c r="C154" s="14" t="n"/>
      <c r="D154" s="14" t="n"/>
      <c r="E154" s="27" t="n"/>
      <c r="F154" s="27">
        <f>IF(E154="","",E154*0.065)</f>
        <v/>
      </c>
      <c r="G154" s="27">
        <f>IF(E154="","",E154*0.03+0.25)</f>
        <v/>
      </c>
      <c r="H154" s="27" t="n"/>
      <c r="I154" s="27" t="n"/>
      <c r="J154" s="27" t="n"/>
      <c r="K154" s="27" t="n"/>
      <c r="L154" s="27" t="n"/>
      <c r="M154" s="27">
        <f>IF(E154="","",F154+G154+H154+I154+J154+K154+L154)</f>
        <v/>
      </c>
      <c r="N154" s="27">
        <f>IF(E154="","",E154-M154)</f>
        <v/>
      </c>
      <c r="O154" s="14" t="n"/>
    </row>
    <row r="155">
      <c r="A155" s="24" t="n"/>
      <c r="B155" s="15" t="n"/>
      <c r="C155" s="15" t="n"/>
      <c r="D155" s="15" t="n"/>
      <c r="E155" s="25" t="n"/>
      <c r="F155" s="25">
        <f>IF(E155="","",E155*0.065)</f>
        <v/>
      </c>
      <c r="G155" s="25">
        <f>IF(E155="","",E155*0.03+0.25)</f>
        <v/>
      </c>
      <c r="H155" s="25" t="n"/>
      <c r="I155" s="25" t="n"/>
      <c r="J155" s="25" t="n"/>
      <c r="K155" s="25" t="n"/>
      <c r="L155" s="25" t="n"/>
      <c r="M155" s="25">
        <f>IF(E155="","",F155+G155+H155+I155+J155+K155+L155)</f>
        <v/>
      </c>
      <c r="N155" s="25">
        <f>IF(E155="","",E155-M155)</f>
        <v/>
      </c>
      <c r="O155" s="15" t="n"/>
    </row>
    <row r="156">
      <c r="A156" s="26" t="n"/>
      <c r="B156" s="14" t="n"/>
      <c r="C156" s="14" t="n"/>
      <c r="D156" s="14" t="n"/>
      <c r="E156" s="27" t="n"/>
      <c r="F156" s="27">
        <f>IF(E156="","",E156*0.065)</f>
        <v/>
      </c>
      <c r="G156" s="27">
        <f>IF(E156="","",E156*0.03+0.25)</f>
        <v/>
      </c>
      <c r="H156" s="27" t="n"/>
      <c r="I156" s="27" t="n"/>
      <c r="J156" s="27" t="n"/>
      <c r="K156" s="27" t="n"/>
      <c r="L156" s="27" t="n"/>
      <c r="M156" s="27">
        <f>IF(E156="","",F156+G156+H156+I156+J156+K156+L156)</f>
        <v/>
      </c>
      <c r="N156" s="27">
        <f>IF(E156="","",E156-M156)</f>
        <v/>
      </c>
      <c r="O156" s="14" t="n"/>
    </row>
    <row r="157">
      <c r="A157" s="24" t="n"/>
      <c r="B157" s="15" t="n"/>
      <c r="C157" s="15" t="n"/>
      <c r="D157" s="15" t="n"/>
      <c r="E157" s="25" t="n"/>
      <c r="F157" s="25">
        <f>IF(E157="","",E157*0.065)</f>
        <v/>
      </c>
      <c r="G157" s="25">
        <f>IF(E157="","",E157*0.03+0.25)</f>
        <v/>
      </c>
      <c r="H157" s="25" t="n"/>
      <c r="I157" s="25" t="n"/>
      <c r="J157" s="25" t="n"/>
      <c r="K157" s="25" t="n"/>
      <c r="L157" s="25" t="n"/>
      <c r="M157" s="25">
        <f>IF(E157="","",F157+G157+H157+I157+J157+K157+L157)</f>
        <v/>
      </c>
      <c r="N157" s="25">
        <f>IF(E157="","",E157-M157)</f>
        <v/>
      </c>
      <c r="O157" s="15" t="n"/>
    </row>
    <row r="158">
      <c r="A158" s="26" t="n"/>
      <c r="B158" s="14" t="n"/>
      <c r="C158" s="14" t="n"/>
      <c r="D158" s="14" t="n"/>
      <c r="E158" s="27" t="n"/>
      <c r="F158" s="27">
        <f>IF(E158="","",E158*0.065)</f>
        <v/>
      </c>
      <c r="G158" s="27">
        <f>IF(E158="","",E158*0.03+0.25)</f>
        <v/>
      </c>
      <c r="H158" s="27" t="n"/>
      <c r="I158" s="27" t="n"/>
      <c r="J158" s="27" t="n"/>
      <c r="K158" s="27" t="n"/>
      <c r="L158" s="27" t="n"/>
      <c r="M158" s="27">
        <f>IF(E158="","",F158+G158+H158+I158+J158+K158+L158)</f>
        <v/>
      </c>
      <c r="N158" s="27">
        <f>IF(E158="","",E158-M158)</f>
        <v/>
      </c>
      <c r="O158" s="14" t="n"/>
    </row>
    <row r="159">
      <c r="A159" s="24" t="n"/>
      <c r="B159" s="15" t="n"/>
      <c r="C159" s="15" t="n"/>
      <c r="D159" s="15" t="n"/>
      <c r="E159" s="25" t="n"/>
      <c r="F159" s="25">
        <f>IF(E159="","",E159*0.065)</f>
        <v/>
      </c>
      <c r="G159" s="25">
        <f>IF(E159="","",E159*0.03+0.25)</f>
        <v/>
      </c>
      <c r="H159" s="25" t="n"/>
      <c r="I159" s="25" t="n"/>
      <c r="J159" s="25" t="n"/>
      <c r="K159" s="25" t="n"/>
      <c r="L159" s="25" t="n"/>
      <c r="M159" s="25">
        <f>IF(E159="","",F159+G159+H159+I159+J159+K159+L159)</f>
        <v/>
      </c>
      <c r="N159" s="25">
        <f>IF(E159="","",E159-M159)</f>
        <v/>
      </c>
      <c r="O159" s="15" t="n"/>
    </row>
    <row r="160">
      <c r="A160" s="26" t="n"/>
      <c r="B160" s="14" t="n"/>
      <c r="C160" s="14" t="n"/>
      <c r="D160" s="14" t="n"/>
      <c r="E160" s="27" t="n"/>
      <c r="F160" s="27">
        <f>IF(E160="","",E160*0.065)</f>
        <v/>
      </c>
      <c r="G160" s="27">
        <f>IF(E160="","",E160*0.03+0.25)</f>
        <v/>
      </c>
      <c r="H160" s="27" t="n"/>
      <c r="I160" s="27" t="n"/>
      <c r="J160" s="27" t="n"/>
      <c r="K160" s="27" t="n"/>
      <c r="L160" s="27" t="n"/>
      <c r="M160" s="27">
        <f>IF(E160="","",F160+G160+H160+I160+J160+K160+L160)</f>
        <v/>
      </c>
      <c r="N160" s="27">
        <f>IF(E160="","",E160-M160)</f>
        <v/>
      </c>
      <c r="O160" s="14" t="n"/>
    </row>
    <row r="161">
      <c r="A161" s="24" t="n"/>
      <c r="B161" s="15" t="n"/>
      <c r="C161" s="15" t="n"/>
      <c r="D161" s="15" t="n"/>
      <c r="E161" s="25" t="n"/>
      <c r="F161" s="25">
        <f>IF(E161="","",E161*0.065)</f>
        <v/>
      </c>
      <c r="G161" s="25">
        <f>IF(E161="","",E161*0.03+0.25)</f>
        <v/>
      </c>
      <c r="H161" s="25" t="n"/>
      <c r="I161" s="25" t="n"/>
      <c r="J161" s="25" t="n"/>
      <c r="K161" s="25" t="n"/>
      <c r="L161" s="25" t="n"/>
      <c r="M161" s="25">
        <f>IF(E161="","",F161+G161+H161+I161+J161+K161+L161)</f>
        <v/>
      </c>
      <c r="N161" s="25">
        <f>IF(E161="","",E161-M161)</f>
        <v/>
      </c>
      <c r="O161" s="15" t="n"/>
    </row>
    <row r="162">
      <c r="A162" s="26" t="n"/>
      <c r="B162" s="14" t="n"/>
      <c r="C162" s="14" t="n"/>
      <c r="D162" s="14" t="n"/>
      <c r="E162" s="27" t="n"/>
      <c r="F162" s="27">
        <f>IF(E162="","",E162*0.065)</f>
        <v/>
      </c>
      <c r="G162" s="27">
        <f>IF(E162="","",E162*0.03+0.25)</f>
        <v/>
      </c>
      <c r="H162" s="27" t="n"/>
      <c r="I162" s="27" t="n"/>
      <c r="J162" s="27" t="n"/>
      <c r="K162" s="27" t="n"/>
      <c r="L162" s="27" t="n"/>
      <c r="M162" s="27">
        <f>IF(E162="","",F162+G162+H162+I162+J162+K162+L162)</f>
        <v/>
      </c>
      <c r="N162" s="27">
        <f>IF(E162="","",E162-M162)</f>
        <v/>
      </c>
      <c r="O162" s="14" t="n"/>
    </row>
    <row r="163">
      <c r="A163" s="24" t="n"/>
      <c r="B163" s="15" t="n"/>
      <c r="C163" s="15" t="n"/>
      <c r="D163" s="15" t="n"/>
      <c r="E163" s="25" t="n"/>
      <c r="F163" s="25">
        <f>IF(E163="","",E163*0.065)</f>
        <v/>
      </c>
      <c r="G163" s="25">
        <f>IF(E163="","",E163*0.03+0.25)</f>
        <v/>
      </c>
      <c r="H163" s="25" t="n"/>
      <c r="I163" s="25" t="n"/>
      <c r="J163" s="25" t="n"/>
      <c r="K163" s="25" t="n"/>
      <c r="L163" s="25" t="n"/>
      <c r="M163" s="25">
        <f>IF(E163="","",F163+G163+H163+I163+J163+K163+L163)</f>
        <v/>
      </c>
      <c r="N163" s="25">
        <f>IF(E163="","",E163-M163)</f>
        <v/>
      </c>
      <c r="O163" s="15" t="n"/>
    </row>
    <row r="164">
      <c r="A164" s="26" t="n"/>
      <c r="B164" s="14" t="n"/>
      <c r="C164" s="14" t="n"/>
      <c r="D164" s="14" t="n"/>
      <c r="E164" s="27" t="n"/>
      <c r="F164" s="27">
        <f>IF(E164="","",E164*0.065)</f>
        <v/>
      </c>
      <c r="G164" s="27">
        <f>IF(E164="","",E164*0.03+0.25)</f>
        <v/>
      </c>
      <c r="H164" s="27" t="n"/>
      <c r="I164" s="27" t="n"/>
      <c r="J164" s="27" t="n"/>
      <c r="K164" s="27" t="n"/>
      <c r="L164" s="27" t="n"/>
      <c r="M164" s="27">
        <f>IF(E164="","",F164+G164+H164+I164+J164+K164+L164)</f>
        <v/>
      </c>
      <c r="N164" s="27">
        <f>IF(E164="","",E164-M164)</f>
        <v/>
      </c>
      <c r="O164" s="14" t="n"/>
    </row>
    <row r="165">
      <c r="A165" s="24" t="n"/>
      <c r="B165" s="15" t="n"/>
      <c r="C165" s="15" t="n"/>
      <c r="D165" s="15" t="n"/>
      <c r="E165" s="25" t="n"/>
      <c r="F165" s="25">
        <f>IF(E165="","",E165*0.065)</f>
        <v/>
      </c>
      <c r="G165" s="25">
        <f>IF(E165="","",E165*0.03+0.25)</f>
        <v/>
      </c>
      <c r="H165" s="25" t="n"/>
      <c r="I165" s="25" t="n"/>
      <c r="J165" s="25" t="n"/>
      <c r="K165" s="25" t="n"/>
      <c r="L165" s="25" t="n"/>
      <c r="M165" s="25">
        <f>IF(E165="","",F165+G165+H165+I165+J165+K165+L165)</f>
        <v/>
      </c>
      <c r="N165" s="25">
        <f>IF(E165="","",E165-M165)</f>
        <v/>
      </c>
      <c r="O165" s="15" t="n"/>
    </row>
    <row r="166">
      <c r="A166" s="26" t="n"/>
      <c r="B166" s="14" t="n"/>
      <c r="C166" s="14" t="n"/>
      <c r="D166" s="14" t="n"/>
      <c r="E166" s="27" t="n"/>
      <c r="F166" s="27">
        <f>IF(E166="","",E166*0.065)</f>
        <v/>
      </c>
      <c r="G166" s="27">
        <f>IF(E166="","",E166*0.03+0.25)</f>
        <v/>
      </c>
      <c r="H166" s="27" t="n"/>
      <c r="I166" s="27" t="n"/>
      <c r="J166" s="27" t="n"/>
      <c r="K166" s="27" t="n"/>
      <c r="L166" s="27" t="n"/>
      <c r="M166" s="27">
        <f>IF(E166="","",F166+G166+H166+I166+J166+K166+L166)</f>
        <v/>
      </c>
      <c r="N166" s="27">
        <f>IF(E166="","",E166-M166)</f>
        <v/>
      </c>
      <c r="O166" s="14" t="n"/>
    </row>
    <row r="167">
      <c r="A167" s="24" t="n"/>
      <c r="B167" s="15" t="n"/>
      <c r="C167" s="15" t="n"/>
      <c r="D167" s="15" t="n"/>
      <c r="E167" s="25" t="n"/>
      <c r="F167" s="25">
        <f>IF(E167="","",E167*0.065)</f>
        <v/>
      </c>
      <c r="G167" s="25">
        <f>IF(E167="","",E167*0.03+0.25)</f>
        <v/>
      </c>
      <c r="H167" s="25" t="n"/>
      <c r="I167" s="25" t="n"/>
      <c r="J167" s="25" t="n"/>
      <c r="K167" s="25" t="n"/>
      <c r="L167" s="25" t="n"/>
      <c r="M167" s="25">
        <f>IF(E167="","",F167+G167+H167+I167+J167+K167+L167)</f>
        <v/>
      </c>
      <c r="N167" s="25">
        <f>IF(E167="","",E167-M167)</f>
        <v/>
      </c>
      <c r="O167" s="15" t="n"/>
    </row>
    <row r="168">
      <c r="A168" s="26" t="n"/>
      <c r="B168" s="14" t="n"/>
      <c r="C168" s="14" t="n"/>
      <c r="D168" s="14" t="n"/>
      <c r="E168" s="27" t="n"/>
      <c r="F168" s="27">
        <f>IF(E168="","",E168*0.065)</f>
        <v/>
      </c>
      <c r="G168" s="27">
        <f>IF(E168="","",E168*0.03+0.25)</f>
        <v/>
      </c>
      <c r="H168" s="27" t="n"/>
      <c r="I168" s="27" t="n"/>
      <c r="J168" s="27" t="n"/>
      <c r="K168" s="27" t="n"/>
      <c r="L168" s="27" t="n"/>
      <c r="M168" s="27">
        <f>IF(E168="","",F168+G168+H168+I168+J168+K168+L168)</f>
        <v/>
      </c>
      <c r="N168" s="27">
        <f>IF(E168="","",E168-M168)</f>
        <v/>
      </c>
      <c r="O168" s="14" t="n"/>
    </row>
    <row r="169">
      <c r="A169" s="24" t="n"/>
      <c r="B169" s="15" t="n"/>
      <c r="C169" s="15" t="n"/>
      <c r="D169" s="15" t="n"/>
      <c r="E169" s="25" t="n"/>
      <c r="F169" s="25">
        <f>IF(E169="","",E169*0.065)</f>
        <v/>
      </c>
      <c r="G169" s="25">
        <f>IF(E169="","",E169*0.03+0.25)</f>
        <v/>
      </c>
      <c r="H169" s="25" t="n"/>
      <c r="I169" s="25" t="n"/>
      <c r="J169" s="25" t="n"/>
      <c r="K169" s="25" t="n"/>
      <c r="L169" s="25" t="n"/>
      <c r="M169" s="25">
        <f>IF(E169="","",F169+G169+H169+I169+J169+K169+L169)</f>
        <v/>
      </c>
      <c r="N169" s="25">
        <f>IF(E169="","",E169-M169)</f>
        <v/>
      </c>
      <c r="O169" s="15" t="n"/>
    </row>
    <row r="170">
      <c r="A170" s="26" t="n"/>
      <c r="B170" s="14" t="n"/>
      <c r="C170" s="14" t="n"/>
      <c r="D170" s="14" t="n"/>
      <c r="E170" s="27" t="n"/>
      <c r="F170" s="27">
        <f>IF(E170="","",E170*0.065)</f>
        <v/>
      </c>
      <c r="G170" s="27">
        <f>IF(E170="","",E170*0.03+0.25)</f>
        <v/>
      </c>
      <c r="H170" s="27" t="n"/>
      <c r="I170" s="27" t="n"/>
      <c r="J170" s="27" t="n"/>
      <c r="K170" s="27" t="n"/>
      <c r="L170" s="27" t="n"/>
      <c r="M170" s="27">
        <f>IF(E170="","",F170+G170+H170+I170+J170+K170+L170)</f>
        <v/>
      </c>
      <c r="N170" s="27">
        <f>IF(E170="","",E170-M170)</f>
        <v/>
      </c>
      <c r="O170" s="14" t="n"/>
    </row>
    <row r="171">
      <c r="A171" s="24" t="n"/>
      <c r="B171" s="15" t="n"/>
      <c r="C171" s="15" t="n"/>
      <c r="D171" s="15" t="n"/>
      <c r="E171" s="25" t="n"/>
      <c r="F171" s="25">
        <f>IF(E171="","",E171*0.065)</f>
        <v/>
      </c>
      <c r="G171" s="25">
        <f>IF(E171="","",E171*0.03+0.25)</f>
        <v/>
      </c>
      <c r="H171" s="25" t="n"/>
      <c r="I171" s="25" t="n"/>
      <c r="J171" s="25" t="n"/>
      <c r="K171" s="25" t="n"/>
      <c r="L171" s="25" t="n"/>
      <c r="M171" s="25">
        <f>IF(E171="","",F171+G171+H171+I171+J171+K171+L171)</f>
        <v/>
      </c>
      <c r="N171" s="25">
        <f>IF(E171="","",E171-M171)</f>
        <v/>
      </c>
      <c r="O171" s="15" t="n"/>
    </row>
    <row r="172">
      <c r="A172" s="26" t="n"/>
      <c r="B172" s="14" t="n"/>
      <c r="C172" s="14" t="n"/>
      <c r="D172" s="14" t="n"/>
      <c r="E172" s="27" t="n"/>
      <c r="F172" s="27">
        <f>IF(E172="","",E172*0.065)</f>
        <v/>
      </c>
      <c r="G172" s="27">
        <f>IF(E172="","",E172*0.03+0.25)</f>
        <v/>
      </c>
      <c r="H172" s="27" t="n"/>
      <c r="I172" s="27" t="n"/>
      <c r="J172" s="27" t="n"/>
      <c r="K172" s="27" t="n"/>
      <c r="L172" s="27" t="n"/>
      <c r="M172" s="27">
        <f>IF(E172="","",F172+G172+H172+I172+J172+K172+L172)</f>
        <v/>
      </c>
      <c r="N172" s="27">
        <f>IF(E172="","",E172-M172)</f>
        <v/>
      </c>
      <c r="O172" s="14" t="n"/>
    </row>
    <row r="173">
      <c r="A173" s="24" t="n"/>
      <c r="B173" s="15" t="n"/>
      <c r="C173" s="15" t="n"/>
      <c r="D173" s="15" t="n"/>
      <c r="E173" s="25" t="n"/>
      <c r="F173" s="25">
        <f>IF(E173="","",E173*0.065)</f>
        <v/>
      </c>
      <c r="G173" s="25">
        <f>IF(E173="","",E173*0.03+0.25)</f>
        <v/>
      </c>
      <c r="H173" s="25" t="n"/>
      <c r="I173" s="25" t="n"/>
      <c r="J173" s="25" t="n"/>
      <c r="K173" s="25" t="n"/>
      <c r="L173" s="25" t="n"/>
      <c r="M173" s="25">
        <f>IF(E173="","",F173+G173+H173+I173+J173+K173+L173)</f>
        <v/>
      </c>
      <c r="N173" s="25">
        <f>IF(E173="","",E173-M173)</f>
        <v/>
      </c>
      <c r="O173" s="15" t="n"/>
    </row>
    <row r="174">
      <c r="A174" s="26" t="n"/>
      <c r="B174" s="14" t="n"/>
      <c r="C174" s="14" t="n"/>
      <c r="D174" s="14" t="n"/>
      <c r="E174" s="27" t="n"/>
      <c r="F174" s="27">
        <f>IF(E174="","",E174*0.065)</f>
        <v/>
      </c>
      <c r="G174" s="27">
        <f>IF(E174="","",E174*0.03+0.25)</f>
        <v/>
      </c>
      <c r="H174" s="27" t="n"/>
      <c r="I174" s="27" t="n"/>
      <c r="J174" s="27" t="n"/>
      <c r="K174" s="27" t="n"/>
      <c r="L174" s="27" t="n"/>
      <c r="M174" s="27">
        <f>IF(E174="","",F174+G174+H174+I174+J174+K174+L174)</f>
        <v/>
      </c>
      <c r="N174" s="27">
        <f>IF(E174="","",E174-M174)</f>
        <v/>
      </c>
      <c r="O174" s="14" t="n"/>
    </row>
    <row r="175">
      <c r="A175" s="24" t="n"/>
      <c r="B175" s="15" t="n"/>
      <c r="C175" s="15" t="n"/>
      <c r="D175" s="15" t="n"/>
      <c r="E175" s="25" t="n"/>
      <c r="F175" s="25">
        <f>IF(E175="","",E175*0.065)</f>
        <v/>
      </c>
      <c r="G175" s="25">
        <f>IF(E175="","",E175*0.03+0.25)</f>
        <v/>
      </c>
      <c r="H175" s="25" t="n"/>
      <c r="I175" s="25" t="n"/>
      <c r="J175" s="25" t="n"/>
      <c r="K175" s="25" t="n"/>
      <c r="L175" s="25" t="n"/>
      <c r="M175" s="25">
        <f>IF(E175="","",F175+G175+H175+I175+J175+K175+L175)</f>
        <v/>
      </c>
      <c r="N175" s="25">
        <f>IF(E175="","",E175-M175)</f>
        <v/>
      </c>
      <c r="O175" s="15" t="n"/>
    </row>
    <row r="176">
      <c r="A176" s="26" t="n"/>
      <c r="B176" s="14" t="n"/>
      <c r="C176" s="14" t="n"/>
      <c r="D176" s="14" t="n"/>
      <c r="E176" s="27" t="n"/>
      <c r="F176" s="27">
        <f>IF(E176="","",E176*0.065)</f>
        <v/>
      </c>
      <c r="G176" s="27">
        <f>IF(E176="","",E176*0.03+0.25)</f>
        <v/>
      </c>
      <c r="H176" s="27" t="n"/>
      <c r="I176" s="27" t="n"/>
      <c r="J176" s="27" t="n"/>
      <c r="K176" s="27" t="n"/>
      <c r="L176" s="27" t="n"/>
      <c r="M176" s="27">
        <f>IF(E176="","",F176+G176+H176+I176+J176+K176+L176)</f>
        <v/>
      </c>
      <c r="N176" s="27">
        <f>IF(E176="","",E176-M176)</f>
        <v/>
      </c>
      <c r="O176" s="14" t="n"/>
    </row>
    <row r="177">
      <c r="A177" s="24" t="n"/>
      <c r="B177" s="15" t="n"/>
      <c r="C177" s="15" t="n"/>
      <c r="D177" s="15" t="n"/>
      <c r="E177" s="25" t="n"/>
      <c r="F177" s="25">
        <f>IF(E177="","",E177*0.065)</f>
        <v/>
      </c>
      <c r="G177" s="25">
        <f>IF(E177="","",E177*0.03+0.25)</f>
        <v/>
      </c>
      <c r="H177" s="25" t="n"/>
      <c r="I177" s="25" t="n"/>
      <c r="J177" s="25" t="n"/>
      <c r="K177" s="25" t="n"/>
      <c r="L177" s="25" t="n"/>
      <c r="M177" s="25">
        <f>IF(E177="","",F177+G177+H177+I177+J177+K177+L177)</f>
        <v/>
      </c>
      <c r="N177" s="25">
        <f>IF(E177="","",E177-M177)</f>
        <v/>
      </c>
      <c r="O177" s="15" t="n"/>
    </row>
    <row r="178">
      <c r="A178" s="26" t="n"/>
      <c r="B178" s="14" t="n"/>
      <c r="C178" s="14" t="n"/>
      <c r="D178" s="14" t="n"/>
      <c r="E178" s="27" t="n"/>
      <c r="F178" s="27">
        <f>IF(E178="","",E178*0.065)</f>
        <v/>
      </c>
      <c r="G178" s="27">
        <f>IF(E178="","",E178*0.03+0.25)</f>
        <v/>
      </c>
      <c r="H178" s="27" t="n"/>
      <c r="I178" s="27" t="n"/>
      <c r="J178" s="27" t="n"/>
      <c r="K178" s="27" t="n"/>
      <c r="L178" s="27" t="n"/>
      <c r="M178" s="27">
        <f>IF(E178="","",F178+G178+H178+I178+J178+K178+L178)</f>
        <v/>
      </c>
      <c r="N178" s="27">
        <f>IF(E178="","",E178-M178)</f>
        <v/>
      </c>
      <c r="O178" s="14" t="n"/>
    </row>
    <row r="179">
      <c r="A179" s="24" t="n"/>
      <c r="B179" s="15" t="n"/>
      <c r="C179" s="15" t="n"/>
      <c r="D179" s="15" t="n"/>
      <c r="E179" s="25" t="n"/>
      <c r="F179" s="25">
        <f>IF(E179="","",E179*0.065)</f>
        <v/>
      </c>
      <c r="G179" s="25">
        <f>IF(E179="","",E179*0.03+0.25)</f>
        <v/>
      </c>
      <c r="H179" s="25" t="n"/>
      <c r="I179" s="25" t="n"/>
      <c r="J179" s="25" t="n"/>
      <c r="K179" s="25" t="n"/>
      <c r="L179" s="25" t="n"/>
      <c r="M179" s="25">
        <f>IF(E179="","",F179+G179+H179+I179+J179+K179+L179)</f>
        <v/>
      </c>
      <c r="N179" s="25">
        <f>IF(E179="","",E179-M179)</f>
        <v/>
      </c>
      <c r="O179" s="15" t="n"/>
    </row>
    <row r="180">
      <c r="A180" s="26" t="n"/>
      <c r="B180" s="14" t="n"/>
      <c r="C180" s="14" t="n"/>
      <c r="D180" s="14" t="n"/>
      <c r="E180" s="27" t="n"/>
      <c r="F180" s="27">
        <f>IF(E180="","",E180*0.065)</f>
        <v/>
      </c>
      <c r="G180" s="27">
        <f>IF(E180="","",E180*0.03+0.25)</f>
        <v/>
      </c>
      <c r="H180" s="27" t="n"/>
      <c r="I180" s="27" t="n"/>
      <c r="J180" s="27" t="n"/>
      <c r="K180" s="27" t="n"/>
      <c r="L180" s="27" t="n"/>
      <c r="M180" s="27">
        <f>IF(E180="","",F180+G180+H180+I180+J180+K180+L180)</f>
        <v/>
      </c>
      <c r="N180" s="27">
        <f>IF(E180="","",E180-M180)</f>
        <v/>
      </c>
      <c r="O180" s="14" t="n"/>
    </row>
    <row r="181">
      <c r="A181" s="24" t="n"/>
      <c r="B181" s="15" t="n"/>
      <c r="C181" s="15" t="n"/>
      <c r="D181" s="15" t="n"/>
      <c r="E181" s="25" t="n"/>
      <c r="F181" s="25">
        <f>IF(E181="","",E181*0.065)</f>
        <v/>
      </c>
      <c r="G181" s="25">
        <f>IF(E181="","",E181*0.03+0.25)</f>
        <v/>
      </c>
      <c r="H181" s="25" t="n"/>
      <c r="I181" s="25" t="n"/>
      <c r="J181" s="25" t="n"/>
      <c r="K181" s="25" t="n"/>
      <c r="L181" s="25" t="n"/>
      <c r="M181" s="25">
        <f>IF(E181="","",F181+G181+H181+I181+J181+K181+L181)</f>
        <v/>
      </c>
      <c r="N181" s="25">
        <f>IF(E181="","",E181-M181)</f>
        <v/>
      </c>
      <c r="O181" s="15" t="n"/>
    </row>
    <row r="182">
      <c r="A182" s="26" t="n"/>
      <c r="B182" s="14" t="n"/>
      <c r="C182" s="14" t="n"/>
      <c r="D182" s="14" t="n"/>
      <c r="E182" s="27" t="n"/>
      <c r="F182" s="27">
        <f>IF(E182="","",E182*0.065)</f>
        <v/>
      </c>
      <c r="G182" s="27">
        <f>IF(E182="","",E182*0.03+0.25)</f>
        <v/>
      </c>
      <c r="H182" s="27" t="n"/>
      <c r="I182" s="27" t="n"/>
      <c r="J182" s="27" t="n"/>
      <c r="K182" s="27" t="n"/>
      <c r="L182" s="27" t="n"/>
      <c r="M182" s="27">
        <f>IF(E182="","",F182+G182+H182+I182+J182+K182+L182)</f>
        <v/>
      </c>
      <c r="N182" s="27">
        <f>IF(E182="","",E182-M182)</f>
        <v/>
      </c>
      <c r="O182" s="14" t="n"/>
    </row>
    <row r="183">
      <c r="A183" s="24" t="n"/>
      <c r="B183" s="15" t="n"/>
      <c r="C183" s="15" t="n"/>
      <c r="D183" s="15" t="n"/>
      <c r="E183" s="25" t="n"/>
      <c r="F183" s="25">
        <f>IF(E183="","",E183*0.065)</f>
        <v/>
      </c>
      <c r="G183" s="25">
        <f>IF(E183="","",E183*0.03+0.25)</f>
        <v/>
      </c>
      <c r="H183" s="25" t="n"/>
      <c r="I183" s="25" t="n"/>
      <c r="J183" s="25" t="n"/>
      <c r="K183" s="25" t="n"/>
      <c r="L183" s="25" t="n"/>
      <c r="M183" s="25">
        <f>IF(E183="","",F183+G183+H183+I183+J183+K183+L183)</f>
        <v/>
      </c>
      <c r="N183" s="25">
        <f>IF(E183="","",E183-M183)</f>
        <v/>
      </c>
      <c r="O183" s="15" t="n"/>
    </row>
    <row r="184">
      <c r="A184" s="26" t="n"/>
      <c r="B184" s="14" t="n"/>
      <c r="C184" s="14" t="n"/>
      <c r="D184" s="14" t="n"/>
      <c r="E184" s="27" t="n"/>
      <c r="F184" s="27">
        <f>IF(E184="","",E184*0.065)</f>
        <v/>
      </c>
      <c r="G184" s="27">
        <f>IF(E184="","",E184*0.03+0.25)</f>
        <v/>
      </c>
      <c r="H184" s="27" t="n"/>
      <c r="I184" s="27" t="n"/>
      <c r="J184" s="27" t="n"/>
      <c r="K184" s="27" t="n"/>
      <c r="L184" s="27" t="n"/>
      <c r="M184" s="27">
        <f>IF(E184="","",F184+G184+H184+I184+J184+K184+L184)</f>
        <v/>
      </c>
      <c r="N184" s="27">
        <f>IF(E184="","",E184-M184)</f>
        <v/>
      </c>
      <c r="O184" s="14" t="n"/>
    </row>
    <row r="185">
      <c r="A185" s="24" t="n"/>
      <c r="B185" s="15" t="n"/>
      <c r="C185" s="15" t="n"/>
      <c r="D185" s="15" t="n"/>
      <c r="E185" s="25" t="n"/>
      <c r="F185" s="25">
        <f>IF(E185="","",E185*0.065)</f>
        <v/>
      </c>
      <c r="G185" s="25">
        <f>IF(E185="","",E185*0.03+0.25)</f>
        <v/>
      </c>
      <c r="H185" s="25" t="n"/>
      <c r="I185" s="25" t="n"/>
      <c r="J185" s="25" t="n"/>
      <c r="K185" s="25" t="n"/>
      <c r="L185" s="25" t="n"/>
      <c r="M185" s="25">
        <f>IF(E185="","",F185+G185+H185+I185+J185+K185+L185)</f>
        <v/>
      </c>
      <c r="N185" s="25">
        <f>IF(E185="","",E185-M185)</f>
        <v/>
      </c>
      <c r="O185" s="15" t="n"/>
    </row>
    <row r="186">
      <c r="A186" s="26" t="n"/>
      <c r="B186" s="14" t="n"/>
      <c r="C186" s="14" t="n"/>
      <c r="D186" s="14" t="n"/>
      <c r="E186" s="27" t="n"/>
      <c r="F186" s="27">
        <f>IF(E186="","",E186*0.065)</f>
        <v/>
      </c>
      <c r="G186" s="27">
        <f>IF(E186="","",E186*0.03+0.25)</f>
        <v/>
      </c>
      <c r="H186" s="27" t="n"/>
      <c r="I186" s="27" t="n"/>
      <c r="J186" s="27" t="n"/>
      <c r="K186" s="27" t="n"/>
      <c r="L186" s="27" t="n"/>
      <c r="M186" s="27">
        <f>IF(E186="","",F186+G186+H186+I186+J186+K186+L186)</f>
        <v/>
      </c>
      <c r="N186" s="27">
        <f>IF(E186="","",E186-M186)</f>
        <v/>
      </c>
      <c r="O186" s="14" t="n"/>
    </row>
    <row r="187">
      <c r="A187" s="24" t="n"/>
      <c r="B187" s="15" t="n"/>
      <c r="C187" s="15" t="n"/>
      <c r="D187" s="15" t="n"/>
      <c r="E187" s="25" t="n"/>
      <c r="F187" s="25">
        <f>IF(E187="","",E187*0.065)</f>
        <v/>
      </c>
      <c r="G187" s="25">
        <f>IF(E187="","",E187*0.03+0.25)</f>
        <v/>
      </c>
      <c r="H187" s="25" t="n"/>
      <c r="I187" s="25" t="n"/>
      <c r="J187" s="25" t="n"/>
      <c r="K187" s="25" t="n"/>
      <c r="L187" s="25" t="n"/>
      <c r="M187" s="25">
        <f>IF(E187="","",F187+G187+H187+I187+J187+K187+L187)</f>
        <v/>
      </c>
      <c r="N187" s="25">
        <f>IF(E187="","",E187-M187)</f>
        <v/>
      </c>
      <c r="O187" s="15" t="n"/>
    </row>
    <row r="188">
      <c r="A188" s="26" t="n"/>
      <c r="B188" s="14" t="n"/>
      <c r="C188" s="14" t="n"/>
      <c r="D188" s="14" t="n"/>
      <c r="E188" s="27" t="n"/>
      <c r="F188" s="27">
        <f>IF(E188="","",E188*0.065)</f>
        <v/>
      </c>
      <c r="G188" s="27">
        <f>IF(E188="","",E188*0.03+0.25)</f>
        <v/>
      </c>
      <c r="H188" s="27" t="n"/>
      <c r="I188" s="27" t="n"/>
      <c r="J188" s="27" t="n"/>
      <c r="K188" s="27" t="n"/>
      <c r="L188" s="27" t="n"/>
      <c r="M188" s="27">
        <f>IF(E188="","",F188+G188+H188+I188+J188+K188+L188)</f>
        <v/>
      </c>
      <c r="N188" s="27">
        <f>IF(E188="","",E188-M188)</f>
        <v/>
      </c>
      <c r="O188" s="14" t="n"/>
    </row>
    <row r="189">
      <c r="A189" s="24" t="n"/>
      <c r="B189" s="15" t="n"/>
      <c r="C189" s="15" t="n"/>
      <c r="D189" s="15" t="n"/>
      <c r="E189" s="25" t="n"/>
      <c r="F189" s="25">
        <f>IF(E189="","",E189*0.065)</f>
        <v/>
      </c>
      <c r="G189" s="25">
        <f>IF(E189="","",E189*0.03+0.25)</f>
        <v/>
      </c>
      <c r="H189" s="25" t="n"/>
      <c r="I189" s="25" t="n"/>
      <c r="J189" s="25" t="n"/>
      <c r="K189" s="25" t="n"/>
      <c r="L189" s="25" t="n"/>
      <c r="M189" s="25">
        <f>IF(E189="","",F189+G189+H189+I189+J189+K189+L189)</f>
        <v/>
      </c>
      <c r="N189" s="25">
        <f>IF(E189="","",E189-M189)</f>
        <v/>
      </c>
      <c r="O189" s="15" t="n"/>
    </row>
    <row r="190">
      <c r="A190" s="26" t="n"/>
      <c r="B190" s="14" t="n"/>
      <c r="C190" s="14" t="n"/>
      <c r="D190" s="14" t="n"/>
      <c r="E190" s="27" t="n"/>
      <c r="F190" s="27">
        <f>IF(E190="","",E190*0.065)</f>
        <v/>
      </c>
      <c r="G190" s="27">
        <f>IF(E190="","",E190*0.03+0.25)</f>
        <v/>
      </c>
      <c r="H190" s="27" t="n"/>
      <c r="I190" s="27" t="n"/>
      <c r="J190" s="27" t="n"/>
      <c r="K190" s="27" t="n"/>
      <c r="L190" s="27" t="n"/>
      <c r="M190" s="27">
        <f>IF(E190="","",F190+G190+H190+I190+J190+K190+L190)</f>
        <v/>
      </c>
      <c r="N190" s="27">
        <f>IF(E190="","",E190-M190)</f>
        <v/>
      </c>
      <c r="O190" s="14" t="n"/>
    </row>
    <row r="191">
      <c r="A191" s="24" t="n"/>
      <c r="B191" s="15" t="n"/>
      <c r="C191" s="15" t="n"/>
      <c r="D191" s="15" t="n"/>
      <c r="E191" s="25" t="n"/>
      <c r="F191" s="25">
        <f>IF(E191="","",E191*0.065)</f>
        <v/>
      </c>
      <c r="G191" s="25">
        <f>IF(E191="","",E191*0.03+0.25)</f>
        <v/>
      </c>
      <c r="H191" s="25" t="n"/>
      <c r="I191" s="25" t="n"/>
      <c r="J191" s="25" t="n"/>
      <c r="K191" s="25" t="n"/>
      <c r="L191" s="25" t="n"/>
      <c r="M191" s="25">
        <f>IF(E191="","",F191+G191+H191+I191+J191+K191+L191)</f>
        <v/>
      </c>
      <c r="N191" s="25">
        <f>IF(E191="","",E191-M191)</f>
        <v/>
      </c>
      <c r="O191" s="15" t="n"/>
    </row>
    <row r="192">
      <c r="A192" s="26" t="n"/>
      <c r="B192" s="14" t="n"/>
      <c r="C192" s="14" t="n"/>
      <c r="D192" s="14" t="n"/>
      <c r="E192" s="27" t="n"/>
      <c r="F192" s="27">
        <f>IF(E192="","",E192*0.065)</f>
        <v/>
      </c>
      <c r="G192" s="27">
        <f>IF(E192="","",E192*0.03+0.25)</f>
        <v/>
      </c>
      <c r="H192" s="27" t="n"/>
      <c r="I192" s="27" t="n"/>
      <c r="J192" s="27" t="n"/>
      <c r="K192" s="27" t="n"/>
      <c r="L192" s="27" t="n"/>
      <c r="M192" s="27">
        <f>IF(E192="","",F192+G192+H192+I192+J192+K192+L192)</f>
        <v/>
      </c>
      <c r="N192" s="27">
        <f>IF(E192="","",E192-M192)</f>
        <v/>
      </c>
      <c r="O192" s="14" t="n"/>
    </row>
    <row r="193">
      <c r="A193" s="24" t="n"/>
      <c r="B193" s="15" t="n"/>
      <c r="C193" s="15" t="n"/>
      <c r="D193" s="15" t="n"/>
      <c r="E193" s="25" t="n"/>
      <c r="F193" s="25">
        <f>IF(E193="","",E193*0.065)</f>
        <v/>
      </c>
      <c r="G193" s="25">
        <f>IF(E193="","",E193*0.03+0.25)</f>
        <v/>
      </c>
      <c r="H193" s="25" t="n"/>
      <c r="I193" s="25" t="n"/>
      <c r="J193" s="25" t="n"/>
      <c r="K193" s="25" t="n"/>
      <c r="L193" s="25" t="n"/>
      <c r="M193" s="25">
        <f>IF(E193="","",F193+G193+H193+I193+J193+K193+L193)</f>
        <v/>
      </c>
      <c r="N193" s="25">
        <f>IF(E193="","",E193-M193)</f>
        <v/>
      </c>
      <c r="O193" s="15" t="n"/>
    </row>
    <row r="194">
      <c r="A194" s="26" t="n"/>
      <c r="B194" s="14" t="n"/>
      <c r="C194" s="14" t="n"/>
      <c r="D194" s="14" t="n"/>
      <c r="E194" s="27" t="n"/>
      <c r="F194" s="27">
        <f>IF(E194="","",E194*0.065)</f>
        <v/>
      </c>
      <c r="G194" s="27">
        <f>IF(E194="","",E194*0.03+0.25)</f>
        <v/>
      </c>
      <c r="H194" s="27" t="n"/>
      <c r="I194" s="27" t="n"/>
      <c r="J194" s="27" t="n"/>
      <c r="K194" s="27" t="n"/>
      <c r="L194" s="27" t="n"/>
      <c r="M194" s="27">
        <f>IF(E194="","",F194+G194+H194+I194+J194+K194+L194)</f>
        <v/>
      </c>
      <c r="N194" s="27">
        <f>IF(E194="","",E194-M194)</f>
        <v/>
      </c>
      <c r="O194" s="14" t="n"/>
    </row>
    <row r="195">
      <c r="A195" s="24" t="n"/>
      <c r="B195" s="15" t="n"/>
      <c r="C195" s="15" t="n"/>
      <c r="D195" s="15" t="n"/>
      <c r="E195" s="25" t="n"/>
      <c r="F195" s="25">
        <f>IF(E195="","",E195*0.065)</f>
        <v/>
      </c>
      <c r="G195" s="25">
        <f>IF(E195="","",E195*0.03+0.25)</f>
        <v/>
      </c>
      <c r="H195" s="25" t="n"/>
      <c r="I195" s="25" t="n"/>
      <c r="J195" s="25" t="n"/>
      <c r="K195" s="25" t="n"/>
      <c r="L195" s="25" t="n"/>
      <c r="M195" s="25">
        <f>IF(E195="","",F195+G195+H195+I195+J195+K195+L195)</f>
        <v/>
      </c>
      <c r="N195" s="25">
        <f>IF(E195="","",E195-M195)</f>
        <v/>
      </c>
      <c r="O195" s="15" t="n"/>
    </row>
    <row r="196">
      <c r="A196" s="26" t="n"/>
      <c r="B196" s="14" t="n"/>
      <c r="C196" s="14" t="n"/>
      <c r="D196" s="14" t="n"/>
      <c r="E196" s="27" t="n"/>
      <c r="F196" s="27">
        <f>IF(E196="","",E196*0.065)</f>
        <v/>
      </c>
      <c r="G196" s="27">
        <f>IF(E196="","",E196*0.03+0.25)</f>
        <v/>
      </c>
      <c r="H196" s="27" t="n"/>
      <c r="I196" s="27" t="n"/>
      <c r="J196" s="27" t="n"/>
      <c r="K196" s="27" t="n"/>
      <c r="L196" s="27" t="n"/>
      <c r="M196" s="27">
        <f>IF(E196="","",F196+G196+H196+I196+J196+K196+L196)</f>
        <v/>
      </c>
      <c r="N196" s="27">
        <f>IF(E196="","",E196-M196)</f>
        <v/>
      </c>
      <c r="O196" s="14" t="n"/>
    </row>
    <row r="197">
      <c r="A197" s="24" t="n"/>
      <c r="B197" s="15" t="n"/>
      <c r="C197" s="15" t="n"/>
      <c r="D197" s="15" t="n"/>
      <c r="E197" s="25" t="n"/>
      <c r="F197" s="25">
        <f>IF(E197="","",E197*0.065)</f>
        <v/>
      </c>
      <c r="G197" s="25">
        <f>IF(E197="","",E197*0.03+0.25)</f>
        <v/>
      </c>
      <c r="H197" s="25" t="n"/>
      <c r="I197" s="25" t="n"/>
      <c r="J197" s="25" t="n"/>
      <c r="K197" s="25" t="n"/>
      <c r="L197" s="25" t="n"/>
      <c r="M197" s="25">
        <f>IF(E197="","",F197+G197+H197+I197+J197+K197+L197)</f>
        <v/>
      </c>
      <c r="N197" s="25">
        <f>IF(E197="","",E197-M197)</f>
        <v/>
      </c>
      <c r="O197" s="15" t="n"/>
    </row>
    <row r="198">
      <c r="A198" s="26" t="n"/>
      <c r="B198" s="14" t="n"/>
      <c r="C198" s="14" t="n"/>
      <c r="D198" s="14" t="n"/>
      <c r="E198" s="27" t="n"/>
      <c r="F198" s="27">
        <f>IF(E198="","",E198*0.065)</f>
        <v/>
      </c>
      <c r="G198" s="27">
        <f>IF(E198="","",E198*0.03+0.25)</f>
        <v/>
      </c>
      <c r="H198" s="27" t="n"/>
      <c r="I198" s="27" t="n"/>
      <c r="J198" s="27" t="n"/>
      <c r="K198" s="27" t="n"/>
      <c r="L198" s="27" t="n"/>
      <c r="M198" s="27">
        <f>IF(E198="","",F198+G198+H198+I198+J198+K198+L198)</f>
        <v/>
      </c>
      <c r="N198" s="27">
        <f>IF(E198="","",E198-M198)</f>
        <v/>
      </c>
      <c r="O198" s="14" t="n"/>
    </row>
    <row r="199">
      <c r="A199" s="24" t="n"/>
      <c r="B199" s="15" t="n"/>
      <c r="C199" s="15" t="n"/>
      <c r="D199" s="15" t="n"/>
      <c r="E199" s="25" t="n"/>
      <c r="F199" s="25">
        <f>IF(E199="","",E199*0.065)</f>
        <v/>
      </c>
      <c r="G199" s="25">
        <f>IF(E199="","",E199*0.03+0.25)</f>
        <v/>
      </c>
      <c r="H199" s="25" t="n"/>
      <c r="I199" s="25" t="n"/>
      <c r="J199" s="25" t="n"/>
      <c r="K199" s="25" t="n"/>
      <c r="L199" s="25" t="n"/>
      <c r="M199" s="25">
        <f>IF(E199="","",F199+G199+H199+I199+J199+K199+L199)</f>
        <v/>
      </c>
      <c r="N199" s="25">
        <f>IF(E199="","",E199-M199)</f>
        <v/>
      </c>
      <c r="O199" s="15" t="n"/>
    </row>
    <row r="200">
      <c r="A200" s="26" t="n"/>
      <c r="B200" s="14" t="n"/>
      <c r="C200" s="14" t="n"/>
      <c r="D200" s="14" t="n"/>
      <c r="E200" s="27" t="n"/>
      <c r="F200" s="27">
        <f>IF(E200="","",E200*0.065)</f>
        <v/>
      </c>
      <c r="G200" s="27">
        <f>IF(E200="","",E200*0.03+0.25)</f>
        <v/>
      </c>
      <c r="H200" s="27" t="n"/>
      <c r="I200" s="27" t="n"/>
      <c r="J200" s="27" t="n"/>
      <c r="K200" s="27" t="n"/>
      <c r="L200" s="27" t="n"/>
      <c r="M200" s="27">
        <f>IF(E200="","",F200+G200+H200+I200+J200+K200+L200)</f>
        <v/>
      </c>
      <c r="N200" s="27">
        <f>IF(E200="","",E200-M200)</f>
        <v/>
      </c>
      <c r="O200" s="14" t="n"/>
    </row>
    <row r="201">
      <c r="A201" s="24" t="n"/>
      <c r="B201" s="15" t="n"/>
      <c r="C201" s="15" t="n"/>
      <c r="D201" s="15" t="n"/>
      <c r="E201" s="25" t="n"/>
      <c r="F201" s="25">
        <f>IF(E201="","",E201*0.065)</f>
        <v/>
      </c>
      <c r="G201" s="25">
        <f>IF(E201="","",E201*0.03+0.25)</f>
        <v/>
      </c>
      <c r="H201" s="25" t="n"/>
      <c r="I201" s="25" t="n"/>
      <c r="J201" s="25" t="n"/>
      <c r="K201" s="25" t="n"/>
      <c r="L201" s="25" t="n"/>
      <c r="M201" s="25">
        <f>IF(E201="","",F201+G201+H201+I201+J201+K201+L201)</f>
        <v/>
      </c>
      <c r="N201" s="25">
        <f>IF(E201="","",E201-M201)</f>
        <v/>
      </c>
      <c r="O201" s="15" t="n"/>
    </row>
    <row r="202">
      <c r="A202" s="26" t="n"/>
      <c r="B202" s="14" t="n"/>
      <c r="C202" s="14" t="n"/>
      <c r="D202" s="14" t="n"/>
      <c r="E202" s="27" t="n"/>
      <c r="F202" s="27">
        <f>IF(E202="","",E202*0.065)</f>
        <v/>
      </c>
      <c r="G202" s="27">
        <f>IF(E202="","",E202*0.03+0.25)</f>
        <v/>
      </c>
      <c r="H202" s="27" t="n"/>
      <c r="I202" s="27" t="n"/>
      <c r="J202" s="27" t="n"/>
      <c r="K202" s="27" t="n"/>
      <c r="L202" s="27" t="n"/>
      <c r="M202" s="27">
        <f>IF(E202="","",F202+G202+H202+I202+J202+K202+L202)</f>
        <v/>
      </c>
      <c r="N202" s="27">
        <f>IF(E202="","",E202-M202)</f>
        <v/>
      </c>
      <c r="O202" s="14" t="n"/>
    </row>
    <row r="203">
      <c r="A203" s="24" t="n"/>
      <c r="B203" s="15" t="n"/>
      <c r="C203" s="15" t="n"/>
      <c r="D203" s="15" t="n"/>
      <c r="E203" s="25" t="n"/>
      <c r="F203" s="25">
        <f>IF(E203="","",E203*0.065)</f>
        <v/>
      </c>
      <c r="G203" s="25">
        <f>IF(E203="","",E203*0.03+0.25)</f>
        <v/>
      </c>
      <c r="H203" s="25" t="n"/>
      <c r="I203" s="25" t="n"/>
      <c r="J203" s="25" t="n"/>
      <c r="K203" s="25" t="n"/>
      <c r="L203" s="25" t="n"/>
      <c r="M203" s="25">
        <f>IF(E203="","",F203+G203+H203+I203+J203+K203+L203)</f>
        <v/>
      </c>
      <c r="N203" s="25">
        <f>IF(E203="","",E203-M203)</f>
        <v/>
      </c>
      <c r="O203" s="15" t="n"/>
    </row>
    <row r="204">
      <c r="A204" s="26" t="n"/>
      <c r="B204" s="14" t="n"/>
      <c r="C204" s="14" t="n"/>
      <c r="D204" s="14" t="n"/>
      <c r="E204" s="27" t="n"/>
      <c r="F204" s="27">
        <f>IF(E204="","",E204*0.065)</f>
        <v/>
      </c>
      <c r="G204" s="27">
        <f>IF(E204="","",E204*0.03+0.25)</f>
        <v/>
      </c>
      <c r="H204" s="27" t="n"/>
      <c r="I204" s="27" t="n"/>
      <c r="J204" s="27" t="n"/>
      <c r="K204" s="27" t="n"/>
      <c r="L204" s="27" t="n"/>
      <c r="M204" s="27">
        <f>IF(E204="","",F204+G204+H204+I204+J204+K204+L204)</f>
        <v/>
      </c>
      <c r="N204" s="27">
        <f>IF(E204="","",E204-M204)</f>
        <v/>
      </c>
      <c r="O204" s="14" t="n"/>
    </row>
    <row r="205">
      <c r="A205" s="24" t="n"/>
      <c r="B205" s="15" t="n"/>
      <c r="C205" s="15" t="n"/>
      <c r="D205" s="15" t="n"/>
      <c r="E205" s="25" t="n"/>
      <c r="F205" s="25">
        <f>IF(E205="","",E205*0.065)</f>
        <v/>
      </c>
      <c r="G205" s="25">
        <f>IF(E205="","",E205*0.03+0.25)</f>
        <v/>
      </c>
      <c r="H205" s="25" t="n"/>
      <c r="I205" s="25" t="n"/>
      <c r="J205" s="25" t="n"/>
      <c r="K205" s="25" t="n"/>
      <c r="L205" s="25" t="n"/>
      <c r="M205" s="25">
        <f>IF(E205="","",F205+G205+H205+I205+J205+K205+L205)</f>
        <v/>
      </c>
      <c r="N205" s="25">
        <f>IF(E205="","",E205-M205)</f>
        <v/>
      </c>
      <c r="O205" s="15" t="n"/>
    </row>
    <row r="206">
      <c r="A206" s="26" t="n"/>
      <c r="B206" s="14" t="n"/>
      <c r="C206" s="14" t="n"/>
      <c r="D206" s="14" t="n"/>
      <c r="E206" s="27" t="n"/>
      <c r="F206" s="27">
        <f>IF(E206="","",E206*0.065)</f>
        <v/>
      </c>
      <c r="G206" s="27">
        <f>IF(E206="","",E206*0.03+0.25)</f>
        <v/>
      </c>
      <c r="H206" s="27" t="n"/>
      <c r="I206" s="27" t="n"/>
      <c r="J206" s="27" t="n"/>
      <c r="K206" s="27" t="n"/>
      <c r="L206" s="27" t="n"/>
      <c r="M206" s="27">
        <f>IF(E206="","",F206+G206+H206+I206+J206+K206+L206)</f>
        <v/>
      </c>
      <c r="N206" s="27">
        <f>IF(E206="","",E206-M206)</f>
        <v/>
      </c>
      <c r="O206" s="14" t="n"/>
    </row>
    <row r="207">
      <c r="A207" s="24" t="n"/>
      <c r="B207" s="15" t="n"/>
      <c r="C207" s="15" t="n"/>
      <c r="D207" s="15" t="n"/>
      <c r="E207" s="25" t="n"/>
      <c r="F207" s="25">
        <f>IF(E207="","",E207*0.065)</f>
        <v/>
      </c>
      <c r="G207" s="25">
        <f>IF(E207="","",E207*0.03+0.25)</f>
        <v/>
      </c>
      <c r="H207" s="25" t="n"/>
      <c r="I207" s="25" t="n"/>
      <c r="J207" s="25" t="n"/>
      <c r="K207" s="25" t="n"/>
      <c r="L207" s="25" t="n"/>
      <c r="M207" s="25">
        <f>IF(E207="","",F207+G207+H207+I207+J207+K207+L207)</f>
        <v/>
      </c>
      <c r="N207" s="25">
        <f>IF(E207="","",E207-M207)</f>
        <v/>
      </c>
      <c r="O207" s="15" t="n"/>
    </row>
    <row r="208">
      <c r="A208" s="26" t="n"/>
      <c r="B208" s="14" t="n"/>
      <c r="C208" s="14" t="n"/>
      <c r="D208" s="14" t="n"/>
      <c r="E208" s="27" t="n"/>
      <c r="F208" s="27">
        <f>IF(E208="","",E208*0.065)</f>
        <v/>
      </c>
      <c r="G208" s="27">
        <f>IF(E208="","",E208*0.03+0.25)</f>
        <v/>
      </c>
      <c r="H208" s="27" t="n"/>
      <c r="I208" s="27" t="n"/>
      <c r="J208" s="27" t="n"/>
      <c r="K208" s="27" t="n"/>
      <c r="L208" s="27" t="n"/>
      <c r="M208" s="27">
        <f>IF(E208="","",F208+G208+H208+I208+J208+K208+L208)</f>
        <v/>
      </c>
      <c r="N208" s="27">
        <f>IF(E208="","",E208-M208)</f>
        <v/>
      </c>
      <c r="O208" s="14" t="n"/>
    </row>
    <row r="209">
      <c r="A209" s="24" t="n"/>
      <c r="B209" s="15" t="n"/>
      <c r="C209" s="15" t="n"/>
      <c r="D209" s="15" t="n"/>
      <c r="E209" s="25" t="n"/>
      <c r="F209" s="25">
        <f>IF(E209="","",E209*0.065)</f>
        <v/>
      </c>
      <c r="G209" s="25">
        <f>IF(E209="","",E209*0.03+0.25)</f>
        <v/>
      </c>
      <c r="H209" s="25" t="n"/>
      <c r="I209" s="25" t="n"/>
      <c r="J209" s="25" t="n"/>
      <c r="K209" s="25" t="n"/>
      <c r="L209" s="25" t="n"/>
      <c r="M209" s="25">
        <f>IF(E209="","",F209+G209+H209+I209+J209+K209+L209)</f>
        <v/>
      </c>
      <c r="N209" s="25">
        <f>IF(E209="","",E209-M209)</f>
        <v/>
      </c>
      <c r="O209" s="15" t="n"/>
    </row>
    <row r="210">
      <c r="A210" s="26" t="n"/>
      <c r="B210" s="14" t="n"/>
      <c r="C210" s="14" t="n"/>
      <c r="D210" s="14" t="n"/>
      <c r="E210" s="27" t="n"/>
      <c r="F210" s="27">
        <f>IF(E210="","",E210*0.065)</f>
        <v/>
      </c>
      <c r="G210" s="27">
        <f>IF(E210="","",E210*0.03+0.25)</f>
        <v/>
      </c>
      <c r="H210" s="27" t="n"/>
      <c r="I210" s="27" t="n"/>
      <c r="J210" s="27" t="n"/>
      <c r="K210" s="27" t="n"/>
      <c r="L210" s="27" t="n"/>
      <c r="M210" s="27">
        <f>IF(E210="","",F210+G210+H210+I210+J210+K210+L210)</f>
        <v/>
      </c>
      <c r="N210" s="27">
        <f>IF(E210="","",E210-M210)</f>
        <v/>
      </c>
      <c r="O210" s="14" t="n"/>
    </row>
    <row r="211">
      <c r="A211" s="24" t="n"/>
      <c r="B211" s="15" t="n"/>
      <c r="C211" s="15" t="n"/>
      <c r="D211" s="15" t="n"/>
      <c r="E211" s="25" t="n"/>
      <c r="F211" s="25">
        <f>IF(E211="","",E211*0.065)</f>
        <v/>
      </c>
      <c r="G211" s="25">
        <f>IF(E211="","",E211*0.03+0.25)</f>
        <v/>
      </c>
      <c r="H211" s="25" t="n"/>
      <c r="I211" s="25" t="n"/>
      <c r="J211" s="25" t="n"/>
      <c r="K211" s="25" t="n"/>
      <c r="L211" s="25" t="n"/>
      <c r="M211" s="25">
        <f>IF(E211="","",F211+G211+H211+I211+J211+K211+L211)</f>
        <v/>
      </c>
      <c r="N211" s="25">
        <f>IF(E211="","",E211-M211)</f>
        <v/>
      </c>
      <c r="O211" s="15" t="n"/>
    </row>
    <row r="212">
      <c r="A212" s="26" t="n"/>
      <c r="B212" s="14" t="n"/>
      <c r="C212" s="14" t="n"/>
      <c r="D212" s="14" t="n"/>
      <c r="E212" s="27" t="n"/>
      <c r="F212" s="27">
        <f>IF(E212="","",E212*0.065)</f>
        <v/>
      </c>
      <c r="G212" s="27">
        <f>IF(E212="","",E212*0.03+0.25)</f>
        <v/>
      </c>
      <c r="H212" s="27" t="n"/>
      <c r="I212" s="27" t="n"/>
      <c r="J212" s="27" t="n"/>
      <c r="K212" s="27" t="n"/>
      <c r="L212" s="27" t="n"/>
      <c r="M212" s="27">
        <f>IF(E212="","",F212+G212+H212+I212+J212+K212+L212)</f>
        <v/>
      </c>
      <c r="N212" s="27">
        <f>IF(E212="","",E212-M212)</f>
        <v/>
      </c>
      <c r="O212" s="14" t="n"/>
    </row>
    <row r="213">
      <c r="A213" s="24" t="n"/>
      <c r="B213" s="15" t="n"/>
      <c r="C213" s="15" t="n"/>
      <c r="D213" s="15" t="n"/>
      <c r="E213" s="25" t="n"/>
      <c r="F213" s="25">
        <f>IF(E213="","",E213*0.065)</f>
        <v/>
      </c>
      <c r="G213" s="25">
        <f>IF(E213="","",E213*0.03+0.25)</f>
        <v/>
      </c>
      <c r="H213" s="25" t="n"/>
      <c r="I213" s="25" t="n"/>
      <c r="J213" s="25" t="n"/>
      <c r="K213" s="25" t="n"/>
      <c r="L213" s="25" t="n"/>
      <c r="M213" s="25">
        <f>IF(E213="","",F213+G213+H213+I213+J213+K213+L213)</f>
        <v/>
      </c>
      <c r="N213" s="25">
        <f>IF(E213="","",E213-M213)</f>
        <v/>
      </c>
      <c r="O213" s="15" t="n"/>
    </row>
    <row r="214">
      <c r="A214" s="26" t="n"/>
      <c r="B214" s="14" t="n"/>
      <c r="C214" s="14" t="n"/>
      <c r="D214" s="14" t="n"/>
      <c r="E214" s="27" t="n"/>
      <c r="F214" s="27">
        <f>IF(E214="","",E214*0.065)</f>
        <v/>
      </c>
      <c r="G214" s="27">
        <f>IF(E214="","",E214*0.03+0.25)</f>
        <v/>
      </c>
      <c r="H214" s="27" t="n"/>
      <c r="I214" s="27" t="n"/>
      <c r="J214" s="27" t="n"/>
      <c r="K214" s="27" t="n"/>
      <c r="L214" s="27" t="n"/>
      <c r="M214" s="27">
        <f>IF(E214="","",F214+G214+H214+I214+J214+K214+L214)</f>
        <v/>
      </c>
      <c r="N214" s="27">
        <f>IF(E214="","",E214-M214)</f>
        <v/>
      </c>
      <c r="O214" s="14" t="n"/>
    </row>
    <row r="215">
      <c r="A215" s="24" t="n"/>
      <c r="B215" s="15" t="n"/>
      <c r="C215" s="15" t="n"/>
      <c r="D215" s="15" t="n"/>
      <c r="E215" s="25" t="n"/>
      <c r="F215" s="25">
        <f>IF(E215="","",E215*0.065)</f>
        <v/>
      </c>
      <c r="G215" s="25">
        <f>IF(E215="","",E215*0.03+0.25)</f>
        <v/>
      </c>
      <c r="H215" s="25" t="n"/>
      <c r="I215" s="25" t="n"/>
      <c r="J215" s="25" t="n"/>
      <c r="K215" s="25" t="n"/>
      <c r="L215" s="25" t="n"/>
      <c r="M215" s="25">
        <f>IF(E215="","",F215+G215+H215+I215+J215+K215+L215)</f>
        <v/>
      </c>
      <c r="N215" s="25">
        <f>IF(E215="","",E215-M215)</f>
        <v/>
      </c>
      <c r="O215" s="15" t="n"/>
    </row>
    <row r="216">
      <c r="A216" s="26" t="n"/>
      <c r="B216" s="14" t="n"/>
      <c r="C216" s="14" t="n"/>
      <c r="D216" s="14" t="n"/>
      <c r="E216" s="27" t="n"/>
      <c r="F216" s="27">
        <f>IF(E216="","",E216*0.065)</f>
        <v/>
      </c>
      <c r="G216" s="27">
        <f>IF(E216="","",E216*0.03+0.25)</f>
        <v/>
      </c>
      <c r="H216" s="27" t="n"/>
      <c r="I216" s="27" t="n"/>
      <c r="J216" s="27" t="n"/>
      <c r="K216" s="27" t="n"/>
      <c r="L216" s="27" t="n"/>
      <c r="M216" s="27">
        <f>IF(E216="","",F216+G216+H216+I216+J216+K216+L216)</f>
        <v/>
      </c>
      <c r="N216" s="27">
        <f>IF(E216="","",E216-M216)</f>
        <v/>
      </c>
      <c r="O216" s="14" t="n"/>
    </row>
    <row r="217">
      <c r="A217" s="24" t="n"/>
      <c r="B217" s="15" t="n"/>
      <c r="C217" s="15" t="n"/>
      <c r="D217" s="15" t="n"/>
      <c r="E217" s="25" t="n"/>
      <c r="F217" s="25">
        <f>IF(E217="","",E217*0.065)</f>
        <v/>
      </c>
      <c r="G217" s="25">
        <f>IF(E217="","",E217*0.03+0.25)</f>
        <v/>
      </c>
      <c r="H217" s="25" t="n"/>
      <c r="I217" s="25" t="n"/>
      <c r="J217" s="25" t="n"/>
      <c r="K217" s="25" t="n"/>
      <c r="L217" s="25" t="n"/>
      <c r="M217" s="25">
        <f>IF(E217="","",F217+G217+H217+I217+J217+K217+L217)</f>
        <v/>
      </c>
      <c r="N217" s="25">
        <f>IF(E217="","",E217-M217)</f>
        <v/>
      </c>
      <c r="O217" s="15" t="n"/>
    </row>
    <row r="218">
      <c r="A218" s="26" t="n"/>
      <c r="B218" s="14" t="n"/>
      <c r="C218" s="14" t="n"/>
      <c r="D218" s="14" t="n"/>
      <c r="E218" s="27" t="n"/>
      <c r="F218" s="27">
        <f>IF(E218="","",E218*0.065)</f>
        <v/>
      </c>
      <c r="G218" s="27">
        <f>IF(E218="","",E218*0.03+0.25)</f>
        <v/>
      </c>
      <c r="H218" s="27" t="n"/>
      <c r="I218" s="27" t="n"/>
      <c r="J218" s="27" t="n"/>
      <c r="K218" s="27" t="n"/>
      <c r="L218" s="27" t="n"/>
      <c r="M218" s="27">
        <f>IF(E218="","",F218+G218+H218+I218+J218+K218+L218)</f>
        <v/>
      </c>
      <c r="N218" s="27">
        <f>IF(E218="","",E218-M218)</f>
        <v/>
      </c>
      <c r="O218" s="14" t="n"/>
    </row>
    <row r="219">
      <c r="A219" s="24" t="n"/>
      <c r="B219" s="15" t="n"/>
      <c r="C219" s="15" t="n"/>
      <c r="D219" s="15" t="n"/>
      <c r="E219" s="25" t="n"/>
      <c r="F219" s="25">
        <f>IF(E219="","",E219*0.065)</f>
        <v/>
      </c>
      <c r="G219" s="25">
        <f>IF(E219="","",E219*0.03+0.25)</f>
        <v/>
      </c>
      <c r="H219" s="25" t="n"/>
      <c r="I219" s="25" t="n"/>
      <c r="J219" s="25" t="n"/>
      <c r="K219" s="25" t="n"/>
      <c r="L219" s="25" t="n"/>
      <c r="M219" s="25">
        <f>IF(E219="","",F219+G219+H219+I219+J219+K219+L219)</f>
        <v/>
      </c>
      <c r="N219" s="25">
        <f>IF(E219="","",E219-M219)</f>
        <v/>
      </c>
      <c r="O219" s="15" t="n"/>
    </row>
    <row r="220">
      <c r="A220" s="26" t="n"/>
      <c r="B220" s="14" t="n"/>
      <c r="C220" s="14" t="n"/>
      <c r="D220" s="14" t="n"/>
      <c r="E220" s="27" t="n"/>
      <c r="F220" s="27">
        <f>IF(E220="","",E220*0.065)</f>
        <v/>
      </c>
      <c r="G220" s="27">
        <f>IF(E220="","",E220*0.03+0.25)</f>
        <v/>
      </c>
      <c r="H220" s="27" t="n"/>
      <c r="I220" s="27" t="n"/>
      <c r="J220" s="27" t="n"/>
      <c r="K220" s="27" t="n"/>
      <c r="L220" s="27" t="n"/>
      <c r="M220" s="27">
        <f>IF(E220="","",F220+G220+H220+I220+J220+K220+L220)</f>
        <v/>
      </c>
      <c r="N220" s="27">
        <f>IF(E220="","",E220-M220)</f>
        <v/>
      </c>
      <c r="O220" s="14" t="n"/>
    </row>
    <row r="221">
      <c r="A221" s="24" t="n"/>
      <c r="B221" s="15" t="n"/>
      <c r="C221" s="15" t="n"/>
      <c r="D221" s="15" t="n"/>
      <c r="E221" s="25" t="n"/>
      <c r="F221" s="25">
        <f>IF(E221="","",E221*0.065)</f>
        <v/>
      </c>
      <c r="G221" s="25">
        <f>IF(E221="","",E221*0.03+0.25)</f>
        <v/>
      </c>
      <c r="H221" s="25" t="n"/>
      <c r="I221" s="25" t="n"/>
      <c r="J221" s="25" t="n"/>
      <c r="K221" s="25" t="n"/>
      <c r="L221" s="25" t="n"/>
      <c r="M221" s="25">
        <f>IF(E221="","",F221+G221+H221+I221+J221+K221+L221)</f>
        <v/>
      </c>
      <c r="N221" s="25">
        <f>IF(E221="","",E221-M221)</f>
        <v/>
      </c>
      <c r="O221" s="15" t="n"/>
    </row>
    <row r="222">
      <c r="A222" s="26" t="n"/>
      <c r="B222" s="14" t="n"/>
      <c r="C222" s="14" t="n"/>
      <c r="D222" s="14" t="n"/>
      <c r="E222" s="27" t="n"/>
      <c r="F222" s="27">
        <f>IF(E222="","",E222*0.065)</f>
        <v/>
      </c>
      <c r="G222" s="27">
        <f>IF(E222="","",E222*0.03+0.25)</f>
        <v/>
      </c>
      <c r="H222" s="27" t="n"/>
      <c r="I222" s="27" t="n"/>
      <c r="J222" s="27" t="n"/>
      <c r="K222" s="27" t="n"/>
      <c r="L222" s="27" t="n"/>
      <c r="M222" s="27">
        <f>IF(E222="","",F222+G222+H222+I222+J222+K222+L222)</f>
        <v/>
      </c>
      <c r="N222" s="27">
        <f>IF(E222="","",E222-M222)</f>
        <v/>
      </c>
      <c r="O222" s="14" t="n"/>
    </row>
    <row r="223">
      <c r="A223" s="24" t="n"/>
      <c r="B223" s="15" t="n"/>
      <c r="C223" s="15" t="n"/>
      <c r="D223" s="15" t="n"/>
      <c r="E223" s="25" t="n"/>
      <c r="F223" s="25">
        <f>IF(E223="","",E223*0.065)</f>
        <v/>
      </c>
      <c r="G223" s="25">
        <f>IF(E223="","",E223*0.03+0.25)</f>
        <v/>
      </c>
      <c r="H223" s="25" t="n"/>
      <c r="I223" s="25" t="n"/>
      <c r="J223" s="25" t="n"/>
      <c r="K223" s="25" t="n"/>
      <c r="L223" s="25" t="n"/>
      <c r="M223" s="25">
        <f>IF(E223="","",F223+G223+H223+I223+J223+K223+L223)</f>
        <v/>
      </c>
      <c r="N223" s="25">
        <f>IF(E223="","",E223-M223)</f>
        <v/>
      </c>
      <c r="O223" s="15" t="n"/>
    </row>
    <row r="224">
      <c r="A224" s="26" t="n"/>
      <c r="B224" s="14" t="n"/>
      <c r="C224" s="14" t="n"/>
      <c r="D224" s="14" t="n"/>
      <c r="E224" s="27" t="n"/>
      <c r="F224" s="27">
        <f>IF(E224="","",E224*0.065)</f>
        <v/>
      </c>
      <c r="G224" s="27">
        <f>IF(E224="","",E224*0.03+0.25)</f>
        <v/>
      </c>
      <c r="H224" s="27" t="n"/>
      <c r="I224" s="27" t="n"/>
      <c r="J224" s="27" t="n"/>
      <c r="K224" s="27" t="n"/>
      <c r="L224" s="27" t="n"/>
      <c r="M224" s="27">
        <f>IF(E224="","",F224+G224+H224+I224+J224+K224+L224)</f>
        <v/>
      </c>
      <c r="N224" s="27">
        <f>IF(E224="","",E224-M224)</f>
        <v/>
      </c>
      <c r="O224" s="14" t="n"/>
    </row>
    <row r="225">
      <c r="A225" s="24" t="n"/>
      <c r="B225" s="15" t="n"/>
      <c r="C225" s="15" t="n"/>
      <c r="D225" s="15" t="n"/>
      <c r="E225" s="25" t="n"/>
      <c r="F225" s="25">
        <f>IF(E225="","",E225*0.065)</f>
        <v/>
      </c>
      <c r="G225" s="25">
        <f>IF(E225="","",E225*0.03+0.25)</f>
        <v/>
      </c>
      <c r="H225" s="25" t="n"/>
      <c r="I225" s="25" t="n"/>
      <c r="J225" s="25" t="n"/>
      <c r="K225" s="25" t="n"/>
      <c r="L225" s="25" t="n"/>
      <c r="M225" s="25">
        <f>IF(E225="","",F225+G225+H225+I225+J225+K225+L225)</f>
        <v/>
      </c>
      <c r="N225" s="25">
        <f>IF(E225="","",E225-M225)</f>
        <v/>
      </c>
      <c r="O225" s="15" t="n"/>
    </row>
    <row r="226">
      <c r="A226" s="26" t="n"/>
      <c r="B226" s="14" t="n"/>
      <c r="C226" s="14" t="n"/>
      <c r="D226" s="14" t="n"/>
      <c r="E226" s="27" t="n"/>
      <c r="F226" s="27">
        <f>IF(E226="","",E226*0.065)</f>
        <v/>
      </c>
      <c r="G226" s="27">
        <f>IF(E226="","",E226*0.03+0.25)</f>
        <v/>
      </c>
      <c r="H226" s="27" t="n"/>
      <c r="I226" s="27" t="n"/>
      <c r="J226" s="27" t="n"/>
      <c r="K226" s="27" t="n"/>
      <c r="L226" s="27" t="n"/>
      <c r="M226" s="27">
        <f>IF(E226="","",F226+G226+H226+I226+J226+K226+L226)</f>
        <v/>
      </c>
      <c r="N226" s="27">
        <f>IF(E226="","",E226-M226)</f>
        <v/>
      </c>
      <c r="O226" s="14" t="n"/>
    </row>
    <row r="227">
      <c r="A227" s="24" t="n"/>
      <c r="B227" s="15" t="n"/>
      <c r="C227" s="15" t="n"/>
      <c r="D227" s="15" t="n"/>
      <c r="E227" s="25" t="n"/>
      <c r="F227" s="25">
        <f>IF(E227="","",E227*0.065)</f>
        <v/>
      </c>
      <c r="G227" s="25">
        <f>IF(E227="","",E227*0.03+0.25)</f>
        <v/>
      </c>
      <c r="H227" s="25" t="n"/>
      <c r="I227" s="25" t="n"/>
      <c r="J227" s="25" t="n"/>
      <c r="K227" s="25" t="n"/>
      <c r="L227" s="25" t="n"/>
      <c r="M227" s="25">
        <f>IF(E227="","",F227+G227+H227+I227+J227+K227+L227)</f>
        <v/>
      </c>
      <c r="N227" s="25">
        <f>IF(E227="","",E227-M227)</f>
        <v/>
      </c>
      <c r="O227" s="15" t="n"/>
    </row>
    <row r="228">
      <c r="A228" s="26" t="n"/>
      <c r="B228" s="14" t="n"/>
      <c r="C228" s="14" t="n"/>
      <c r="D228" s="14" t="n"/>
      <c r="E228" s="27" t="n"/>
      <c r="F228" s="27">
        <f>IF(E228="","",E228*0.065)</f>
        <v/>
      </c>
      <c r="G228" s="27">
        <f>IF(E228="","",E228*0.03+0.25)</f>
        <v/>
      </c>
      <c r="H228" s="27" t="n"/>
      <c r="I228" s="27" t="n"/>
      <c r="J228" s="27" t="n"/>
      <c r="K228" s="27" t="n"/>
      <c r="L228" s="27" t="n"/>
      <c r="M228" s="27">
        <f>IF(E228="","",F228+G228+H228+I228+J228+K228+L228)</f>
        <v/>
      </c>
      <c r="N228" s="27">
        <f>IF(E228="","",E228-M228)</f>
        <v/>
      </c>
      <c r="O228" s="14" t="n"/>
    </row>
    <row r="229">
      <c r="A229" s="24" t="n"/>
      <c r="B229" s="15" t="n"/>
      <c r="C229" s="15" t="n"/>
      <c r="D229" s="15" t="n"/>
      <c r="E229" s="25" t="n"/>
      <c r="F229" s="25">
        <f>IF(E229="","",E229*0.065)</f>
        <v/>
      </c>
      <c r="G229" s="25">
        <f>IF(E229="","",E229*0.03+0.25)</f>
        <v/>
      </c>
      <c r="H229" s="25" t="n"/>
      <c r="I229" s="25" t="n"/>
      <c r="J229" s="25" t="n"/>
      <c r="K229" s="25" t="n"/>
      <c r="L229" s="25" t="n"/>
      <c r="M229" s="25">
        <f>IF(E229="","",F229+G229+H229+I229+J229+K229+L229)</f>
        <v/>
      </c>
      <c r="N229" s="25">
        <f>IF(E229="","",E229-M229)</f>
        <v/>
      </c>
      <c r="O229" s="15" t="n"/>
    </row>
    <row r="230">
      <c r="A230" s="26" t="n"/>
      <c r="B230" s="14" t="n"/>
      <c r="C230" s="14" t="n"/>
      <c r="D230" s="14" t="n"/>
      <c r="E230" s="27" t="n"/>
      <c r="F230" s="27">
        <f>IF(E230="","",E230*0.065)</f>
        <v/>
      </c>
      <c r="G230" s="27">
        <f>IF(E230="","",E230*0.03+0.25)</f>
        <v/>
      </c>
      <c r="H230" s="27" t="n"/>
      <c r="I230" s="27" t="n"/>
      <c r="J230" s="27" t="n"/>
      <c r="K230" s="27" t="n"/>
      <c r="L230" s="27" t="n"/>
      <c r="M230" s="27">
        <f>IF(E230="","",F230+G230+H230+I230+J230+K230+L230)</f>
        <v/>
      </c>
      <c r="N230" s="27">
        <f>IF(E230="","",E230-M230)</f>
        <v/>
      </c>
      <c r="O230" s="14" t="n"/>
    </row>
    <row r="231">
      <c r="A231" s="24" t="n"/>
      <c r="B231" s="15" t="n"/>
      <c r="C231" s="15" t="n"/>
      <c r="D231" s="15" t="n"/>
      <c r="E231" s="25" t="n"/>
      <c r="F231" s="25">
        <f>IF(E231="","",E231*0.065)</f>
        <v/>
      </c>
      <c r="G231" s="25">
        <f>IF(E231="","",E231*0.03+0.25)</f>
        <v/>
      </c>
      <c r="H231" s="25" t="n"/>
      <c r="I231" s="25" t="n"/>
      <c r="J231" s="25" t="n"/>
      <c r="K231" s="25" t="n"/>
      <c r="L231" s="25" t="n"/>
      <c r="M231" s="25">
        <f>IF(E231="","",F231+G231+H231+I231+J231+K231+L231)</f>
        <v/>
      </c>
      <c r="N231" s="25">
        <f>IF(E231="","",E231-M231)</f>
        <v/>
      </c>
      <c r="O231" s="15" t="n"/>
    </row>
    <row r="232">
      <c r="A232" s="26" t="n"/>
      <c r="B232" s="14" t="n"/>
      <c r="C232" s="14" t="n"/>
      <c r="D232" s="14" t="n"/>
      <c r="E232" s="27" t="n"/>
      <c r="F232" s="27">
        <f>IF(E232="","",E232*0.065)</f>
        <v/>
      </c>
      <c r="G232" s="27">
        <f>IF(E232="","",E232*0.03+0.25)</f>
        <v/>
      </c>
      <c r="H232" s="27" t="n"/>
      <c r="I232" s="27" t="n"/>
      <c r="J232" s="27" t="n"/>
      <c r="K232" s="27" t="n"/>
      <c r="L232" s="27" t="n"/>
      <c r="M232" s="27">
        <f>IF(E232="","",F232+G232+H232+I232+J232+K232+L232)</f>
        <v/>
      </c>
      <c r="N232" s="27">
        <f>IF(E232="","",E232-M232)</f>
        <v/>
      </c>
      <c r="O232" s="14" t="n"/>
    </row>
    <row r="233">
      <c r="A233" s="24" t="n"/>
      <c r="B233" s="15" t="n"/>
      <c r="C233" s="15" t="n"/>
      <c r="D233" s="15" t="n"/>
      <c r="E233" s="25" t="n"/>
      <c r="F233" s="25">
        <f>IF(E233="","",E233*0.065)</f>
        <v/>
      </c>
      <c r="G233" s="25">
        <f>IF(E233="","",E233*0.03+0.25)</f>
        <v/>
      </c>
      <c r="H233" s="25" t="n"/>
      <c r="I233" s="25" t="n"/>
      <c r="J233" s="25" t="n"/>
      <c r="K233" s="25" t="n"/>
      <c r="L233" s="25" t="n"/>
      <c r="M233" s="25">
        <f>IF(E233="","",F233+G233+H233+I233+J233+K233+L233)</f>
        <v/>
      </c>
      <c r="N233" s="25">
        <f>IF(E233="","",E233-M233)</f>
        <v/>
      </c>
      <c r="O233" s="15" t="n"/>
    </row>
    <row r="234">
      <c r="A234" s="26" t="n"/>
      <c r="B234" s="14" t="n"/>
      <c r="C234" s="14" t="n"/>
      <c r="D234" s="14" t="n"/>
      <c r="E234" s="27" t="n"/>
      <c r="F234" s="27">
        <f>IF(E234="","",E234*0.065)</f>
        <v/>
      </c>
      <c r="G234" s="27">
        <f>IF(E234="","",E234*0.03+0.25)</f>
        <v/>
      </c>
      <c r="H234" s="27" t="n"/>
      <c r="I234" s="27" t="n"/>
      <c r="J234" s="27" t="n"/>
      <c r="K234" s="27" t="n"/>
      <c r="L234" s="27" t="n"/>
      <c r="M234" s="27">
        <f>IF(E234="","",F234+G234+H234+I234+J234+K234+L234)</f>
        <v/>
      </c>
      <c r="N234" s="27">
        <f>IF(E234="","",E234-M234)</f>
        <v/>
      </c>
      <c r="O234" s="14" t="n"/>
    </row>
    <row r="235">
      <c r="A235" s="24" t="n"/>
      <c r="B235" s="15" t="n"/>
      <c r="C235" s="15" t="n"/>
      <c r="D235" s="15" t="n"/>
      <c r="E235" s="25" t="n"/>
      <c r="F235" s="25">
        <f>IF(E235="","",E235*0.065)</f>
        <v/>
      </c>
      <c r="G235" s="25">
        <f>IF(E235="","",E235*0.03+0.25)</f>
        <v/>
      </c>
      <c r="H235" s="25" t="n"/>
      <c r="I235" s="25" t="n"/>
      <c r="J235" s="25" t="n"/>
      <c r="K235" s="25" t="n"/>
      <c r="L235" s="25" t="n"/>
      <c r="M235" s="25">
        <f>IF(E235="","",F235+G235+H235+I235+J235+K235+L235)</f>
        <v/>
      </c>
      <c r="N235" s="25">
        <f>IF(E235="","",E235-M235)</f>
        <v/>
      </c>
      <c r="O235" s="15" t="n"/>
    </row>
    <row r="236">
      <c r="A236" s="26" t="n"/>
      <c r="B236" s="14" t="n"/>
      <c r="C236" s="14" t="n"/>
      <c r="D236" s="14" t="n"/>
      <c r="E236" s="27" t="n"/>
      <c r="F236" s="27">
        <f>IF(E236="","",E236*0.065)</f>
        <v/>
      </c>
      <c r="G236" s="27">
        <f>IF(E236="","",E236*0.03+0.25)</f>
        <v/>
      </c>
      <c r="H236" s="27" t="n"/>
      <c r="I236" s="27" t="n"/>
      <c r="J236" s="27" t="n"/>
      <c r="K236" s="27" t="n"/>
      <c r="L236" s="27" t="n"/>
      <c r="M236" s="27">
        <f>IF(E236="","",F236+G236+H236+I236+J236+K236+L236)</f>
        <v/>
      </c>
      <c r="N236" s="27">
        <f>IF(E236="","",E236-M236)</f>
        <v/>
      </c>
      <c r="O236" s="14" t="n"/>
    </row>
    <row r="237">
      <c r="A237" s="24" t="n"/>
      <c r="B237" s="15" t="n"/>
      <c r="C237" s="15" t="n"/>
      <c r="D237" s="15" t="n"/>
      <c r="E237" s="25" t="n"/>
      <c r="F237" s="25">
        <f>IF(E237="","",E237*0.065)</f>
        <v/>
      </c>
      <c r="G237" s="25">
        <f>IF(E237="","",E237*0.03+0.25)</f>
        <v/>
      </c>
      <c r="H237" s="25" t="n"/>
      <c r="I237" s="25" t="n"/>
      <c r="J237" s="25" t="n"/>
      <c r="K237" s="25" t="n"/>
      <c r="L237" s="25" t="n"/>
      <c r="M237" s="25">
        <f>IF(E237="","",F237+G237+H237+I237+J237+K237+L237)</f>
        <v/>
      </c>
      <c r="N237" s="25">
        <f>IF(E237="","",E237-M237)</f>
        <v/>
      </c>
      <c r="O237" s="15" t="n"/>
    </row>
    <row r="238">
      <c r="A238" s="26" t="n"/>
      <c r="B238" s="14" t="n"/>
      <c r="C238" s="14" t="n"/>
      <c r="D238" s="14" t="n"/>
      <c r="E238" s="27" t="n"/>
      <c r="F238" s="27">
        <f>IF(E238="","",E238*0.065)</f>
        <v/>
      </c>
      <c r="G238" s="27">
        <f>IF(E238="","",E238*0.03+0.25)</f>
        <v/>
      </c>
      <c r="H238" s="27" t="n"/>
      <c r="I238" s="27" t="n"/>
      <c r="J238" s="27" t="n"/>
      <c r="K238" s="27" t="n"/>
      <c r="L238" s="27" t="n"/>
      <c r="M238" s="27">
        <f>IF(E238="","",F238+G238+H238+I238+J238+K238+L238)</f>
        <v/>
      </c>
      <c r="N238" s="27">
        <f>IF(E238="","",E238-M238)</f>
        <v/>
      </c>
      <c r="O238" s="14" t="n"/>
    </row>
    <row r="239">
      <c r="A239" s="24" t="n"/>
      <c r="B239" s="15" t="n"/>
      <c r="C239" s="15" t="n"/>
      <c r="D239" s="15" t="n"/>
      <c r="E239" s="25" t="n"/>
      <c r="F239" s="25">
        <f>IF(E239="","",E239*0.065)</f>
        <v/>
      </c>
      <c r="G239" s="25">
        <f>IF(E239="","",E239*0.03+0.25)</f>
        <v/>
      </c>
      <c r="H239" s="25" t="n"/>
      <c r="I239" s="25" t="n"/>
      <c r="J239" s="25" t="n"/>
      <c r="K239" s="25" t="n"/>
      <c r="L239" s="25" t="n"/>
      <c r="M239" s="25">
        <f>IF(E239="","",F239+G239+H239+I239+J239+K239+L239)</f>
        <v/>
      </c>
      <c r="N239" s="25">
        <f>IF(E239="","",E239-M239)</f>
        <v/>
      </c>
      <c r="O239" s="15" t="n"/>
    </row>
    <row r="240">
      <c r="A240" s="26" t="n"/>
      <c r="B240" s="14" t="n"/>
      <c r="C240" s="14" t="n"/>
      <c r="D240" s="14" t="n"/>
      <c r="E240" s="27" t="n"/>
      <c r="F240" s="27">
        <f>IF(E240="","",E240*0.065)</f>
        <v/>
      </c>
      <c r="G240" s="27">
        <f>IF(E240="","",E240*0.03+0.25)</f>
        <v/>
      </c>
      <c r="H240" s="27" t="n"/>
      <c r="I240" s="27" t="n"/>
      <c r="J240" s="27" t="n"/>
      <c r="K240" s="27" t="n"/>
      <c r="L240" s="27" t="n"/>
      <c r="M240" s="27">
        <f>IF(E240="","",F240+G240+H240+I240+J240+K240+L240)</f>
        <v/>
      </c>
      <c r="N240" s="27">
        <f>IF(E240="","",E240-M240)</f>
        <v/>
      </c>
      <c r="O240" s="14" t="n"/>
    </row>
    <row r="241">
      <c r="A241" s="24" t="n"/>
      <c r="B241" s="15" t="n"/>
      <c r="C241" s="15" t="n"/>
      <c r="D241" s="15" t="n"/>
      <c r="E241" s="25" t="n"/>
      <c r="F241" s="25">
        <f>IF(E241="","",E241*0.065)</f>
        <v/>
      </c>
      <c r="G241" s="25">
        <f>IF(E241="","",E241*0.03+0.25)</f>
        <v/>
      </c>
      <c r="H241" s="25" t="n"/>
      <c r="I241" s="25" t="n"/>
      <c r="J241" s="25" t="n"/>
      <c r="K241" s="25" t="n"/>
      <c r="L241" s="25" t="n"/>
      <c r="M241" s="25">
        <f>IF(E241="","",F241+G241+H241+I241+J241+K241+L241)</f>
        <v/>
      </c>
      <c r="N241" s="25">
        <f>IF(E241="","",E241-M241)</f>
        <v/>
      </c>
      <c r="O241" s="15" t="n"/>
    </row>
    <row r="242">
      <c r="A242" s="26" t="n"/>
      <c r="B242" s="14" t="n"/>
      <c r="C242" s="14" t="n"/>
      <c r="D242" s="14" t="n"/>
      <c r="E242" s="27" t="n"/>
      <c r="F242" s="27">
        <f>IF(E242="","",E242*0.065)</f>
        <v/>
      </c>
      <c r="G242" s="27">
        <f>IF(E242="","",E242*0.03+0.25)</f>
        <v/>
      </c>
      <c r="H242" s="27" t="n"/>
      <c r="I242" s="27" t="n"/>
      <c r="J242" s="27" t="n"/>
      <c r="K242" s="27" t="n"/>
      <c r="L242" s="27" t="n"/>
      <c r="M242" s="27">
        <f>IF(E242="","",F242+G242+H242+I242+J242+K242+L242)</f>
        <v/>
      </c>
      <c r="N242" s="27">
        <f>IF(E242="","",E242-M242)</f>
        <v/>
      </c>
      <c r="O242" s="14" t="n"/>
    </row>
    <row r="243">
      <c r="A243" s="24" t="n"/>
      <c r="B243" s="15" t="n"/>
      <c r="C243" s="15" t="n"/>
      <c r="D243" s="15" t="n"/>
      <c r="E243" s="25" t="n"/>
      <c r="F243" s="25">
        <f>IF(E243="","",E243*0.065)</f>
        <v/>
      </c>
      <c r="G243" s="25">
        <f>IF(E243="","",E243*0.03+0.25)</f>
        <v/>
      </c>
      <c r="H243" s="25" t="n"/>
      <c r="I243" s="25" t="n"/>
      <c r="J243" s="25" t="n"/>
      <c r="K243" s="25" t="n"/>
      <c r="L243" s="25" t="n"/>
      <c r="M243" s="25">
        <f>IF(E243="","",F243+G243+H243+I243+J243+K243+L243)</f>
        <v/>
      </c>
      <c r="N243" s="25">
        <f>IF(E243="","",E243-M243)</f>
        <v/>
      </c>
      <c r="O243" s="15" t="n"/>
    </row>
    <row r="244">
      <c r="A244" s="26" t="n"/>
      <c r="B244" s="14" t="n"/>
      <c r="C244" s="14" t="n"/>
      <c r="D244" s="14" t="n"/>
      <c r="E244" s="27" t="n"/>
      <c r="F244" s="27">
        <f>IF(E244="","",E244*0.065)</f>
        <v/>
      </c>
      <c r="G244" s="27">
        <f>IF(E244="","",E244*0.03+0.25)</f>
        <v/>
      </c>
      <c r="H244" s="27" t="n"/>
      <c r="I244" s="27" t="n"/>
      <c r="J244" s="27" t="n"/>
      <c r="K244" s="27" t="n"/>
      <c r="L244" s="27" t="n"/>
      <c r="M244" s="27">
        <f>IF(E244="","",F244+G244+H244+I244+J244+K244+L244)</f>
        <v/>
      </c>
      <c r="N244" s="27">
        <f>IF(E244="","",E244-M244)</f>
        <v/>
      </c>
      <c r="O244" s="14" t="n"/>
    </row>
    <row r="245">
      <c r="A245" s="24" t="n"/>
      <c r="B245" s="15" t="n"/>
      <c r="C245" s="15" t="n"/>
      <c r="D245" s="15" t="n"/>
      <c r="E245" s="25" t="n"/>
      <c r="F245" s="25">
        <f>IF(E245="","",E245*0.065)</f>
        <v/>
      </c>
      <c r="G245" s="25">
        <f>IF(E245="","",E245*0.03+0.25)</f>
        <v/>
      </c>
      <c r="H245" s="25" t="n"/>
      <c r="I245" s="25" t="n"/>
      <c r="J245" s="25" t="n"/>
      <c r="K245" s="25" t="n"/>
      <c r="L245" s="25" t="n"/>
      <c r="M245" s="25">
        <f>IF(E245="","",F245+G245+H245+I245+J245+K245+L245)</f>
        <v/>
      </c>
      <c r="N245" s="25">
        <f>IF(E245="","",E245-M245)</f>
        <v/>
      </c>
      <c r="O245" s="15" t="n"/>
    </row>
    <row r="246">
      <c r="A246" s="26" t="n"/>
      <c r="B246" s="14" t="n"/>
      <c r="C246" s="14" t="n"/>
      <c r="D246" s="14" t="n"/>
      <c r="E246" s="27" t="n"/>
      <c r="F246" s="27">
        <f>IF(E246="","",E246*0.065)</f>
        <v/>
      </c>
      <c r="G246" s="27">
        <f>IF(E246="","",E246*0.03+0.25)</f>
        <v/>
      </c>
      <c r="H246" s="27" t="n"/>
      <c r="I246" s="27" t="n"/>
      <c r="J246" s="27" t="n"/>
      <c r="K246" s="27" t="n"/>
      <c r="L246" s="27" t="n"/>
      <c r="M246" s="27">
        <f>IF(E246="","",F246+G246+H246+I246+J246+K246+L246)</f>
        <v/>
      </c>
      <c r="N246" s="27">
        <f>IF(E246="","",E246-M246)</f>
        <v/>
      </c>
      <c r="O246" s="14" t="n"/>
    </row>
    <row r="247">
      <c r="A247" s="24" t="n"/>
      <c r="B247" s="15" t="n"/>
      <c r="C247" s="15" t="n"/>
      <c r="D247" s="15" t="n"/>
      <c r="E247" s="25" t="n"/>
      <c r="F247" s="25">
        <f>IF(E247="","",E247*0.065)</f>
        <v/>
      </c>
      <c r="G247" s="25">
        <f>IF(E247="","",E247*0.03+0.25)</f>
        <v/>
      </c>
      <c r="H247" s="25" t="n"/>
      <c r="I247" s="25" t="n"/>
      <c r="J247" s="25" t="n"/>
      <c r="K247" s="25" t="n"/>
      <c r="L247" s="25" t="n"/>
      <c r="M247" s="25">
        <f>IF(E247="","",F247+G247+H247+I247+J247+K247+L247)</f>
        <v/>
      </c>
      <c r="N247" s="25">
        <f>IF(E247="","",E247-M247)</f>
        <v/>
      </c>
      <c r="O247" s="15" t="n"/>
    </row>
    <row r="248">
      <c r="A248" s="26" t="n"/>
      <c r="B248" s="14" t="n"/>
      <c r="C248" s="14" t="n"/>
      <c r="D248" s="14" t="n"/>
      <c r="E248" s="27" t="n"/>
      <c r="F248" s="27">
        <f>IF(E248="","",E248*0.065)</f>
        <v/>
      </c>
      <c r="G248" s="27">
        <f>IF(E248="","",E248*0.03+0.25)</f>
        <v/>
      </c>
      <c r="H248" s="27" t="n"/>
      <c r="I248" s="27" t="n"/>
      <c r="J248" s="27" t="n"/>
      <c r="K248" s="27" t="n"/>
      <c r="L248" s="27" t="n"/>
      <c r="M248" s="27">
        <f>IF(E248="","",F248+G248+H248+I248+J248+K248+L248)</f>
        <v/>
      </c>
      <c r="N248" s="27">
        <f>IF(E248="","",E248-M248)</f>
        <v/>
      </c>
      <c r="O248" s="14" t="n"/>
    </row>
    <row r="249">
      <c r="A249" s="24" t="n"/>
      <c r="B249" s="15" t="n"/>
      <c r="C249" s="15" t="n"/>
      <c r="D249" s="15" t="n"/>
      <c r="E249" s="25" t="n"/>
      <c r="F249" s="25">
        <f>IF(E249="","",E249*0.065)</f>
        <v/>
      </c>
      <c r="G249" s="25">
        <f>IF(E249="","",E249*0.03+0.25)</f>
        <v/>
      </c>
      <c r="H249" s="25" t="n"/>
      <c r="I249" s="25" t="n"/>
      <c r="J249" s="25" t="n"/>
      <c r="K249" s="25" t="n"/>
      <c r="L249" s="25" t="n"/>
      <c r="M249" s="25">
        <f>IF(E249="","",F249+G249+H249+I249+J249+K249+L249)</f>
        <v/>
      </c>
      <c r="N249" s="25">
        <f>IF(E249="","",E249-M249)</f>
        <v/>
      </c>
      <c r="O249" s="15" t="n"/>
    </row>
    <row r="250">
      <c r="A250" s="26" t="n"/>
      <c r="B250" s="14" t="n"/>
      <c r="C250" s="14" t="n"/>
      <c r="D250" s="14" t="n"/>
      <c r="E250" s="27" t="n"/>
      <c r="F250" s="27">
        <f>IF(E250="","",E250*0.065)</f>
        <v/>
      </c>
      <c r="G250" s="27">
        <f>IF(E250="","",E250*0.03+0.25)</f>
        <v/>
      </c>
      <c r="H250" s="27" t="n"/>
      <c r="I250" s="27" t="n"/>
      <c r="J250" s="27" t="n"/>
      <c r="K250" s="27" t="n"/>
      <c r="L250" s="27" t="n"/>
      <c r="M250" s="27">
        <f>IF(E250="","",F250+G250+H250+I250+J250+K250+L250)</f>
        <v/>
      </c>
      <c r="N250" s="27">
        <f>IF(E250="","",E250-M250)</f>
        <v/>
      </c>
      <c r="O250" s="14" t="n"/>
    </row>
    <row r="251">
      <c r="A251" s="24" t="n"/>
      <c r="B251" s="15" t="n"/>
      <c r="C251" s="15" t="n"/>
      <c r="D251" s="15" t="n"/>
      <c r="E251" s="25" t="n"/>
      <c r="F251" s="25">
        <f>IF(E251="","",E251*0.065)</f>
        <v/>
      </c>
      <c r="G251" s="25">
        <f>IF(E251="","",E251*0.03+0.25)</f>
        <v/>
      </c>
      <c r="H251" s="25" t="n"/>
      <c r="I251" s="25" t="n"/>
      <c r="J251" s="25" t="n"/>
      <c r="K251" s="25" t="n"/>
      <c r="L251" s="25" t="n"/>
      <c r="M251" s="25">
        <f>IF(E251="","",F251+G251+H251+I251+J251+K251+L251)</f>
        <v/>
      </c>
      <c r="N251" s="25">
        <f>IF(E251="","",E251-M251)</f>
        <v/>
      </c>
      <c r="O251" s="15" t="n"/>
    </row>
    <row r="252">
      <c r="A252" s="26" t="n"/>
      <c r="B252" s="14" t="n"/>
      <c r="C252" s="14" t="n"/>
      <c r="D252" s="14" t="n"/>
      <c r="E252" s="27" t="n"/>
      <c r="F252" s="27">
        <f>IF(E252="","",E252*0.065)</f>
        <v/>
      </c>
      <c r="G252" s="27">
        <f>IF(E252="","",E252*0.03+0.25)</f>
        <v/>
      </c>
      <c r="H252" s="27" t="n"/>
      <c r="I252" s="27" t="n"/>
      <c r="J252" s="27" t="n"/>
      <c r="K252" s="27" t="n"/>
      <c r="L252" s="27" t="n"/>
      <c r="M252" s="27">
        <f>IF(E252="","",F252+G252+H252+I252+J252+K252+L252)</f>
        <v/>
      </c>
      <c r="N252" s="27">
        <f>IF(E252="","",E252-M252)</f>
        <v/>
      </c>
      <c r="O252" s="14" t="n"/>
    </row>
    <row r="253">
      <c r="A253" s="24" t="n"/>
      <c r="B253" s="15" t="n"/>
      <c r="C253" s="15" t="n"/>
      <c r="D253" s="15" t="n"/>
      <c r="E253" s="25" t="n"/>
      <c r="F253" s="25">
        <f>IF(E253="","",E253*0.065)</f>
        <v/>
      </c>
      <c r="G253" s="25">
        <f>IF(E253="","",E253*0.03+0.25)</f>
        <v/>
      </c>
      <c r="H253" s="25" t="n"/>
      <c r="I253" s="25" t="n"/>
      <c r="J253" s="25" t="n"/>
      <c r="K253" s="25" t="n"/>
      <c r="L253" s="25" t="n"/>
      <c r="M253" s="25">
        <f>IF(E253="","",F253+G253+H253+I253+J253+K253+L253)</f>
        <v/>
      </c>
      <c r="N253" s="25">
        <f>IF(E253="","",E253-M253)</f>
        <v/>
      </c>
      <c r="O253" s="15" t="n"/>
    </row>
    <row r="254">
      <c r="A254" s="26" t="n"/>
      <c r="B254" s="14" t="n"/>
      <c r="C254" s="14" t="n"/>
      <c r="D254" s="14" t="n"/>
      <c r="E254" s="27" t="n"/>
      <c r="F254" s="27">
        <f>IF(E254="","",E254*0.065)</f>
        <v/>
      </c>
      <c r="G254" s="27">
        <f>IF(E254="","",E254*0.03+0.25)</f>
        <v/>
      </c>
      <c r="H254" s="27" t="n"/>
      <c r="I254" s="27" t="n"/>
      <c r="J254" s="27" t="n"/>
      <c r="K254" s="27" t="n"/>
      <c r="L254" s="27" t="n"/>
      <c r="M254" s="27">
        <f>IF(E254="","",F254+G254+H254+I254+J254+K254+L254)</f>
        <v/>
      </c>
      <c r="N254" s="27">
        <f>IF(E254="","",E254-M254)</f>
        <v/>
      </c>
      <c r="O254" s="14" t="n"/>
    </row>
    <row r="255">
      <c r="A255" s="24" t="n"/>
      <c r="B255" s="15" t="n"/>
      <c r="C255" s="15" t="n"/>
      <c r="D255" s="15" t="n"/>
      <c r="E255" s="25" t="n"/>
      <c r="F255" s="25">
        <f>IF(E255="","",E255*0.065)</f>
        <v/>
      </c>
      <c r="G255" s="25">
        <f>IF(E255="","",E255*0.03+0.25)</f>
        <v/>
      </c>
      <c r="H255" s="25" t="n"/>
      <c r="I255" s="25" t="n"/>
      <c r="J255" s="25" t="n"/>
      <c r="K255" s="25" t="n"/>
      <c r="L255" s="25" t="n"/>
      <c r="M255" s="25">
        <f>IF(E255="","",F255+G255+H255+I255+J255+K255+L255)</f>
        <v/>
      </c>
      <c r="N255" s="25">
        <f>IF(E255="","",E255-M255)</f>
        <v/>
      </c>
      <c r="O255" s="15" t="n"/>
    </row>
    <row r="256">
      <c r="A256" s="26" t="n"/>
      <c r="B256" s="14" t="n"/>
      <c r="C256" s="14" t="n"/>
      <c r="D256" s="14" t="n"/>
      <c r="E256" s="27" t="n"/>
      <c r="F256" s="27">
        <f>IF(E256="","",E256*0.065)</f>
        <v/>
      </c>
      <c r="G256" s="27">
        <f>IF(E256="","",E256*0.03+0.25)</f>
        <v/>
      </c>
      <c r="H256" s="27" t="n"/>
      <c r="I256" s="27" t="n"/>
      <c r="J256" s="27" t="n"/>
      <c r="K256" s="27" t="n"/>
      <c r="L256" s="27" t="n"/>
      <c r="M256" s="27">
        <f>IF(E256="","",F256+G256+H256+I256+J256+K256+L256)</f>
        <v/>
      </c>
      <c r="N256" s="27">
        <f>IF(E256="","",E256-M256)</f>
        <v/>
      </c>
      <c r="O256" s="14" t="n"/>
    </row>
    <row r="257">
      <c r="A257" s="24" t="n"/>
      <c r="B257" s="15" t="n"/>
      <c r="C257" s="15" t="n"/>
      <c r="D257" s="15" t="n"/>
      <c r="E257" s="25" t="n"/>
      <c r="F257" s="25">
        <f>IF(E257="","",E257*0.065)</f>
        <v/>
      </c>
      <c r="G257" s="25">
        <f>IF(E257="","",E257*0.03+0.25)</f>
        <v/>
      </c>
      <c r="H257" s="25" t="n"/>
      <c r="I257" s="25" t="n"/>
      <c r="J257" s="25" t="n"/>
      <c r="K257" s="25" t="n"/>
      <c r="L257" s="25" t="n"/>
      <c r="M257" s="25">
        <f>IF(E257="","",F257+G257+H257+I257+J257+K257+L257)</f>
        <v/>
      </c>
      <c r="N257" s="25">
        <f>IF(E257="","",E257-M257)</f>
        <v/>
      </c>
      <c r="O257" s="15" t="n"/>
    </row>
    <row r="258">
      <c r="A258" s="26" t="n"/>
      <c r="B258" s="14" t="n"/>
      <c r="C258" s="14" t="n"/>
      <c r="D258" s="14" t="n"/>
      <c r="E258" s="27" t="n"/>
      <c r="F258" s="27">
        <f>IF(E258="","",E258*0.065)</f>
        <v/>
      </c>
      <c r="G258" s="27">
        <f>IF(E258="","",E258*0.03+0.25)</f>
        <v/>
      </c>
      <c r="H258" s="27" t="n"/>
      <c r="I258" s="27" t="n"/>
      <c r="J258" s="27" t="n"/>
      <c r="K258" s="27" t="n"/>
      <c r="L258" s="27" t="n"/>
      <c r="M258" s="27">
        <f>IF(E258="","",F258+G258+H258+I258+J258+K258+L258)</f>
        <v/>
      </c>
      <c r="N258" s="27">
        <f>IF(E258="","",E258-M258)</f>
        <v/>
      </c>
      <c r="O258" s="14" t="n"/>
    </row>
    <row r="259">
      <c r="A259" s="24" t="n"/>
      <c r="B259" s="15" t="n"/>
      <c r="C259" s="15" t="n"/>
      <c r="D259" s="15" t="n"/>
      <c r="E259" s="25" t="n"/>
      <c r="F259" s="25">
        <f>IF(E259="","",E259*0.065)</f>
        <v/>
      </c>
      <c r="G259" s="25">
        <f>IF(E259="","",E259*0.03+0.25)</f>
        <v/>
      </c>
      <c r="H259" s="25" t="n"/>
      <c r="I259" s="25" t="n"/>
      <c r="J259" s="25" t="n"/>
      <c r="K259" s="25" t="n"/>
      <c r="L259" s="25" t="n"/>
      <c r="M259" s="25">
        <f>IF(E259="","",F259+G259+H259+I259+J259+K259+L259)</f>
        <v/>
      </c>
      <c r="N259" s="25">
        <f>IF(E259="","",E259-M259)</f>
        <v/>
      </c>
      <c r="O259" s="15" t="n"/>
    </row>
    <row r="260">
      <c r="A260" s="26" t="n"/>
      <c r="B260" s="14" t="n"/>
      <c r="C260" s="14" t="n"/>
      <c r="D260" s="14" t="n"/>
      <c r="E260" s="27" t="n"/>
      <c r="F260" s="27">
        <f>IF(E260="","",E260*0.065)</f>
        <v/>
      </c>
      <c r="G260" s="27">
        <f>IF(E260="","",E260*0.03+0.25)</f>
        <v/>
      </c>
      <c r="H260" s="27" t="n"/>
      <c r="I260" s="27" t="n"/>
      <c r="J260" s="27" t="n"/>
      <c r="K260" s="27" t="n"/>
      <c r="L260" s="27" t="n"/>
      <c r="M260" s="27">
        <f>IF(E260="","",F260+G260+H260+I260+J260+K260+L260)</f>
        <v/>
      </c>
      <c r="N260" s="27">
        <f>IF(E260="","",E260-M260)</f>
        <v/>
      </c>
      <c r="O260" s="14" t="n"/>
    </row>
    <row r="261">
      <c r="A261" s="24" t="n"/>
      <c r="B261" s="15" t="n"/>
      <c r="C261" s="15" t="n"/>
      <c r="D261" s="15" t="n"/>
      <c r="E261" s="25" t="n"/>
      <c r="F261" s="25">
        <f>IF(E261="","",E261*0.065)</f>
        <v/>
      </c>
      <c r="G261" s="25">
        <f>IF(E261="","",E261*0.03+0.25)</f>
        <v/>
      </c>
      <c r="H261" s="25" t="n"/>
      <c r="I261" s="25" t="n"/>
      <c r="J261" s="25" t="n"/>
      <c r="K261" s="25" t="n"/>
      <c r="L261" s="25" t="n"/>
      <c r="M261" s="25">
        <f>IF(E261="","",F261+G261+H261+I261+J261+K261+L261)</f>
        <v/>
      </c>
      <c r="N261" s="25">
        <f>IF(E261="","",E261-M261)</f>
        <v/>
      </c>
      <c r="O261" s="15" t="n"/>
    </row>
    <row r="262">
      <c r="A262" s="26" t="n"/>
      <c r="B262" s="14" t="n"/>
      <c r="C262" s="14" t="n"/>
      <c r="D262" s="14" t="n"/>
      <c r="E262" s="27" t="n"/>
      <c r="F262" s="27">
        <f>IF(E262="","",E262*0.065)</f>
        <v/>
      </c>
      <c r="G262" s="27">
        <f>IF(E262="","",E262*0.03+0.25)</f>
        <v/>
      </c>
      <c r="H262" s="27" t="n"/>
      <c r="I262" s="27" t="n"/>
      <c r="J262" s="27" t="n"/>
      <c r="K262" s="27" t="n"/>
      <c r="L262" s="27" t="n"/>
      <c r="M262" s="27">
        <f>IF(E262="","",F262+G262+H262+I262+J262+K262+L262)</f>
        <v/>
      </c>
      <c r="N262" s="27">
        <f>IF(E262="","",E262-M262)</f>
        <v/>
      </c>
      <c r="O262" s="14" t="n"/>
    </row>
    <row r="263">
      <c r="A263" s="24" t="n"/>
      <c r="B263" s="15" t="n"/>
      <c r="C263" s="15" t="n"/>
      <c r="D263" s="15" t="n"/>
      <c r="E263" s="25" t="n"/>
      <c r="F263" s="25">
        <f>IF(E263="","",E263*0.065)</f>
        <v/>
      </c>
      <c r="G263" s="25">
        <f>IF(E263="","",E263*0.03+0.25)</f>
        <v/>
      </c>
      <c r="H263" s="25" t="n"/>
      <c r="I263" s="25" t="n"/>
      <c r="J263" s="25" t="n"/>
      <c r="K263" s="25" t="n"/>
      <c r="L263" s="25" t="n"/>
      <c r="M263" s="25">
        <f>IF(E263="","",F263+G263+H263+I263+J263+K263+L263)</f>
        <v/>
      </c>
      <c r="N263" s="25">
        <f>IF(E263="","",E263-M263)</f>
        <v/>
      </c>
      <c r="O263" s="15" t="n"/>
    </row>
    <row r="264">
      <c r="A264" s="26" t="n"/>
      <c r="B264" s="14" t="n"/>
      <c r="C264" s="14" t="n"/>
      <c r="D264" s="14" t="n"/>
      <c r="E264" s="27" t="n"/>
      <c r="F264" s="27">
        <f>IF(E264="","",E264*0.065)</f>
        <v/>
      </c>
      <c r="G264" s="27">
        <f>IF(E264="","",E264*0.03+0.25)</f>
        <v/>
      </c>
      <c r="H264" s="27" t="n"/>
      <c r="I264" s="27" t="n"/>
      <c r="J264" s="27" t="n"/>
      <c r="K264" s="27" t="n"/>
      <c r="L264" s="27" t="n"/>
      <c r="M264" s="27">
        <f>IF(E264="","",F264+G264+H264+I264+J264+K264+L264)</f>
        <v/>
      </c>
      <c r="N264" s="27">
        <f>IF(E264="","",E264-M264)</f>
        <v/>
      </c>
      <c r="O264" s="14" t="n"/>
    </row>
    <row r="265">
      <c r="A265" s="24" t="n"/>
      <c r="B265" s="15" t="n"/>
      <c r="C265" s="15" t="n"/>
      <c r="D265" s="15" t="n"/>
      <c r="E265" s="25" t="n"/>
      <c r="F265" s="25">
        <f>IF(E265="","",E265*0.065)</f>
        <v/>
      </c>
      <c r="G265" s="25">
        <f>IF(E265="","",E265*0.03+0.25)</f>
        <v/>
      </c>
      <c r="H265" s="25" t="n"/>
      <c r="I265" s="25" t="n"/>
      <c r="J265" s="25" t="n"/>
      <c r="K265" s="25" t="n"/>
      <c r="L265" s="25" t="n"/>
      <c r="M265" s="25">
        <f>IF(E265="","",F265+G265+H265+I265+J265+K265+L265)</f>
        <v/>
      </c>
      <c r="N265" s="25">
        <f>IF(E265="","",E265-M265)</f>
        <v/>
      </c>
      <c r="O265" s="15" t="n"/>
    </row>
    <row r="266">
      <c r="A266" s="26" t="n"/>
      <c r="B266" s="14" t="n"/>
      <c r="C266" s="14" t="n"/>
      <c r="D266" s="14" t="n"/>
      <c r="E266" s="27" t="n"/>
      <c r="F266" s="27">
        <f>IF(E266="","",E266*0.065)</f>
        <v/>
      </c>
      <c r="G266" s="27">
        <f>IF(E266="","",E266*0.03+0.25)</f>
        <v/>
      </c>
      <c r="H266" s="27" t="n"/>
      <c r="I266" s="27" t="n"/>
      <c r="J266" s="27" t="n"/>
      <c r="K266" s="27" t="n"/>
      <c r="L266" s="27" t="n"/>
      <c r="M266" s="27">
        <f>IF(E266="","",F266+G266+H266+I266+J266+K266+L266)</f>
        <v/>
      </c>
      <c r="N266" s="27">
        <f>IF(E266="","",E266-M266)</f>
        <v/>
      </c>
      <c r="O266" s="14" t="n"/>
    </row>
    <row r="267">
      <c r="A267" s="24" t="n"/>
      <c r="B267" s="15" t="n"/>
      <c r="C267" s="15" t="n"/>
      <c r="D267" s="15" t="n"/>
      <c r="E267" s="25" t="n"/>
      <c r="F267" s="25">
        <f>IF(E267="","",E267*0.065)</f>
        <v/>
      </c>
      <c r="G267" s="25">
        <f>IF(E267="","",E267*0.03+0.25)</f>
        <v/>
      </c>
      <c r="H267" s="25" t="n"/>
      <c r="I267" s="25" t="n"/>
      <c r="J267" s="25" t="n"/>
      <c r="K267" s="25" t="n"/>
      <c r="L267" s="25" t="n"/>
      <c r="M267" s="25">
        <f>IF(E267="","",F267+G267+H267+I267+J267+K267+L267)</f>
        <v/>
      </c>
      <c r="N267" s="25">
        <f>IF(E267="","",E267-M267)</f>
        <v/>
      </c>
      <c r="O267" s="15" t="n"/>
    </row>
    <row r="268">
      <c r="A268" s="26" t="n"/>
      <c r="B268" s="14" t="n"/>
      <c r="C268" s="14" t="n"/>
      <c r="D268" s="14" t="n"/>
      <c r="E268" s="27" t="n"/>
      <c r="F268" s="27">
        <f>IF(E268="","",E268*0.065)</f>
        <v/>
      </c>
      <c r="G268" s="27">
        <f>IF(E268="","",E268*0.03+0.25)</f>
        <v/>
      </c>
      <c r="H268" s="27" t="n"/>
      <c r="I268" s="27" t="n"/>
      <c r="J268" s="27" t="n"/>
      <c r="K268" s="27" t="n"/>
      <c r="L268" s="27" t="n"/>
      <c r="M268" s="27">
        <f>IF(E268="","",F268+G268+H268+I268+J268+K268+L268)</f>
        <v/>
      </c>
      <c r="N268" s="27">
        <f>IF(E268="","",E268-M268)</f>
        <v/>
      </c>
      <c r="O268" s="14" t="n"/>
    </row>
    <row r="269">
      <c r="A269" s="24" t="n"/>
      <c r="B269" s="15" t="n"/>
      <c r="C269" s="15" t="n"/>
      <c r="D269" s="15" t="n"/>
      <c r="E269" s="25" t="n"/>
      <c r="F269" s="25">
        <f>IF(E269="","",E269*0.065)</f>
        <v/>
      </c>
      <c r="G269" s="25">
        <f>IF(E269="","",E269*0.03+0.25)</f>
        <v/>
      </c>
      <c r="H269" s="25" t="n"/>
      <c r="I269" s="25" t="n"/>
      <c r="J269" s="25" t="n"/>
      <c r="K269" s="25" t="n"/>
      <c r="L269" s="25" t="n"/>
      <c r="M269" s="25">
        <f>IF(E269="","",F269+G269+H269+I269+J269+K269+L269)</f>
        <v/>
      </c>
      <c r="N269" s="25">
        <f>IF(E269="","",E269-M269)</f>
        <v/>
      </c>
      <c r="O269" s="15" t="n"/>
    </row>
    <row r="270">
      <c r="A270" s="26" t="n"/>
      <c r="B270" s="14" t="n"/>
      <c r="C270" s="14" t="n"/>
      <c r="D270" s="14" t="n"/>
      <c r="E270" s="27" t="n"/>
      <c r="F270" s="27">
        <f>IF(E270="","",E270*0.065)</f>
        <v/>
      </c>
      <c r="G270" s="27">
        <f>IF(E270="","",E270*0.03+0.25)</f>
        <v/>
      </c>
      <c r="H270" s="27" t="n"/>
      <c r="I270" s="27" t="n"/>
      <c r="J270" s="27" t="n"/>
      <c r="K270" s="27" t="n"/>
      <c r="L270" s="27" t="n"/>
      <c r="M270" s="27">
        <f>IF(E270="","",F270+G270+H270+I270+J270+K270+L270)</f>
        <v/>
      </c>
      <c r="N270" s="27">
        <f>IF(E270="","",E270-M270)</f>
        <v/>
      </c>
      <c r="O270" s="14" t="n"/>
    </row>
    <row r="271">
      <c r="A271" s="24" t="n"/>
      <c r="B271" s="15" t="n"/>
      <c r="C271" s="15" t="n"/>
      <c r="D271" s="15" t="n"/>
      <c r="E271" s="25" t="n"/>
      <c r="F271" s="25">
        <f>IF(E271="","",E271*0.065)</f>
        <v/>
      </c>
      <c r="G271" s="25">
        <f>IF(E271="","",E271*0.03+0.25)</f>
        <v/>
      </c>
      <c r="H271" s="25" t="n"/>
      <c r="I271" s="25" t="n"/>
      <c r="J271" s="25" t="n"/>
      <c r="K271" s="25" t="n"/>
      <c r="L271" s="25" t="n"/>
      <c r="M271" s="25">
        <f>IF(E271="","",F271+G271+H271+I271+J271+K271+L271)</f>
        <v/>
      </c>
      <c r="N271" s="25">
        <f>IF(E271="","",E271-M271)</f>
        <v/>
      </c>
      <c r="O271" s="15" t="n"/>
    </row>
    <row r="272">
      <c r="A272" s="26" t="n"/>
      <c r="B272" s="14" t="n"/>
      <c r="C272" s="14" t="n"/>
      <c r="D272" s="14" t="n"/>
      <c r="E272" s="27" t="n"/>
      <c r="F272" s="27">
        <f>IF(E272="","",E272*0.065)</f>
        <v/>
      </c>
      <c r="G272" s="27">
        <f>IF(E272="","",E272*0.03+0.25)</f>
        <v/>
      </c>
      <c r="H272" s="27" t="n"/>
      <c r="I272" s="27" t="n"/>
      <c r="J272" s="27" t="n"/>
      <c r="K272" s="27" t="n"/>
      <c r="L272" s="27" t="n"/>
      <c r="M272" s="27">
        <f>IF(E272="","",F272+G272+H272+I272+J272+K272+L272)</f>
        <v/>
      </c>
      <c r="N272" s="27">
        <f>IF(E272="","",E272-M272)</f>
        <v/>
      </c>
      <c r="O272" s="14" t="n"/>
    </row>
    <row r="273">
      <c r="A273" s="24" t="n"/>
      <c r="B273" s="15" t="n"/>
      <c r="C273" s="15" t="n"/>
      <c r="D273" s="15" t="n"/>
      <c r="E273" s="25" t="n"/>
      <c r="F273" s="25">
        <f>IF(E273="","",E273*0.065)</f>
        <v/>
      </c>
      <c r="G273" s="25">
        <f>IF(E273="","",E273*0.03+0.25)</f>
        <v/>
      </c>
      <c r="H273" s="25" t="n"/>
      <c r="I273" s="25" t="n"/>
      <c r="J273" s="25" t="n"/>
      <c r="K273" s="25" t="n"/>
      <c r="L273" s="25" t="n"/>
      <c r="M273" s="25">
        <f>IF(E273="","",F273+G273+H273+I273+J273+K273+L273)</f>
        <v/>
      </c>
      <c r="N273" s="25">
        <f>IF(E273="","",E273-M273)</f>
        <v/>
      </c>
      <c r="O273" s="15" t="n"/>
    </row>
    <row r="274">
      <c r="A274" s="26" t="n"/>
      <c r="B274" s="14" t="n"/>
      <c r="C274" s="14" t="n"/>
      <c r="D274" s="14" t="n"/>
      <c r="E274" s="27" t="n"/>
      <c r="F274" s="27">
        <f>IF(E274="","",E274*0.065)</f>
        <v/>
      </c>
      <c r="G274" s="27">
        <f>IF(E274="","",E274*0.03+0.25)</f>
        <v/>
      </c>
      <c r="H274" s="27" t="n"/>
      <c r="I274" s="27" t="n"/>
      <c r="J274" s="27" t="n"/>
      <c r="K274" s="27" t="n"/>
      <c r="L274" s="27" t="n"/>
      <c r="M274" s="27">
        <f>IF(E274="","",F274+G274+H274+I274+J274+K274+L274)</f>
        <v/>
      </c>
      <c r="N274" s="27">
        <f>IF(E274="","",E274-M274)</f>
        <v/>
      </c>
      <c r="O274" s="14" t="n"/>
    </row>
    <row r="275">
      <c r="A275" s="24" t="n"/>
      <c r="B275" s="15" t="n"/>
      <c r="C275" s="15" t="n"/>
      <c r="D275" s="15" t="n"/>
      <c r="E275" s="25" t="n"/>
      <c r="F275" s="25">
        <f>IF(E275="","",E275*0.065)</f>
        <v/>
      </c>
      <c r="G275" s="25">
        <f>IF(E275="","",E275*0.03+0.25)</f>
        <v/>
      </c>
      <c r="H275" s="25" t="n"/>
      <c r="I275" s="25" t="n"/>
      <c r="J275" s="25" t="n"/>
      <c r="K275" s="25" t="n"/>
      <c r="L275" s="25" t="n"/>
      <c r="M275" s="25">
        <f>IF(E275="","",F275+G275+H275+I275+J275+K275+L275)</f>
        <v/>
      </c>
      <c r="N275" s="25">
        <f>IF(E275="","",E275-M275)</f>
        <v/>
      </c>
      <c r="O275" s="15" t="n"/>
    </row>
    <row r="276">
      <c r="A276" s="26" t="n"/>
      <c r="B276" s="14" t="n"/>
      <c r="C276" s="14" t="n"/>
      <c r="D276" s="14" t="n"/>
      <c r="E276" s="27" t="n"/>
      <c r="F276" s="27">
        <f>IF(E276="","",E276*0.065)</f>
        <v/>
      </c>
      <c r="G276" s="27">
        <f>IF(E276="","",E276*0.03+0.25)</f>
        <v/>
      </c>
      <c r="H276" s="27" t="n"/>
      <c r="I276" s="27" t="n"/>
      <c r="J276" s="27" t="n"/>
      <c r="K276" s="27" t="n"/>
      <c r="L276" s="27" t="n"/>
      <c r="M276" s="27">
        <f>IF(E276="","",F276+G276+H276+I276+J276+K276+L276)</f>
        <v/>
      </c>
      <c r="N276" s="27">
        <f>IF(E276="","",E276-M276)</f>
        <v/>
      </c>
      <c r="O276" s="14" t="n"/>
    </row>
    <row r="277">
      <c r="A277" s="24" t="n"/>
      <c r="B277" s="15" t="n"/>
      <c r="C277" s="15" t="n"/>
      <c r="D277" s="15" t="n"/>
      <c r="E277" s="25" t="n"/>
      <c r="F277" s="25">
        <f>IF(E277="","",E277*0.065)</f>
        <v/>
      </c>
      <c r="G277" s="25">
        <f>IF(E277="","",E277*0.03+0.25)</f>
        <v/>
      </c>
      <c r="H277" s="25" t="n"/>
      <c r="I277" s="25" t="n"/>
      <c r="J277" s="25" t="n"/>
      <c r="K277" s="25" t="n"/>
      <c r="L277" s="25" t="n"/>
      <c r="M277" s="25">
        <f>IF(E277="","",F277+G277+H277+I277+J277+K277+L277)</f>
        <v/>
      </c>
      <c r="N277" s="25">
        <f>IF(E277="","",E277-M277)</f>
        <v/>
      </c>
      <c r="O277" s="15" t="n"/>
    </row>
    <row r="278">
      <c r="A278" s="26" t="n"/>
      <c r="B278" s="14" t="n"/>
      <c r="C278" s="14" t="n"/>
      <c r="D278" s="14" t="n"/>
      <c r="E278" s="27" t="n"/>
      <c r="F278" s="27">
        <f>IF(E278="","",E278*0.065)</f>
        <v/>
      </c>
      <c r="G278" s="27">
        <f>IF(E278="","",E278*0.03+0.25)</f>
        <v/>
      </c>
      <c r="H278" s="27" t="n"/>
      <c r="I278" s="27" t="n"/>
      <c r="J278" s="27" t="n"/>
      <c r="K278" s="27" t="n"/>
      <c r="L278" s="27" t="n"/>
      <c r="M278" s="27">
        <f>IF(E278="","",F278+G278+H278+I278+J278+K278+L278)</f>
        <v/>
      </c>
      <c r="N278" s="27">
        <f>IF(E278="","",E278-M278)</f>
        <v/>
      </c>
      <c r="O278" s="14" t="n"/>
    </row>
    <row r="279">
      <c r="A279" s="24" t="n"/>
      <c r="B279" s="15" t="n"/>
      <c r="C279" s="15" t="n"/>
      <c r="D279" s="15" t="n"/>
      <c r="E279" s="25" t="n"/>
      <c r="F279" s="25">
        <f>IF(E279="","",E279*0.065)</f>
        <v/>
      </c>
      <c r="G279" s="25">
        <f>IF(E279="","",E279*0.03+0.25)</f>
        <v/>
      </c>
      <c r="H279" s="25" t="n"/>
      <c r="I279" s="25" t="n"/>
      <c r="J279" s="25" t="n"/>
      <c r="K279" s="25" t="n"/>
      <c r="L279" s="25" t="n"/>
      <c r="M279" s="25">
        <f>IF(E279="","",F279+G279+H279+I279+J279+K279+L279)</f>
        <v/>
      </c>
      <c r="N279" s="25">
        <f>IF(E279="","",E279-M279)</f>
        <v/>
      </c>
      <c r="O279" s="15" t="n"/>
    </row>
    <row r="280">
      <c r="A280" s="26" t="n"/>
      <c r="B280" s="14" t="n"/>
      <c r="C280" s="14" t="n"/>
      <c r="D280" s="14" t="n"/>
      <c r="E280" s="27" t="n"/>
      <c r="F280" s="27">
        <f>IF(E280="","",E280*0.065)</f>
        <v/>
      </c>
      <c r="G280" s="27">
        <f>IF(E280="","",E280*0.03+0.25)</f>
        <v/>
      </c>
      <c r="H280" s="27" t="n"/>
      <c r="I280" s="27" t="n"/>
      <c r="J280" s="27" t="n"/>
      <c r="K280" s="27" t="n"/>
      <c r="L280" s="27" t="n"/>
      <c r="M280" s="27">
        <f>IF(E280="","",F280+G280+H280+I280+J280+K280+L280)</f>
        <v/>
      </c>
      <c r="N280" s="27">
        <f>IF(E280="","",E280-M280)</f>
        <v/>
      </c>
      <c r="O280" s="14" t="n"/>
    </row>
    <row r="281">
      <c r="A281" s="24" t="n"/>
      <c r="B281" s="15" t="n"/>
      <c r="C281" s="15" t="n"/>
      <c r="D281" s="15" t="n"/>
      <c r="E281" s="25" t="n"/>
      <c r="F281" s="25">
        <f>IF(E281="","",E281*0.065)</f>
        <v/>
      </c>
      <c r="G281" s="25">
        <f>IF(E281="","",E281*0.03+0.25)</f>
        <v/>
      </c>
      <c r="H281" s="25" t="n"/>
      <c r="I281" s="25" t="n"/>
      <c r="J281" s="25" t="n"/>
      <c r="K281" s="25" t="n"/>
      <c r="L281" s="25" t="n"/>
      <c r="M281" s="25">
        <f>IF(E281="","",F281+G281+H281+I281+J281+K281+L281)</f>
        <v/>
      </c>
      <c r="N281" s="25">
        <f>IF(E281="","",E281-M281)</f>
        <v/>
      </c>
      <c r="O281" s="15" t="n"/>
    </row>
    <row r="282">
      <c r="A282" s="26" t="n"/>
      <c r="B282" s="14" t="n"/>
      <c r="C282" s="14" t="n"/>
      <c r="D282" s="14" t="n"/>
      <c r="E282" s="27" t="n"/>
      <c r="F282" s="27">
        <f>IF(E282="","",E282*0.065)</f>
        <v/>
      </c>
      <c r="G282" s="27">
        <f>IF(E282="","",E282*0.03+0.25)</f>
        <v/>
      </c>
      <c r="H282" s="27" t="n"/>
      <c r="I282" s="27" t="n"/>
      <c r="J282" s="27" t="n"/>
      <c r="K282" s="27" t="n"/>
      <c r="L282" s="27" t="n"/>
      <c r="M282" s="27">
        <f>IF(E282="","",F282+G282+H282+I282+J282+K282+L282)</f>
        <v/>
      </c>
      <c r="N282" s="27">
        <f>IF(E282="","",E282-M282)</f>
        <v/>
      </c>
      <c r="O282" s="14" t="n"/>
    </row>
    <row r="283">
      <c r="A283" s="24" t="n"/>
      <c r="B283" s="15" t="n"/>
      <c r="C283" s="15" t="n"/>
      <c r="D283" s="15" t="n"/>
      <c r="E283" s="25" t="n"/>
      <c r="F283" s="25">
        <f>IF(E283="","",E283*0.065)</f>
        <v/>
      </c>
      <c r="G283" s="25">
        <f>IF(E283="","",E283*0.03+0.25)</f>
        <v/>
      </c>
      <c r="H283" s="25" t="n"/>
      <c r="I283" s="25" t="n"/>
      <c r="J283" s="25" t="n"/>
      <c r="K283" s="25" t="n"/>
      <c r="L283" s="25" t="n"/>
      <c r="M283" s="25">
        <f>IF(E283="","",F283+G283+H283+I283+J283+K283+L283)</f>
        <v/>
      </c>
      <c r="N283" s="25">
        <f>IF(E283="","",E283-M283)</f>
        <v/>
      </c>
      <c r="O283" s="15" t="n"/>
    </row>
    <row r="284">
      <c r="A284" s="26" t="n"/>
      <c r="B284" s="14" t="n"/>
      <c r="C284" s="14" t="n"/>
      <c r="D284" s="14" t="n"/>
      <c r="E284" s="27" t="n"/>
      <c r="F284" s="27">
        <f>IF(E284="","",E284*0.065)</f>
        <v/>
      </c>
      <c r="G284" s="27">
        <f>IF(E284="","",E284*0.03+0.25)</f>
        <v/>
      </c>
      <c r="H284" s="27" t="n"/>
      <c r="I284" s="27" t="n"/>
      <c r="J284" s="27" t="n"/>
      <c r="K284" s="27" t="n"/>
      <c r="L284" s="27" t="n"/>
      <c r="M284" s="27">
        <f>IF(E284="","",F284+G284+H284+I284+J284+K284+L284)</f>
        <v/>
      </c>
      <c r="N284" s="27">
        <f>IF(E284="","",E284-M284)</f>
        <v/>
      </c>
      <c r="O284" s="14" t="n"/>
    </row>
    <row r="285">
      <c r="A285" s="24" t="n"/>
      <c r="B285" s="15" t="n"/>
      <c r="C285" s="15" t="n"/>
      <c r="D285" s="15" t="n"/>
      <c r="E285" s="25" t="n"/>
      <c r="F285" s="25">
        <f>IF(E285="","",E285*0.065)</f>
        <v/>
      </c>
      <c r="G285" s="25">
        <f>IF(E285="","",E285*0.03+0.25)</f>
        <v/>
      </c>
      <c r="H285" s="25" t="n"/>
      <c r="I285" s="25" t="n"/>
      <c r="J285" s="25" t="n"/>
      <c r="K285" s="25" t="n"/>
      <c r="L285" s="25" t="n"/>
      <c r="M285" s="25">
        <f>IF(E285="","",F285+G285+H285+I285+J285+K285+L285)</f>
        <v/>
      </c>
      <c r="N285" s="25">
        <f>IF(E285="","",E285-M285)</f>
        <v/>
      </c>
      <c r="O285" s="15" t="n"/>
    </row>
    <row r="286">
      <c r="A286" s="26" t="n"/>
      <c r="B286" s="14" t="n"/>
      <c r="C286" s="14" t="n"/>
      <c r="D286" s="14" t="n"/>
      <c r="E286" s="27" t="n"/>
      <c r="F286" s="27">
        <f>IF(E286="","",E286*0.065)</f>
        <v/>
      </c>
      <c r="G286" s="27">
        <f>IF(E286="","",E286*0.03+0.25)</f>
        <v/>
      </c>
      <c r="H286" s="27" t="n"/>
      <c r="I286" s="27" t="n"/>
      <c r="J286" s="27" t="n"/>
      <c r="K286" s="27" t="n"/>
      <c r="L286" s="27" t="n"/>
      <c r="M286" s="27">
        <f>IF(E286="","",F286+G286+H286+I286+J286+K286+L286)</f>
        <v/>
      </c>
      <c r="N286" s="27">
        <f>IF(E286="","",E286-M286)</f>
        <v/>
      </c>
      <c r="O286" s="14" t="n"/>
    </row>
    <row r="287">
      <c r="A287" s="24" t="n"/>
      <c r="B287" s="15" t="n"/>
      <c r="C287" s="15" t="n"/>
      <c r="D287" s="15" t="n"/>
      <c r="E287" s="25" t="n"/>
      <c r="F287" s="25">
        <f>IF(E287="","",E287*0.065)</f>
        <v/>
      </c>
      <c r="G287" s="25">
        <f>IF(E287="","",E287*0.03+0.25)</f>
        <v/>
      </c>
      <c r="H287" s="25" t="n"/>
      <c r="I287" s="25" t="n"/>
      <c r="J287" s="25" t="n"/>
      <c r="K287" s="25" t="n"/>
      <c r="L287" s="25" t="n"/>
      <c r="M287" s="25">
        <f>IF(E287="","",F287+G287+H287+I287+J287+K287+L287)</f>
        <v/>
      </c>
      <c r="N287" s="25">
        <f>IF(E287="","",E287-M287)</f>
        <v/>
      </c>
      <c r="O287" s="15" t="n"/>
    </row>
    <row r="288">
      <c r="A288" s="26" t="n"/>
      <c r="B288" s="14" t="n"/>
      <c r="C288" s="14" t="n"/>
      <c r="D288" s="14" t="n"/>
      <c r="E288" s="27" t="n"/>
      <c r="F288" s="27">
        <f>IF(E288="","",E288*0.065)</f>
        <v/>
      </c>
      <c r="G288" s="27">
        <f>IF(E288="","",E288*0.03+0.25)</f>
        <v/>
      </c>
      <c r="H288" s="27" t="n"/>
      <c r="I288" s="27" t="n"/>
      <c r="J288" s="27" t="n"/>
      <c r="K288" s="27" t="n"/>
      <c r="L288" s="27" t="n"/>
      <c r="M288" s="27">
        <f>IF(E288="","",F288+G288+H288+I288+J288+K288+L288)</f>
        <v/>
      </c>
      <c r="N288" s="27">
        <f>IF(E288="","",E288-M288)</f>
        <v/>
      </c>
      <c r="O288" s="14" t="n"/>
    </row>
    <row r="289">
      <c r="A289" s="24" t="n"/>
      <c r="B289" s="15" t="n"/>
      <c r="C289" s="15" t="n"/>
      <c r="D289" s="15" t="n"/>
      <c r="E289" s="25" t="n"/>
      <c r="F289" s="25">
        <f>IF(E289="","",E289*0.065)</f>
        <v/>
      </c>
      <c r="G289" s="25">
        <f>IF(E289="","",E289*0.03+0.25)</f>
        <v/>
      </c>
      <c r="H289" s="25" t="n"/>
      <c r="I289" s="25" t="n"/>
      <c r="J289" s="25" t="n"/>
      <c r="K289" s="25" t="n"/>
      <c r="L289" s="25" t="n"/>
      <c r="M289" s="25">
        <f>IF(E289="","",F289+G289+H289+I289+J289+K289+L289)</f>
        <v/>
      </c>
      <c r="N289" s="25">
        <f>IF(E289="","",E289-M289)</f>
        <v/>
      </c>
      <c r="O289" s="15" t="n"/>
    </row>
    <row r="290">
      <c r="A290" s="26" t="n"/>
      <c r="B290" s="14" t="n"/>
      <c r="C290" s="14" t="n"/>
      <c r="D290" s="14" t="n"/>
      <c r="E290" s="27" t="n"/>
      <c r="F290" s="27">
        <f>IF(E290="","",E290*0.065)</f>
        <v/>
      </c>
      <c r="G290" s="27">
        <f>IF(E290="","",E290*0.03+0.25)</f>
        <v/>
      </c>
      <c r="H290" s="27" t="n"/>
      <c r="I290" s="27" t="n"/>
      <c r="J290" s="27" t="n"/>
      <c r="K290" s="27" t="n"/>
      <c r="L290" s="27" t="n"/>
      <c r="M290" s="27">
        <f>IF(E290="","",F290+G290+H290+I290+J290+K290+L290)</f>
        <v/>
      </c>
      <c r="N290" s="27">
        <f>IF(E290="","",E290-M290)</f>
        <v/>
      </c>
      <c r="O290" s="14" t="n"/>
    </row>
    <row r="291">
      <c r="A291" s="24" t="n"/>
      <c r="B291" s="15" t="n"/>
      <c r="C291" s="15" t="n"/>
      <c r="D291" s="15" t="n"/>
      <c r="E291" s="25" t="n"/>
      <c r="F291" s="25">
        <f>IF(E291="","",E291*0.065)</f>
        <v/>
      </c>
      <c r="G291" s="25">
        <f>IF(E291="","",E291*0.03+0.25)</f>
        <v/>
      </c>
      <c r="H291" s="25" t="n"/>
      <c r="I291" s="25" t="n"/>
      <c r="J291" s="25" t="n"/>
      <c r="K291" s="25" t="n"/>
      <c r="L291" s="25" t="n"/>
      <c r="M291" s="25">
        <f>IF(E291="","",F291+G291+H291+I291+J291+K291+L291)</f>
        <v/>
      </c>
      <c r="N291" s="25">
        <f>IF(E291="","",E291-M291)</f>
        <v/>
      </c>
      <c r="O291" s="15" t="n"/>
    </row>
    <row r="292">
      <c r="A292" s="26" t="n"/>
      <c r="B292" s="14" t="n"/>
      <c r="C292" s="14" t="n"/>
      <c r="D292" s="14" t="n"/>
      <c r="E292" s="27" t="n"/>
      <c r="F292" s="27">
        <f>IF(E292="","",E292*0.065)</f>
        <v/>
      </c>
      <c r="G292" s="27">
        <f>IF(E292="","",E292*0.03+0.25)</f>
        <v/>
      </c>
      <c r="H292" s="27" t="n"/>
      <c r="I292" s="27" t="n"/>
      <c r="J292" s="27" t="n"/>
      <c r="K292" s="27" t="n"/>
      <c r="L292" s="27" t="n"/>
      <c r="M292" s="27">
        <f>IF(E292="","",F292+G292+H292+I292+J292+K292+L292)</f>
        <v/>
      </c>
      <c r="N292" s="27">
        <f>IF(E292="","",E292-M292)</f>
        <v/>
      </c>
      <c r="O292" s="14" t="n"/>
    </row>
    <row r="293">
      <c r="A293" s="24" t="n"/>
      <c r="B293" s="15" t="n"/>
      <c r="C293" s="15" t="n"/>
      <c r="D293" s="15" t="n"/>
      <c r="E293" s="25" t="n"/>
      <c r="F293" s="25">
        <f>IF(E293="","",E293*0.065)</f>
        <v/>
      </c>
      <c r="G293" s="25">
        <f>IF(E293="","",E293*0.03+0.25)</f>
        <v/>
      </c>
      <c r="H293" s="25" t="n"/>
      <c r="I293" s="25" t="n"/>
      <c r="J293" s="25" t="n"/>
      <c r="K293" s="25" t="n"/>
      <c r="L293" s="25" t="n"/>
      <c r="M293" s="25">
        <f>IF(E293="","",F293+G293+H293+I293+J293+K293+L293)</f>
        <v/>
      </c>
      <c r="N293" s="25">
        <f>IF(E293="","",E293-M293)</f>
        <v/>
      </c>
      <c r="O293" s="15" t="n"/>
    </row>
    <row r="294">
      <c r="A294" s="26" t="n"/>
      <c r="B294" s="14" t="n"/>
      <c r="C294" s="14" t="n"/>
      <c r="D294" s="14" t="n"/>
      <c r="E294" s="27" t="n"/>
      <c r="F294" s="27">
        <f>IF(E294="","",E294*0.065)</f>
        <v/>
      </c>
      <c r="G294" s="27">
        <f>IF(E294="","",E294*0.03+0.25)</f>
        <v/>
      </c>
      <c r="H294" s="27" t="n"/>
      <c r="I294" s="27" t="n"/>
      <c r="J294" s="27" t="n"/>
      <c r="K294" s="27" t="n"/>
      <c r="L294" s="27" t="n"/>
      <c r="M294" s="27">
        <f>IF(E294="","",F294+G294+H294+I294+J294+K294+L294)</f>
        <v/>
      </c>
      <c r="N294" s="27">
        <f>IF(E294="","",E294-M294)</f>
        <v/>
      </c>
      <c r="O294" s="14" t="n"/>
    </row>
    <row r="295">
      <c r="A295" s="24" t="n"/>
      <c r="B295" s="15" t="n"/>
      <c r="C295" s="15" t="n"/>
      <c r="D295" s="15" t="n"/>
      <c r="E295" s="25" t="n"/>
      <c r="F295" s="25">
        <f>IF(E295="","",E295*0.065)</f>
        <v/>
      </c>
      <c r="G295" s="25">
        <f>IF(E295="","",E295*0.03+0.25)</f>
        <v/>
      </c>
      <c r="H295" s="25" t="n"/>
      <c r="I295" s="25" t="n"/>
      <c r="J295" s="25" t="n"/>
      <c r="K295" s="25" t="n"/>
      <c r="L295" s="25" t="n"/>
      <c r="M295" s="25">
        <f>IF(E295="","",F295+G295+H295+I295+J295+K295+L295)</f>
        <v/>
      </c>
      <c r="N295" s="25">
        <f>IF(E295="","",E295-M295)</f>
        <v/>
      </c>
      <c r="O295" s="15" t="n"/>
    </row>
    <row r="296">
      <c r="A296" s="26" t="n"/>
      <c r="B296" s="14" t="n"/>
      <c r="C296" s="14" t="n"/>
      <c r="D296" s="14" t="n"/>
      <c r="E296" s="27" t="n"/>
      <c r="F296" s="27">
        <f>IF(E296="","",E296*0.065)</f>
        <v/>
      </c>
      <c r="G296" s="27">
        <f>IF(E296="","",E296*0.03+0.25)</f>
        <v/>
      </c>
      <c r="H296" s="27" t="n"/>
      <c r="I296" s="27" t="n"/>
      <c r="J296" s="27" t="n"/>
      <c r="K296" s="27" t="n"/>
      <c r="L296" s="27" t="n"/>
      <c r="M296" s="27">
        <f>IF(E296="","",F296+G296+H296+I296+J296+K296+L296)</f>
        <v/>
      </c>
      <c r="N296" s="27">
        <f>IF(E296="","",E296-M296)</f>
        <v/>
      </c>
      <c r="O296" s="14" t="n"/>
    </row>
    <row r="297">
      <c r="A297" s="24" t="n"/>
      <c r="B297" s="15" t="n"/>
      <c r="C297" s="15" t="n"/>
      <c r="D297" s="15" t="n"/>
      <c r="E297" s="25" t="n"/>
      <c r="F297" s="25">
        <f>IF(E297="","",E297*0.065)</f>
        <v/>
      </c>
      <c r="G297" s="25">
        <f>IF(E297="","",E297*0.03+0.25)</f>
        <v/>
      </c>
      <c r="H297" s="25" t="n"/>
      <c r="I297" s="25" t="n"/>
      <c r="J297" s="25" t="n"/>
      <c r="K297" s="25" t="n"/>
      <c r="L297" s="25" t="n"/>
      <c r="M297" s="25">
        <f>IF(E297="","",F297+G297+H297+I297+J297+K297+L297)</f>
        <v/>
      </c>
      <c r="N297" s="25">
        <f>IF(E297="","",E297-M297)</f>
        <v/>
      </c>
      <c r="O297" s="15" t="n"/>
    </row>
    <row r="298">
      <c r="A298" s="26" t="n"/>
      <c r="B298" s="14" t="n"/>
      <c r="C298" s="14" t="n"/>
      <c r="D298" s="14" t="n"/>
      <c r="E298" s="27" t="n"/>
      <c r="F298" s="27">
        <f>IF(E298="","",E298*0.065)</f>
        <v/>
      </c>
      <c r="G298" s="27">
        <f>IF(E298="","",E298*0.03+0.25)</f>
        <v/>
      </c>
      <c r="H298" s="27" t="n"/>
      <c r="I298" s="27" t="n"/>
      <c r="J298" s="27" t="n"/>
      <c r="K298" s="27" t="n"/>
      <c r="L298" s="27" t="n"/>
      <c r="M298" s="27">
        <f>IF(E298="","",F298+G298+H298+I298+J298+K298+L298)</f>
        <v/>
      </c>
      <c r="N298" s="27">
        <f>IF(E298="","",E298-M298)</f>
        <v/>
      </c>
      <c r="O298" s="14" t="n"/>
    </row>
    <row r="299">
      <c r="A299" s="24" t="n"/>
      <c r="B299" s="15" t="n"/>
      <c r="C299" s="15" t="n"/>
      <c r="D299" s="15" t="n"/>
      <c r="E299" s="25" t="n"/>
      <c r="F299" s="25">
        <f>IF(E299="","",E299*0.065)</f>
        <v/>
      </c>
      <c r="G299" s="25">
        <f>IF(E299="","",E299*0.03+0.25)</f>
        <v/>
      </c>
      <c r="H299" s="25" t="n"/>
      <c r="I299" s="25" t="n"/>
      <c r="J299" s="25" t="n"/>
      <c r="K299" s="25" t="n"/>
      <c r="L299" s="25" t="n"/>
      <c r="M299" s="25">
        <f>IF(E299="","",F299+G299+H299+I299+J299+K299+L299)</f>
        <v/>
      </c>
      <c r="N299" s="25">
        <f>IF(E299="","",E299-M299)</f>
        <v/>
      </c>
      <c r="O299" s="15" t="n"/>
    </row>
    <row r="300">
      <c r="A300" s="26" t="n"/>
      <c r="B300" s="14" t="n"/>
      <c r="C300" s="14" t="n"/>
      <c r="D300" s="14" t="n"/>
      <c r="E300" s="27" t="n"/>
      <c r="F300" s="27">
        <f>IF(E300="","",E300*0.065)</f>
        <v/>
      </c>
      <c r="G300" s="27">
        <f>IF(E300="","",E300*0.03+0.25)</f>
        <v/>
      </c>
      <c r="H300" s="27" t="n"/>
      <c r="I300" s="27" t="n"/>
      <c r="J300" s="27" t="n"/>
      <c r="K300" s="27" t="n"/>
      <c r="L300" s="27" t="n"/>
      <c r="M300" s="27">
        <f>IF(E300="","",F300+G300+H300+I300+J300+K300+L300)</f>
        <v/>
      </c>
      <c r="N300" s="27">
        <f>IF(E300="","",E300-M300)</f>
        <v/>
      </c>
      <c r="O300" s="14" t="n"/>
    </row>
    <row r="301">
      <c r="A301" s="24" t="n"/>
      <c r="B301" s="15" t="n"/>
      <c r="C301" s="15" t="n"/>
      <c r="D301" s="15" t="n"/>
      <c r="E301" s="25" t="n"/>
      <c r="F301" s="25">
        <f>IF(E301="","",E301*0.065)</f>
        <v/>
      </c>
      <c r="G301" s="25">
        <f>IF(E301="","",E301*0.03+0.25)</f>
        <v/>
      </c>
      <c r="H301" s="25" t="n"/>
      <c r="I301" s="25" t="n"/>
      <c r="J301" s="25" t="n"/>
      <c r="K301" s="25" t="n"/>
      <c r="L301" s="25" t="n"/>
      <c r="M301" s="25">
        <f>IF(E301="","",F301+G301+H301+I301+J301+K301+L301)</f>
        <v/>
      </c>
      <c r="N301" s="25">
        <f>IF(E301="","",E301-M301)</f>
        <v/>
      </c>
      <c r="O301" s="15" t="n"/>
    </row>
    <row r="302">
      <c r="A302" s="26" t="n"/>
      <c r="B302" s="14" t="n"/>
      <c r="C302" s="14" t="n"/>
      <c r="D302" s="14" t="n"/>
      <c r="E302" s="27" t="n"/>
      <c r="F302" s="27">
        <f>IF(E302="","",E302*0.065)</f>
        <v/>
      </c>
      <c r="G302" s="27">
        <f>IF(E302="","",E302*0.03+0.25)</f>
        <v/>
      </c>
      <c r="H302" s="27" t="n"/>
      <c r="I302" s="27" t="n"/>
      <c r="J302" s="27" t="n"/>
      <c r="K302" s="27" t="n"/>
      <c r="L302" s="27" t="n"/>
      <c r="M302" s="27">
        <f>IF(E302="","",F302+G302+H302+I302+J302+K302+L302)</f>
        <v/>
      </c>
      <c r="N302" s="27">
        <f>IF(E302="","",E302-M302)</f>
        <v/>
      </c>
      <c r="O302" s="14" t="n"/>
    </row>
    <row r="303">
      <c r="A303" s="24" t="n"/>
      <c r="B303" s="15" t="n"/>
      <c r="C303" s="15" t="n"/>
      <c r="D303" s="15" t="n"/>
      <c r="E303" s="25" t="n"/>
      <c r="F303" s="25">
        <f>IF(E303="","",E303*0.065)</f>
        <v/>
      </c>
      <c r="G303" s="25">
        <f>IF(E303="","",E303*0.03+0.25)</f>
        <v/>
      </c>
      <c r="H303" s="25" t="n"/>
      <c r="I303" s="25" t="n"/>
      <c r="J303" s="25" t="n"/>
      <c r="K303" s="25" t="n"/>
      <c r="L303" s="25" t="n"/>
      <c r="M303" s="25">
        <f>IF(E303="","",F303+G303+H303+I303+J303+K303+L303)</f>
        <v/>
      </c>
      <c r="N303" s="25">
        <f>IF(E303="","",E303-M303)</f>
        <v/>
      </c>
      <c r="O303" s="15" t="n"/>
    </row>
    <row r="304">
      <c r="A304" s="26" t="n"/>
      <c r="B304" s="14" t="n"/>
      <c r="C304" s="14" t="n"/>
      <c r="D304" s="14" t="n"/>
      <c r="E304" s="27" t="n"/>
      <c r="F304" s="27">
        <f>IF(E304="","",E304*0.065)</f>
        <v/>
      </c>
      <c r="G304" s="27">
        <f>IF(E304="","",E304*0.03+0.25)</f>
        <v/>
      </c>
      <c r="H304" s="27" t="n"/>
      <c r="I304" s="27" t="n"/>
      <c r="J304" s="27" t="n"/>
      <c r="K304" s="27" t="n"/>
      <c r="L304" s="27" t="n"/>
      <c r="M304" s="27">
        <f>IF(E304="","",F304+G304+H304+I304+J304+K304+L304)</f>
        <v/>
      </c>
      <c r="N304" s="27">
        <f>IF(E304="","",E304-M304)</f>
        <v/>
      </c>
      <c r="O304" s="14" t="n"/>
    </row>
    <row r="305">
      <c r="A305" s="24" t="n"/>
      <c r="B305" s="15" t="n"/>
      <c r="C305" s="15" t="n"/>
      <c r="D305" s="15" t="n"/>
      <c r="E305" s="25" t="n"/>
      <c r="F305" s="25">
        <f>IF(E305="","",E305*0.065)</f>
        <v/>
      </c>
      <c r="G305" s="25">
        <f>IF(E305="","",E305*0.03+0.25)</f>
        <v/>
      </c>
      <c r="H305" s="25" t="n"/>
      <c r="I305" s="25" t="n"/>
      <c r="J305" s="25" t="n"/>
      <c r="K305" s="25" t="n"/>
      <c r="L305" s="25" t="n"/>
      <c r="M305" s="25">
        <f>IF(E305="","",F305+G305+H305+I305+J305+K305+L305)</f>
        <v/>
      </c>
      <c r="N305" s="25">
        <f>IF(E305="","",E305-M305)</f>
        <v/>
      </c>
      <c r="O305" s="15" t="n"/>
    </row>
    <row r="306">
      <c r="A306" s="26" t="n"/>
      <c r="B306" s="14" t="n"/>
      <c r="C306" s="14" t="n"/>
      <c r="D306" s="14" t="n"/>
      <c r="E306" s="27" t="n"/>
      <c r="F306" s="27">
        <f>IF(E306="","",E306*0.065)</f>
        <v/>
      </c>
      <c r="G306" s="27">
        <f>IF(E306="","",E306*0.03+0.25)</f>
        <v/>
      </c>
      <c r="H306" s="27" t="n"/>
      <c r="I306" s="27" t="n"/>
      <c r="J306" s="27" t="n"/>
      <c r="K306" s="27" t="n"/>
      <c r="L306" s="27" t="n"/>
      <c r="M306" s="27">
        <f>IF(E306="","",F306+G306+H306+I306+J306+K306+L306)</f>
        <v/>
      </c>
      <c r="N306" s="27">
        <f>IF(E306="","",E306-M306)</f>
        <v/>
      </c>
      <c r="O306" s="14" t="n"/>
    </row>
    <row r="307">
      <c r="A307" s="24" t="n"/>
      <c r="B307" s="15" t="n"/>
      <c r="C307" s="15" t="n"/>
      <c r="D307" s="15" t="n"/>
      <c r="E307" s="25" t="n"/>
      <c r="F307" s="25">
        <f>IF(E307="","",E307*0.065)</f>
        <v/>
      </c>
      <c r="G307" s="25">
        <f>IF(E307="","",E307*0.03+0.25)</f>
        <v/>
      </c>
      <c r="H307" s="25" t="n"/>
      <c r="I307" s="25" t="n"/>
      <c r="J307" s="25" t="n"/>
      <c r="K307" s="25" t="n"/>
      <c r="L307" s="25" t="n"/>
      <c r="M307" s="25">
        <f>IF(E307="","",F307+G307+H307+I307+J307+K307+L307)</f>
        <v/>
      </c>
      <c r="N307" s="25">
        <f>IF(E307="","",E307-M307)</f>
        <v/>
      </c>
      <c r="O307" s="15" t="n"/>
    </row>
    <row r="308">
      <c r="A308" s="26" t="n"/>
      <c r="B308" s="14" t="n"/>
      <c r="C308" s="14" t="n"/>
      <c r="D308" s="14" t="n"/>
      <c r="E308" s="27" t="n"/>
      <c r="F308" s="27">
        <f>IF(E308="","",E308*0.065)</f>
        <v/>
      </c>
      <c r="G308" s="27">
        <f>IF(E308="","",E308*0.03+0.25)</f>
        <v/>
      </c>
      <c r="H308" s="27" t="n"/>
      <c r="I308" s="27" t="n"/>
      <c r="J308" s="27" t="n"/>
      <c r="K308" s="27" t="n"/>
      <c r="L308" s="27" t="n"/>
      <c r="M308" s="27">
        <f>IF(E308="","",F308+G308+H308+I308+J308+K308+L308)</f>
        <v/>
      </c>
      <c r="N308" s="27">
        <f>IF(E308="","",E308-M308)</f>
        <v/>
      </c>
      <c r="O308" s="14" t="n"/>
    </row>
    <row r="309">
      <c r="A309" s="24" t="n"/>
      <c r="B309" s="15" t="n"/>
      <c r="C309" s="15" t="n"/>
      <c r="D309" s="15" t="n"/>
      <c r="E309" s="25" t="n"/>
      <c r="F309" s="25">
        <f>IF(E309="","",E309*0.065)</f>
        <v/>
      </c>
      <c r="G309" s="25">
        <f>IF(E309="","",E309*0.03+0.25)</f>
        <v/>
      </c>
      <c r="H309" s="25" t="n"/>
      <c r="I309" s="25" t="n"/>
      <c r="J309" s="25" t="n"/>
      <c r="K309" s="25" t="n"/>
      <c r="L309" s="25" t="n"/>
      <c r="M309" s="25">
        <f>IF(E309="","",F309+G309+H309+I309+J309+K309+L309)</f>
        <v/>
      </c>
      <c r="N309" s="25">
        <f>IF(E309="","",E309-M309)</f>
        <v/>
      </c>
      <c r="O309" s="15" t="n"/>
    </row>
    <row r="310">
      <c r="A310" s="26" t="n"/>
      <c r="B310" s="14" t="n"/>
      <c r="C310" s="14" t="n"/>
      <c r="D310" s="14" t="n"/>
      <c r="E310" s="27" t="n"/>
      <c r="F310" s="27">
        <f>IF(E310="","",E310*0.065)</f>
        <v/>
      </c>
      <c r="G310" s="27">
        <f>IF(E310="","",E310*0.03+0.25)</f>
        <v/>
      </c>
      <c r="H310" s="27" t="n"/>
      <c r="I310" s="27" t="n"/>
      <c r="J310" s="27" t="n"/>
      <c r="K310" s="27" t="n"/>
      <c r="L310" s="27" t="n"/>
      <c r="M310" s="27">
        <f>IF(E310="","",F310+G310+H310+I310+J310+K310+L310)</f>
        <v/>
      </c>
      <c r="N310" s="27">
        <f>IF(E310="","",E310-M310)</f>
        <v/>
      </c>
      <c r="O310" s="14" t="n"/>
    </row>
    <row r="311">
      <c r="A311" s="24" t="n"/>
      <c r="B311" s="15" t="n"/>
      <c r="C311" s="15" t="n"/>
      <c r="D311" s="15" t="n"/>
      <c r="E311" s="25" t="n"/>
      <c r="F311" s="25">
        <f>IF(E311="","",E311*0.065)</f>
        <v/>
      </c>
      <c r="G311" s="25">
        <f>IF(E311="","",E311*0.03+0.25)</f>
        <v/>
      </c>
      <c r="H311" s="25" t="n"/>
      <c r="I311" s="25" t="n"/>
      <c r="J311" s="25" t="n"/>
      <c r="K311" s="25" t="n"/>
      <c r="L311" s="25" t="n"/>
      <c r="M311" s="25">
        <f>IF(E311="","",F311+G311+H311+I311+J311+K311+L311)</f>
        <v/>
      </c>
      <c r="N311" s="25">
        <f>IF(E311="","",E311-M311)</f>
        <v/>
      </c>
      <c r="O311" s="15" t="n"/>
    </row>
    <row r="312">
      <c r="A312" s="26" t="n"/>
      <c r="B312" s="14" t="n"/>
      <c r="C312" s="14" t="n"/>
      <c r="D312" s="14" t="n"/>
      <c r="E312" s="27" t="n"/>
      <c r="F312" s="27">
        <f>IF(E312="","",E312*0.065)</f>
        <v/>
      </c>
      <c r="G312" s="27">
        <f>IF(E312="","",E312*0.03+0.25)</f>
        <v/>
      </c>
      <c r="H312" s="27" t="n"/>
      <c r="I312" s="27" t="n"/>
      <c r="J312" s="27" t="n"/>
      <c r="K312" s="27" t="n"/>
      <c r="L312" s="27" t="n"/>
      <c r="M312" s="27">
        <f>IF(E312="","",F312+G312+H312+I312+J312+K312+L312)</f>
        <v/>
      </c>
      <c r="N312" s="27">
        <f>IF(E312="","",E312-M312)</f>
        <v/>
      </c>
      <c r="O312" s="14" t="n"/>
    </row>
    <row r="313">
      <c r="A313" s="24" t="n"/>
      <c r="B313" s="15" t="n"/>
      <c r="C313" s="15" t="n"/>
      <c r="D313" s="15" t="n"/>
      <c r="E313" s="25" t="n"/>
      <c r="F313" s="25">
        <f>IF(E313="","",E313*0.065)</f>
        <v/>
      </c>
      <c r="G313" s="25">
        <f>IF(E313="","",E313*0.03+0.25)</f>
        <v/>
      </c>
      <c r="H313" s="25" t="n"/>
      <c r="I313" s="25" t="n"/>
      <c r="J313" s="25" t="n"/>
      <c r="K313" s="25" t="n"/>
      <c r="L313" s="25" t="n"/>
      <c r="M313" s="25">
        <f>IF(E313="","",F313+G313+H313+I313+J313+K313+L313)</f>
        <v/>
      </c>
      <c r="N313" s="25">
        <f>IF(E313="","",E313-M313)</f>
        <v/>
      </c>
      <c r="O313" s="15" t="n"/>
    </row>
    <row r="314">
      <c r="A314" s="26" t="n"/>
      <c r="B314" s="14" t="n"/>
      <c r="C314" s="14" t="n"/>
      <c r="D314" s="14" t="n"/>
      <c r="E314" s="27" t="n"/>
      <c r="F314" s="27">
        <f>IF(E314="","",E314*0.065)</f>
        <v/>
      </c>
      <c r="G314" s="27">
        <f>IF(E314="","",E314*0.03+0.25)</f>
        <v/>
      </c>
      <c r="H314" s="27" t="n"/>
      <c r="I314" s="27" t="n"/>
      <c r="J314" s="27" t="n"/>
      <c r="K314" s="27" t="n"/>
      <c r="L314" s="27" t="n"/>
      <c r="M314" s="27">
        <f>IF(E314="","",F314+G314+H314+I314+J314+K314+L314)</f>
        <v/>
      </c>
      <c r="N314" s="27">
        <f>IF(E314="","",E314-M314)</f>
        <v/>
      </c>
      <c r="O314" s="14" t="n"/>
    </row>
    <row r="315">
      <c r="A315" s="24" t="n"/>
      <c r="B315" s="15" t="n"/>
      <c r="C315" s="15" t="n"/>
      <c r="D315" s="15" t="n"/>
      <c r="E315" s="25" t="n"/>
      <c r="F315" s="25">
        <f>IF(E315="","",E315*0.065)</f>
        <v/>
      </c>
      <c r="G315" s="25">
        <f>IF(E315="","",E315*0.03+0.25)</f>
        <v/>
      </c>
      <c r="H315" s="25" t="n"/>
      <c r="I315" s="25" t="n"/>
      <c r="J315" s="25" t="n"/>
      <c r="K315" s="25" t="n"/>
      <c r="L315" s="25" t="n"/>
      <c r="M315" s="25">
        <f>IF(E315="","",F315+G315+H315+I315+J315+K315+L315)</f>
        <v/>
      </c>
      <c r="N315" s="25">
        <f>IF(E315="","",E315-M315)</f>
        <v/>
      </c>
      <c r="O315" s="15" t="n"/>
    </row>
    <row r="316">
      <c r="A316" s="26" t="n"/>
      <c r="B316" s="14" t="n"/>
      <c r="C316" s="14" t="n"/>
      <c r="D316" s="14" t="n"/>
      <c r="E316" s="27" t="n"/>
      <c r="F316" s="27">
        <f>IF(E316="","",E316*0.065)</f>
        <v/>
      </c>
      <c r="G316" s="27">
        <f>IF(E316="","",E316*0.03+0.25)</f>
        <v/>
      </c>
      <c r="H316" s="27" t="n"/>
      <c r="I316" s="27" t="n"/>
      <c r="J316" s="27" t="n"/>
      <c r="K316" s="27" t="n"/>
      <c r="L316" s="27" t="n"/>
      <c r="M316" s="27">
        <f>IF(E316="","",F316+G316+H316+I316+J316+K316+L316)</f>
        <v/>
      </c>
      <c r="N316" s="27">
        <f>IF(E316="","",E316-M316)</f>
        <v/>
      </c>
      <c r="O316" s="14" t="n"/>
    </row>
    <row r="317">
      <c r="A317" s="24" t="n"/>
      <c r="B317" s="15" t="n"/>
      <c r="C317" s="15" t="n"/>
      <c r="D317" s="15" t="n"/>
      <c r="E317" s="25" t="n"/>
      <c r="F317" s="25">
        <f>IF(E317="","",E317*0.065)</f>
        <v/>
      </c>
      <c r="G317" s="25">
        <f>IF(E317="","",E317*0.03+0.25)</f>
        <v/>
      </c>
      <c r="H317" s="25" t="n"/>
      <c r="I317" s="25" t="n"/>
      <c r="J317" s="25" t="n"/>
      <c r="K317" s="25" t="n"/>
      <c r="L317" s="25" t="n"/>
      <c r="M317" s="25">
        <f>IF(E317="","",F317+G317+H317+I317+J317+K317+L317)</f>
        <v/>
      </c>
      <c r="N317" s="25">
        <f>IF(E317="","",E317-M317)</f>
        <v/>
      </c>
      <c r="O317" s="15" t="n"/>
    </row>
    <row r="318">
      <c r="A318" s="26" t="n"/>
      <c r="B318" s="14" t="n"/>
      <c r="C318" s="14" t="n"/>
      <c r="D318" s="14" t="n"/>
      <c r="E318" s="27" t="n"/>
      <c r="F318" s="27">
        <f>IF(E318="","",E318*0.065)</f>
        <v/>
      </c>
      <c r="G318" s="27">
        <f>IF(E318="","",E318*0.03+0.25)</f>
        <v/>
      </c>
      <c r="H318" s="27" t="n"/>
      <c r="I318" s="27" t="n"/>
      <c r="J318" s="27" t="n"/>
      <c r="K318" s="27" t="n"/>
      <c r="L318" s="27" t="n"/>
      <c r="M318" s="27">
        <f>IF(E318="","",F318+G318+H318+I318+J318+K318+L318)</f>
        <v/>
      </c>
      <c r="N318" s="27">
        <f>IF(E318="","",E318-M318)</f>
        <v/>
      </c>
      <c r="O318" s="14" t="n"/>
    </row>
    <row r="319">
      <c r="A319" s="24" t="n"/>
      <c r="B319" s="15" t="n"/>
      <c r="C319" s="15" t="n"/>
      <c r="D319" s="15" t="n"/>
      <c r="E319" s="25" t="n"/>
      <c r="F319" s="25">
        <f>IF(E319="","",E319*0.065)</f>
        <v/>
      </c>
      <c r="G319" s="25">
        <f>IF(E319="","",E319*0.03+0.25)</f>
        <v/>
      </c>
      <c r="H319" s="25" t="n"/>
      <c r="I319" s="25" t="n"/>
      <c r="J319" s="25" t="n"/>
      <c r="K319" s="25" t="n"/>
      <c r="L319" s="25" t="n"/>
      <c r="M319" s="25">
        <f>IF(E319="","",F319+G319+H319+I319+J319+K319+L319)</f>
        <v/>
      </c>
      <c r="N319" s="25">
        <f>IF(E319="","",E319-M319)</f>
        <v/>
      </c>
      <c r="O319" s="15" t="n"/>
    </row>
    <row r="320">
      <c r="A320" s="26" t="n"/>
      <c r="B320" s="14" t="n"/>
      <c r="C320" s="14" t="n"/>
      <c r="D320" s="14" t="n"/>
      <c r="E320" s="27" t="n"/>
      <c r="F320" s="27">
        <f>IF(E320="","",E320*0.065)</f>
        <v/>
      </c>
      <c r="G320" s="27">
        <f>IF(E320="","",E320*0.03+0.25)</f>
        <v/>
      </c>
      <c r="H320" s="27" t="n"/>
      <c r="I320" s="27" t="n"/>
      <c r="J320" s="27" t="n"/>
      <c r="K320" s="27" t="n"/>
      <c r="L320" s="27" t="n"/>
      <c r="M320" s="27">
        <f>IF(E320="","",F320+G320+H320+I320+J320+K320+L320)</f>
        <v/>
      </c>
      <c r="N320" s="27">
        <f>IF(E320="","",E320-M320)</f>
        <v/>
      </c>
      <c r="O320" s="14" t="n"/>
    </row>
    <row r="321">
      <c r="A321" s="24" t="n"/>
      <c r="B321" s="15" t="n"/>
      <c r="C321" s="15" t="n"/>
      <c r="D321" s="15" t="n"/>
      <c r="E321" s="25" t="n"/>
      <c r="F321" s="25">
        <f>IF(E321="","",E321*0.065)</f>
        <v/>
      </c>
      <c r="G321" s="25">
        <f>IF(E321="","",E321*0.03+0.25)</f>
        <v/>
      </c>
      <c r="H321" s="25" t="n"/>
      <c r="I321" s="25" t="n"/>
      <c r="J321" s="25" t="n"/>
      <c r="K321" s="25" t="n"/>
      <c r="L321" s="25" t="n"/>
      <c r="M321" s="25">
        <f>IF(E321="","",F321+G321+H321+I321+J321+K321+L321)</f>
        <v/>
      </c>
      <c r="N321" s="25">
        <f>IF(E321="","",E321-M321)</f>
        <v/>
      </c>
      <c r="O321" s="15" t="n"/>
    </row>
    <row r="322">
      <c r="A322" s="26" t="n"/>
      <c r="B322" s="14" t="n"/>
      <c r="C322" s="14" t="n"/>
      <c r="D322" s="14" t="n"/>
      <c r="E322" s="27" t="n"/>
      <c r="F322" s="27">
        <f>IF(E322="","",E322*0.065)</f>
        <v/>
      </c>
      <c r="G322" s="27">
        <f>IF(E322="","",E322*0.03+0.25)</f>
        <v/>
      </c>
      <c r="H322" s="27" t="n"/>
      <c r="I322" s="27" t="n"/>
      <c r="J322" s="27" t="n"/>
      <c r="K322" s="27" t="n"/>
      <c r="L322" s="27" t="n"/>
      <c r="M322" s="27">
        <f>IF(E322="","",F322+G322+H322+I322+J322+K322+L322)</f>
        <v/>
      </c>
      <c r="N322" s="27">
        <f>IF(E322="","",E322-M322)</f>
        <v/>
      </c>
      <c r="O322" s="14" t="n"/>
    </row>
    <row r="323">
      <c r="A323" s="24" t="n"/>
      <c r="B323" s="15" t="n"/>
      <c r="C323" s="15" t="n"/>
      <c r="D323" s="15" t="n"/>
      <c r="E323" s="25" t="n"/>
      <c r="F323" s="25">
        <f>IF(E323="","",E323*0.065)</f>
        <v/>
      </c>
      <c r="G323" s="25">
        <f>IF(E323="","",E323*0.03+0.25)</f>
        <v/>
      </c>
      <c r="H323" s="25" t="n"/>
      <c r="I323" s="25" t="n"/>
      <c r="J323" s="25" t="n"/>
      <c r="K323" s="25" t="n"/>
      <c r="L323" s="25" t="n"/>
      <c r="M323" s="25">
        <f>IF(E323="","",F323+G323+H323+I323+J323+K323+L323)</f>
        <v/>
      </c>
      <c r="N323" s="25">
        <f>IF(E323="","",E323-M323)</f>
        <v/>
      </c>
      <c r="O323" s="15" t="n"/>
    </row>
    <row r="324">
      <c r="A324" s="26" t="n"/>
      <c r="B324" s="14" t="n"/>
      <c r="C324" s="14" t="n"/>
      <c r="D324" s="14" t="n"/>
      <c r="E324" s="27" t="n"/>
      <c r="F324" s="27">
        <f>IF(E324="","",E324*0.065)</f>
        <v/>
      </c>
      <c r="G324" s="27">
        <f>IF(E324="","",E324*0.03+0.25)</f>
        <v/>
      </c>
      <c r="H324" s="27" t="n"/>
      <c r="I324" s="27" t="n"/>
      <c r="J324" s="27" t="n"/>
      <c r="K324" s="27" t="n"/>
      <c r="L324" s="27" t="n"/>
      <c r="M324" s="27">
        <f>IF(E324="","",F324+G324+H324+I324+J324+K324+L324)</f>
        <v/>
      </c>
      <c r="N324" s="27">
        <f>IF(E324="","",E324-M324)</f>
        <v/>
      </c>
      <c r="O324" s="14" t="n"/>
    </row>
    <row r="325">
      <c r="A325" s="24" t="n"/>
      <c r="B325" s="15" t="n"/>
      <c r="C325" s="15" t="n"/>
      <c r="D325" s="15" t="n"/>
      <c r="E325" s="25" t="n"/>
      <c r="F325" s="25">
        <f>IF(E325="","",E325*0.065)</f>
        <v/>
      </c>
      <c r="G325" s="25">
        <f>IF(E325="","",E325*0.03+0.25)</f>
        <v/>
      </c>
      <c r="H325" s="25" t="n"/>
      <c r="I325" s="25" t="n"/>
      <c r="J325" s="25" t="n"/>
      <c r="K325" s="25" t="n"/>
      <c r="L325" s="25" t="n"/>
      <c r="M325" s="25">
        <f>IF(E325="","",F325+G325+H325+I325+J325+K325+L325)</f>
        <v/>
      </c>
      <c r="N325" s="25">
        <f>IF(E325="","",E325-M325)</f>
        <v/>
      </c>
      <c r="O325" s="15" t="n"/>
    </row>
    <row r="326">
      <c r="A326" s="26" t="n"/>
      <c r="B326" s="14" t="n"/>
      <c r="C326" s="14" t="n"/>
      <c r="D326" s="14" t="n"/>
      <c r="E326" s="27" t="n"/>
      <c r="F326" s="27">
        <f>IF(E326="","",E326*0.065)</f>
        <v/>
      </c>
      <c r="G326" s="27">
        <f>IF(E326="","",E326*0.03+0.25)</f>
        <v/>
      </c>
      <c r="H326" s="27" t="n"/>
      <c r="I326" s="27" t="n"/>
      <c r="J326" s="27" t="n"/>
      <c r="K326" s="27" t="n"/>
      <c r="L326" s="27" t="n"/>
      <c r="M326" s="27">
        <f>IF(E326="","",F326+G326+H326+I326+J326+K326+L326)</f>
        <v/>
      </c>
      <c r="N326" s="27">
        <f>IF(E326="","",E326-M326)</f>
        <v/>
      </c>
      <c r="O326" s="14" t="n"/>
    </row>
    <row r="327">
      <c r="A327" s="24" t="n"/>
      <c r="B327" s="15" t="n"/>
      <c r="C327" s="15" t="n"/>
      <c r="D327" s="15" t="n"/>
      <c r="E327" s="25" t="n"/>
      <c r="F327" s="25">
        <f>IF(E327="","",E327*0.065)</f>
        <v/>
      </c>
      <c r="G327" s="25">
        <f>IF(E327="","",E327*0.03+0.25)</f>
        <v/>
      </c>
      <c r="H327" s="25" t="n"/>
      <c r="I327" s="25" t="n"/>
      <c r="J327" s="25" t="n"/>
      <c r="K327" s="25" t="n"/>
      <c r="L327" s="25" t="n"/>
      <c r="M327" s="25">
        <f>IF(E327="","",F327+G327+H327+I327+J327+K327+L327)</f>
        <v/>
      </c>
      <c r="N327" s="25">
        <f>IF(E327="","",E327-M327)</f>
        <v/>
      </c>
      <c r="O327" s="15" t="n"/>
    </row>
    <row r="328">
      <c r="A328" s="26" t="n"/>
      <c r="B328" s="14" t="n"/>
      <c r="C328" s="14" t="n"/>
      <c r="D328" s="14" t="n"/>
      <c r="E328" s="27" t="n"/>
      <c r="F328" s="27">
        <f>IF(E328="","",E328*0.065)</f>
        <v/>
      </c>
      <c r="G328" s="27">
        <f>IF(E328="","",E328*0.03+0.25)</f>
        <v/>
      </c>
      <c r="H328" s="27" t="n"/>
      <c r="I328" s="27" t="n"/>
      <c r="J328" s="27" t="n"/>
      <c r="K328" s="27" t="n"/>
      <c r="L328" s="27" t="n"/>
      <c r="M328" s="27">
        <f>IF(E328="","",F328+G328+H328+I328+J328+K328+L328)</f>
        <v/>
      </c>
      <c r="N328" s="27">
        <f>IF(E328="","",E328-M328)</f>
        <v/>
      </c>
      <c r="O328" s="14" t="n"/>
    </row>
    <row r="329">
      <c r="A329" s="24" t="n"/>
      <c r="B329" s="15" t="n"/>
      <c r="C329" s="15" t="n"/>
      <c r="D329" s="15" t="n"/>
      <c r="E329" s="25" t="n"/>
      <c r="F329" s="25">
        <f>IF(E329="","",E329*0.065)</f>
        <v/>
      </c>
      <c r="G329" s="25">
        <f>IF(E329="","",E329*0.03+0.25)</f>
        <v/>
      </c>
      <c r="H329" s="25" t="n"/>
      <c r="I329" s="25" t="n"/>
      <c r="J329" s="25" t="n"/>
      <c r="K329" s="25" t="n"/>
      <c r="L329" s="25" t="n"/>
      <c r="M329" s="25">
        <f>IF(E329="","",F329+G329+H329+I329+J329+K329+L329)</f>
        <v/>
      </c>
      <c r="N329" s="25">
        <f>IF(E329="","",E329-M329)</f>
        <v/>
      </c>
      <c r="O329" s="15" t="n"/>
    </row>
    <row r="330">
      <c r="A330" s="26" t="n"/>
      <c r="B330" s="14" t="n"/>
      <c r="C330" s="14" t="n"/>
      <c r="D330" s="14" t="n"/>
      <c r="E330" s="27" t="n"/>
      <c r="F330" s="27">
        <f>IF(E330="","",E330*0.065)</f>
        <v/>
      </c>
      <c r="G330" s="27">
        <f>IF(E330="","",E330*0.03+0.25)</f>
        <v/>
      </c>
      <c r="H330" s="27" t="n"/>
      <c r="I330" s="27" t="n"/>
      <c r="J330" s="27" t="n"/>
      <c r="K330" s="27" t="n"/>
      <c r="L330" s="27" t="n"/>
      <c r="M330" s="27">
        <f>IF(E330="","",F330+G330+H330+I330+J330+K330+L330)</f>
        <v/>
      </c>
      <c r="N330" s="27">
        <f>IF(E330="","",E330-M330)</f>
        <v/>
      </c>
      <c r="O330" s="14" t="n"/>
    </row>
    <row r="331">
      <c r="A331" s="24" t="n"/>
      <c r="B331" s="15" t="n"/>
      <c r="C331" s="15" t="n"/>
      <c r="D331" s="15" t="n"/>
      <c r="E331" s="25" t="n"/>
      <c r="F331" s="25">
        <f>IF(E331="","",E331*0.065)</f>
        <v/>
      </c>
      <c r="G331" s="25">
        <f>IF(E331="","",E331*0.03+0.25)</f>
        <v/>
      </c>
      <c r="H331" s="25" t="n"/>
      <c r="I331" s="25" t="n"/>
      <c r="J331" s="25" t="n"/>
      <c r="K331" s="25" t="n"/>
      <c r="L331" s="25" t="n"/>
      <c r="M331" s="25">
        <f>IF(E331="","",F331+G331+H331+I331+J331+K331+L331)</f>
        <v/>
      </c>
      <c r="N331" s="25">
        <f>IF(E331="","",E331-M331)</f>
        <v/>
      </c>
      <c r="O331" s="15" t="n"/>
    </row>
    <row r="332">
      <c r="A332" s="26" t="n"/>
      <c r="B332" s="14" t="n"/>
      <c r="C332" s="14" t="n"/>
      <c r="D332" s="14" t="n"/>
      <c r="E332" s="27" t="n"/>
      <c r="F332" s="27">
        <f>IF(E332="","",E332*0.065)</f>
        <v/>
      </c>
      <c r="G332" s="27">
        <f>IF(E332="","",E332*0.03+0.25)</f>
        <v/>
      </c>
      <c r="H332" s="27" t="n"/>
      <c r="I332" s="27" t="n"/>
      <c r="J332" s="27" t="n"/>
      <c r="K332" s="27" t="n"/>
      <c r="L332" s="27" t="n"/>
      <c r="M332" s="27">
        <f>IF(E332="","",F332+G332+H332+I332+J332+K332+L332)</f>
        <v/>
      </c>
      <c r="N332" s="27">
        <f>IF(E332="","",E332-M332)</f>
        <v/>
      </c>
      <c r="O332" s="14" t="n"/>
    </row>
    <row r="333">
      <c r="A333" s="24" t="n"/>
      <c r="B333" s="15" t="n"/>
      <c r="C333" s="15" t="n"/>
      <c r="D333" s="15" t="n"/>
      <c r="E333" s="25" t="n"/>
      <c r="F333" s="25">
        <f>IF(E333="","",E333*0.065)</f>
        <v/>
      </c>
      <c r="G333" s="25">
        <f>IF(E333="","",E333*0.03+0.25)</f>
        <v/>
      </c>
      <c r="H333" s="25" t="n"/>
      <c r="I333" s="25" t="n"/>
      <c r="J333" s="25" t="n"/>
      <c r="K333" s="25" t="n"/>
      <c r="L333" s="25" t="n"/>
      <c r="M333" s="25">
        <f>IF(E333="","",F333+G333+H333+I333+J333+K333+L333)</f>
        <v/>
      </c>
      <c r="N333" s="25">
        <f>IF(E333="","",E333-M333)</f>
        <v/>
      </c>
      <c r="O333" s="15" t="n"/>
    </row>
    <row r="334">
      <c r="A334" s="26" t="n"/>
      <c r="B334" s="14" t="n"/>
      <c r="C334" s="14" t="n"/>
      <c r="D334" s="14" t="n"/>
      <c r="E334" s="27" t="n"/>
      <c r="F334" s="27">
        <f>IF(E334="","",E334*0.065)</f>
        <v/>
      </c>
      <c r="G334" s="27">
        <f>IF(E334="","",E334*0.03+0.25)</f>
        <v/>
      </c>
      <c r="H334" s="27" t="n"/>
      <c r="I334" s="27" t="n"/>
      <c r="J334" s="27" t="n"/>
      <c r="K334" s="27" t="n"/>
      <c r="L334" s="27" t="n"/>
      <c r="M334" s="27">
        <f>IF(E334="","",F334+G334+H334+I334+J334+K334+L334)</f>
        <v/>
      </c>
      <c r="N334" s="27">
        <f>IF(E334="","",E334-M334)</f>
        <v/>
      </c>
      <c r="O334" s="14" t="n"/>
    </row>
    <row r="335">
      <c r="A335" s="24" t="n"/>
      <c r="B335" s="15" t="n"/>
      <c r="C335" s="15" t="n"/>
      <c r="D335" s="15" t="n"/>
      <c r="E335" s="25" t="n"/>
      <c r="F335" s="25">
        <f>IF(E335="","",E335*0.065)</f>
        <v/>
      </c>
      <c r="G335" s="25">
        <f>IF(E335="","",E335*0.03+0.25)</f>
        <v/>
      </c>
      <c r="H335" s="25" t="n"/>
      <c r="I335" s="25" t="n"/>
      <c r="J335" s="25" t="n"/>
      <c r="K335" s="25" t="n"/>
      <c r="L335" s="25" t="n"/>
      <c r="M335" s="25">
        <f>IF(E335="","",F335+G335+H335+I335+J335+K335+L335)</f>
        <v/>
      </c>
      <c r="N335" s="25">
        <f>IF(E335="","",E335-M335)</f>
        <v/>
      </c>
      <c r="O335" s="15" t="n"/>
    </row>
    <row r="336">
      <c r="A336" s="26" t="n"/>
      <c r="B336" s="14" t="n"/>
      <c r="C336" s="14" t="n"/>
      <c r="D336" s="14" t="n"/>
      <c r="E336" s="27" t="n"/>
      <c r="F336" s="27">
        <f>IF(E336="","",E336*0.065)</f>
        <v/>
      </c>
      <c r="G336" s="27">
        <f>IF(E336="","",E336*0.03+0.25)</f>
        <v/>
      </c>
      <c r="H336" s="27" t="n"/>
      <c r="I336" s="27" t="n"/>
      <c r="J336" s="27" t="n"/>
      <c r="K336" s="27" t="n"/>
      <c r="L336" s="27" t="n"/>
      <c r="M336" s="27">
        <f>IF(E336="","",F336+G336+H336+I336+J336+K336+L336)</f>
        <v/>
      </c>
      <c r="N336" s="27">
        <f>IF(E336="","",E336-M336)</f>
        <v/>
      </c>
      <c r="O336" s="14" t="n"/>
    </row>
    <row r="337">
      <c r="A337" s="24" t="n"/>
      <c r="B337" s="15" t="n"/>
      <c r="C337" s="15" t="n"/>
      <c r="D337" s="15" t="n"/>
      <c r="E337" s="25" t="n"/>
      <c r="F337" s="25">
        <f>IF(E337="","",E337*0.065)</f>
        <v/>
      </c>
      <c r="G337" s="25">
        <f>IF(E337="","",E337*0.03+0.25)</f>
        <v/>
      </c>
      <c r="H337" s="25" t="n"/>
      <c r="I337" s="25" t="n"/>
      <c r="J337" s="25" t="n"/>
      <c r="K337" s="25" t="n"/>
      <c r="L337" s="25" t="n"/>
      <c r="M337" s="25">
        <f>IF(E337="","",F337+G337+H337+I337+J337+K337+L337)</f>
        <v/>
      </c>
      <c r="N337" s="25">
        <f>IF(E337="","",E337-M337)</f>
        <v/>
      </c>
      <c r="O337" s="15" t="n"/>
    </row>
    <row r="338">
      <c r="A338" s="26" t="n"/>
      <c r="B338" s="14" t="n"/>
      <c r="C338" s="14" t="n"/>
      <c r="D338" s="14" t="n"/>
      <c r="E338" s="27" t="n"/>
      <c r="F338" s="27">
        <f>IF(E338="","",E338*0.065)</f>
        <v/>
      </c>
      <c r="G338" s="27">
        <f>IF(E338="","",E338*0.03+0.25)</f>
        <v/>
      </c>
      <c r="H338" s="27" t="n"/>
      <c r="I338" s="27" t="n"/>
      <c r="J338" s="27" t="n"/>
      <c r="K338" s="27" t="n"/>
      <c r="L338" s="27" t="n"/>
      <c r="M338" s="27">
        <f>IF(E338="","",F338+G338+H338+I338+J338+K338+L338)</f>
        <v/>
      </c>
      <c r="N338" s="27">
        <f>IF(E338="","",E338-M338)</f>
        <v/>
      </c>
      <c r="O338" s="14" t="n"/>
    </row>
    <row r="339">
      <c r="A339" s="24" t="n"/>
      <c r="B339" s="15" t="n"/>
      <c r="C339" s="15" t="n"/>
      <c r="D339" s="15" t="n"/>
      <c r="E339" s="25" t="n"/>
      <c r="F339" s="25">
        <f>IF(E339="","",E339*0.065)</f>
        <v/>
      </c>
      <c r="G339" s="25">
        <f>IF(E339="","",E339*0.03+0.25)</f>
        <v/>
      </c>
      <c r="H339" s="25" t="n"/>
      <c r="I339" s="25" t="n"/>
      <c r="J339" s="25" t="n"/>
      <c r="K339" s="25" t="n"/>
      <c r="L339" s="25" t="n"/>
      <c r="M339" s="25">
        <f>IF(E339="","",F339+G339+H339+I339+J339+K339+L339)</f>
        <v/>
      </c>
      <c r="N339" s="25">
        <f>IF(E339="","",E339-M339)</f>
        <v/>
      </c>
      <c r="O339" s="15" t="n"/>
    </row>
    <row r="340">
      <c r="A340" s="26" t="n"/>
      <c r="B340" s="14" t="n"/>
      <c r="C340" s="14" t="n"/>
      <c r="D340" s="14" t="n"/>
      <c r="E340" s="27" t="n"/>
      <c r="F340" s="27">
        <f>IF(E340="","",E340*0.065)</f>
        <v/>
      </c>
      <c r="G340" s="27">
        <f>IF(E340="","",E340*0.03+0.25)</f>
        <v/>
      </c>
      <c r="H340" s="27" t="n"/>
      <c r="I340" s="27" t="n"/>
      <c r="J340" s="27" t="n"/>
      <c r="K340" s="27" t="n"/>
      <c r="L340" s="27" t="n"/>
      <c r="M340" s="27">
        <f>IF(E340="","",F340+G340+H340+I340+J340+K340+L340)</f>
        <v/>
      </c>
      <c r="N340" s="27">
        <f>IF(E340="","",E340-M340)</f>
        <v/>
      </c>
      <c r="O340" s="14" t="n"/>
    </row>
    <row r="341">
      <c r="A341" s="24" t="n"/>
      <c r="B341" s="15" t="n"/>
      <c r="C341" s="15" t="n"/>
      <c r="D341" s="15" t="n"/>
      <c r="E341" s="25" t="n"/>
      <c r="F341" s="25">
        <f>IF(E341="","",E341*0.065)</f>
        <v/>
      </c>
      <c r="G341" s="25">
        <f>IF(E341="","",E341*0.03+0.25)</f>
        <v/>
      </c>
      <c r="H341" s="25" t="n"/>
      <c r="I341" s="25" t="n"/>
      <c r="J341" s="25" t="n"/>
      <c r="K341" s="25" t="n"/>
      <c r="L341" s="25" t="n"/>
      <c r="M341" s="25">
        <f>IF(E341="","",F341+G341+H341+I341+J341+K341+L341)</f>
        <v/>
      </c>
      <c r="N341" s="25">
        <f>IF(E341="","",E341-M341)</f>
        <v/>
      </c>
      <c r="O341" s="15" t="n"/>
    </row>
    <row r="342">
      <c r="A342" s="26" t="n"/>
      <c r="B342" s="14" t="n"/>
      <c r="C342" s="14" t="n"/>
      <c r="D342" s="14" t="n"/>
      <c r="E342" s="27" t="n"/>
      <c r="F342" s="27">
        <f>IF(E342="","",E342*0.065)</f>
        <v/>
      </c>
      <c r="G342" s="27">
        <f>IF(E342="","",E342*0.03+0.25)</f>
        <v/>
      </c>
      <c r="H342" s="27" t="n"/>
      <c r="I342" s="27" t="n"/>
      <c r="J342" s="27" t="n"/>
      <c r="K342" s="27" t="n"/>
      <c r="L342" s="27" t="n"/>
      <c r="M342" s="27">
        <f>IF(E342="","",F342+G342+H342+I342+J342+K342+L342)</f>
        <v/>
      </c>
      <c r="N342" s="27">
        <f>IF(E342="","",E342-M342)</f>
        <v/>
      </c>
      <c r="O342" s="14" t="n"/>
    </row>
    <row r="343">
      <c r="A343" s="24" t="n"/>
      <c r="B343" s="15" t="n"/>
      <c r="C343" s="15" t="n"/>
      <c r="D343" s="15" t="n"/>
      <c r="E343" s="25" t="n"/>
      <c r="F343" s="25">
        <f>IF(E343="","",E343*0.065)</f>
        <v/>
      </c>
      <c r="G343" s="25">
        <f>IF(E343="","",E343*0.03+0.25)</f>
        <v/>
      </c>
      <c r="H343" s="25" t="n"/>
      <c r="I343" s="25" t="n"/>
      <c r="J343" s="25" t="n"/>
      <c r="K343" s="25" t="n"/>
      <c r="L343" s="25" t="n"/>
      <c r="M343" s="25">
        <f>IF(E343="","",F343+G343+H343+I343+J343+K343+L343)</f>
        <v/>
      </c>
      <c r="N343" s="25">
        <f>IF(E343="","",E343-M343)</f>
        <v/>
      </c>
      <c r="O343" s="15" t="n"/>
    </row>
    <row r="344">
      <c r="A344" s="26" t="n"/>
      <c r="B344" s="14" t="n"/>
      <c r="C344" s="14" t="n"/>
      <c r="D344" s="14" t="n"/>
      <c r="E344" s="27" t="n"/>
      <c r="F344" s="27">
        <f>IF(E344="","",E344*0.065)</f>
        <v/>
      </c>
      <c r="G344" s="27">
        <f>IF(E344="","",E344*0.03+0.25)</f>
        <v/>
      </c>
      <c r="H344" s="27" t="n"/>
      <c r="I344" s="27" t="n"/>
      <c r="J344" s="27" t="n"/>
      <c r="K344" s="27" t="n"/>
      <c r="L344" s="27" t="n"/>
      <c r="M344" s="27">
        <f>IF(E344="","",F344+G344+H344+I344+J344+K344+L344)</f>
        <v/>
      </c>
      <c r="N344" s="27">
        <f>IF(E344="","",E344-M344)</f>
        <v/>
      </c>
      <c r="O344" s="14" t="n"/>
    </row>
    <row r="345">
      <c r="A345" s="24" t="n"/>
      <c r="B345" s="15" t="n"/>
      <c r="C345" s="15" t="n"/>
      <c r="D345" s="15" t="n"/>
      <c r="E345" s="25" t="n"/>
      <c r="F345" s="25">
        <f>IF(E345="","",E345*0.065)</f>
        <v/>
      </c>
      <c r="G345" s="25">
        <f>IF(E345="","",E345*0.03+0.25)</f>
        <v/>
      </c>
      <c r="H345" s="25" t="n"/>
      <c r="I345" s="25" t="n"/>
      <c r="J345" s="25" t="n"/>
      <c r="K345" s="25" t="n"/>
      <c r="L345" s="25" t="n"/>
      <c r="M345" s="25">
        <f>IF(E345="","",F345+G345+H345+I345+J345+K345+L345)</f>
        <v/>
      </c>
      <c r="N345" s="25">
        <f>IF(E345="","",E345-M345)</f>
        <v/>
      </c>
      <c r="O345" s="15" t="n"/>
    </row>
    <row r="346">
      <c r="A346" s="26" t="n"/>
      <c r="B346" s="14" t="n"/>
      <c r="C346" s="14" t="n"/>
      <c r="D346" s="14" t="n"/>
      <c r="E346" s="27" t="n"/>
      <c r="F346" s="27">
        <f>IF(E346="","",E346*0.065)</f>
        <v/>
      </c>
      <c r="G346" s="27">
        <f>IF(E346="","",E346*0.03+0.25)</f>
        <v/>
      </c>
      <c r="H346" s="27" t="n"/>
      <c r="I346" s="27" t="n"/>
      <c r="J346" s="27" t="n"/>
      <c r="K346" s="27" t="n"/>
      <c r="L346" s="27" t="n"/>
      <c r="M346" s="27">
        <f>IF(E346="","",F346+G346+H346+I346+J346+K346+L346)</f>
        <v/>
      </c>
      <c r="N346" s="27">
        <f>IF(E346="","",E346-M346)</f>
        <v/>
      </c>
      <c r="O346" s="14" t="n"/>
    </row>
    <row r="347">
      <c r="A347" s="24" t="n"/>
      <c r="B347" s="15" t="n"/>
      <c r="C347" s="15" t="n"/>
      <c r="D347" s="15" t="n"/>
      <c r="E347" s="25" t="n"/>
      <c r="F347" s="25">
        <f>IF(E347="","",E347*0.065)</f>
        <v/>
      </c>
      <c r="G347" s="25">
        <f>IF(E347="","",E347*0.03+0.25)</f>
        <v/>
      </c>
      <c r="H347" s="25" t="n"/>
      <c r="I347" s="25" t="n"/>
      <c r="J347" s="25" t="n"/>
      <c r="K347" s="25" t="n"/>
      <c r="L347" s="25" t="n"/>
      <c r="M347" s="25">
        <f>IF(E347="","",F347+G347+H347+I347+J347+K347+L347)</f>
        <v/>
      </c>
      <c r="N347" s="25">
        <f>IF(E347="","",E347-M347)</f>
        <v/>
      </c>
      <c r="O347" s="15" t="n"/>
    </row>
    <row r="348">
      <c r="A348" s="26" t="n"/>
      <c r="B348" s="14" t="n"/>
      <c r="C348" s="14" t="n"/>
      <c r="D348" s="14" t="n"/>
      <c r="E348" s="27" t="n"/>
      <c r="F348" s="27">
        <f>IF(E348="","",E348*0.065)</f>
        <v/>
      </c>
      <c r="G348" s="27">
        <f>IF(E348="","",E348*0.03+0.25)</f>
        <v/>
      </c>
      <c r="H348" s="27" t="n"/>
      <c r="I348" s="27" t="n"/>
      <c r="J348" s="27" t="n"/>
      <c r="K348" s="27" t="n"/>
      <c r="L348" s="27" t="n"/>
      <c r="M348" s="27">
        <f>IF(E348="","",F348+G348+H348+I348+J348+K348+L348)</f>
        <v/>
      </c>
      <c r="N348" s="27">
        <f>IF(E348="","",E348-M348)</f>
        <v/>
      </c>
      <c r="O348" s="14" t="n"/>
    </row>
    <row r="349">
      <c r="A349" s="24" t="n"/>
      <c r="B349" s="15" t="n"/>
      <c r="C349" s="15" t="n"/>
      <c r="D349" s="15" t="n"/>
      <c r="E349" s="25" t="n"/>
      <c r="F349" s="25">
        <f>IF(E349="","",E349*0.065)</f>
        <v/>
      </c>
      <c r="G349" s="25">
        <f>IF(E349="","",E349*0.03+0.25)</f>
        <v/>
      </c>
      <c r="H349" s="25" t="n"/>
      <c r="I349" s="25" t="n"/>
      <c r="J349" s="25" t="n"/>
      <c r="K349" s="25" t="n"/>
      <c r="L349" s="25" t="n"/>
      <c r="M349" s="25">
        <f>IF(E349="","",F349+G349+H349+I349+J349+K349+L349)</f>
        <v/>
      </c>
      <c r="N349" s="25">
        <f>IF(E349="","",E349-M349)</f>
        <v/>
      </c>
      <c r="O349" s="15" t="n"/>
    </row>
    <row r="350">
      <c r="A350" s="26" t="n"/>
      <c r="B350" s="14" t="n"/>
      <c r="C350" s="14" t="n"/>
      <c r="D350" s="14" t="n"/>
      <c r="E350" s="27" t="n"/>
      <c r="F350" s="27">
        <f>IF(E350="","",E350*0.065)</f>
        <v/>
      </c>
      <c r="G350" s="27">
        <f>IF(E350="","",E350*0.03+0.25)</f>
        <v/>
      </c>
      <c r="H350" s="27" t="n"/>
      <c r="I350" s="27" t="n"/>
      <c r="J350" s="27" t="n"/>
      <c r="K350" s="27" t="n"/>
      <c r="L350" s="27" t="n"/>
      <c r="M350" s="27">
        <f>IF(E350="","",F350+G350+H350+I350+J350+K350+L350)</f>
        <v/>
      </c>
      <c r="N350" s="27">
        <f>IF(E350="","",E350-M350)</f>
        <v/>
      </c>
      <c r="O350" s="14" t="n"/>
    </row>
    <row r="351">
      <c r="A351" s="24" t="n"/>
      <c r="B351" s="15" t="n"/>
      <c r="C351" s="15" t="n"/>
      <c r="D351" s="15" t="n"/>
      <c r="E351" s="25" t="n"/>
      <c r="F351" s="25">
        <f>IF(E351="","",E351*0.065)</f>
        <v/>
      </c>
      <c r="G351" s="25">
        <f>IF(E351="","",E351*0.03+0.25)</f>
        <v/>
      </c>
      <c r="H351" s="25" t="n"/>
      <c r="I351" s="25" t="n"/>
      <c r="J351" s="25" t="n"/>
      <c r="K351" s="25" t="n"/>
      <c r="L351" s="25" t="n"/>
      <c r="M351" s="25">
        <f>IF(E351="","",F351+G351+H351+I351+J351+K351+L351)</f>
        <v/>
      </c>
      <c r="N351" s="25">
        <f>IF(E351="","",E351-M351)</f>
        <v/>
      </c>
      <c r="O351" s="15" t="n"/>
    </row>
    <row r="352">
      <c r="A352" s="26" t="n"/>
      <c r="B352" s="14" t="n"/>
      <c r="C352" s="14" t="n"/>
      <c r="D352" s="14" t="n"/>
      <c r="E352" s="27" t="n"/>
      <c r="F352" s="27">
        <f>IF(E352="","",E352*0.065)</f>
        <v/>
      </c>
      <c r="G352" s="27">
        <f>IF(E352="","",E352*0.03+0.25)</f>
        <v/>
      </c>
      <c r="H352" s="27" t="n"/>
      <c r="I352" s="27" t="n"/>
      <c r="J352" s="27" t="n"/>
      <c r="K352" s="27" t="n"/>
      <c r="L352" s="27" t="n"/>
      <c r="M352" s="27">
        <f>IF(E352="","",F352+G352+H352+I352+J352+K352+L352)</f>
        <v/>
      </c>
      <c r="N352" s="27">
        <f>IF(E352="","",E352-M352)</f>
        <v/>
      </c>
      <c r="O352" s="14" t="n"/>
    </row>
    <row r="353">
      <c r="A353" s="24" t="n"/>
      <c r="B353" s="15" t="n"/>
      <c r="C353" s="15" t="n"/>
      <c r="D353" s="15" t="n"/>
      <c r="E353" s="25" t="n"/>
      <c r="F353" s="25">
        <f>IF(E353="","",E353*0.065)</f>
        <v/>
      </c>
      <c r="G353" s="25">
        <f>IF(E353="","",E353*0.03+0.25)</f>
        <v/>
      </c>
      <c r="H353" s="25" t="n"/>
      <c r="I353" s="25" t="n"/>
      <c r="J353" s="25" t="n"/>
      <c r="K353" s="25" t="n"/>
      <c r="L353" s="25" t="n"/>
      <c r="M353" s="25">
        <f>IF(E353="","",F353+G353+H353+I353+J353+K353+L353)</f>
        <v/>
      </c>
      <c r="N353" s="25">
        <f>IF(E353="","",E353-M353)</f>
        <v/>
      </c>
      <c r="O353" s="15" t="n"/>
    </row>
    <row r="354">
      <c r="A354" s="26" t="n"/>
      <c r="B354" s="14" t="n"/>
      <c r="C354" s="14" t="n"/>
      <c r="D354" s="14" t="n"/>
      <c r="E354" s="27" t="n"/>
      <c r="F354" s="27">
        <f>IF(E354="","",E354*0.065)</f>
        <v/>
      </c>
      <c r="G354" s="27">
        <f>IF(E354="","",E354*0.03+0.25)</f>
        <v/>
      </c>
      <c r="H354" s="27" t="n"/>
      <c r="I354" s="27" t="n"/>
      <c r="J354" s="27" t="n"/>
      <c r="K354" s="27" t="n"/>
      <c r="L354" s="27" t="n"/>
      <c r="M354" s="27">
        <f>IF(E354="","",F354+G354+H354+I354+J354+K354+L354)</f>
        <v/>
      </c>
      <c r="N354" s="27">
        <f>IF(E354="","",E354-M354)</f>
        <v/>
      </c>
      <c r="O354" s="14" t="n"/>
    </row>
    <row r="355">
      <c r="A355" s="24" t="n"/>
      <c r="B355" s="15" t="n"/>
      <c r="C355" s="15" t="n"/>
      <c r="D355" s="15" t="n"/>
      <c r="E355" s="25" t="n"/>
      <c r="F355" s="25">
        <f>IF(E355="","",E355*0.065)</f>
        <v/>
      </c>
      <c r="G355" s="25">
        <f>IF(E355="","",E355*0.03+0.25)</f>
        <v/>
      </c>
      <c r="H355" s="25" t="n"/>
      <c r="I355" s="25" t="n"/>
      <c r="J355" s="25" t="n"/>
      <c r="K355" s="25" t="n"/>
      <c r="L355" s="25" t="n"/>
      <c r="M355" s="25">
        <f>IF(E355="","",F355+G355+H355+I355+J355+K355+L355)</f>
        <v/>
      </c>
      <c r="N355" s="25">
        <f>IF(E355="","",E355-M355)</f>
        <v/>
      </c>
      <c r="O355" s="15" t="n"/>
    </row>
    <row r="356">
      <c r="A356" s="26" t="n"/>
      <c r="B356" s="14" t="n"/>
      <c r="C356" s="14" t="n"/>
      <c r="D356" s="14" t="n"/>
      <c r="E356" s="27" t="n"/>
      <c r="F356" s="27">
        <f>IF(E356="","",E356*0.065)</f>
        <v/>
      </c>
      <c r="G356" s="27">
        <f>IF(E356="","",E356*0.03+0.25)</f>
        <v/>
      </c>
      <c r="H356" s="27" t="n"/>
      <c r="I356" s="27" t="n"/>
      <c r="J356" s="27" t="n"/>
      <c r="K356" s="27" t="n"/>
      <c r="L356" s="27" t="n"/>
      <c r="M356" s="27">
        <f>IF(E356="","",F356+G356+H356+I356+J356+K356+L356)</f>
        <v/>
      </c>
      <c r="N356" s="27">
        <f>IF(E356="","",E356-M356)</f>
        <v/>
      </c>
      <c r="O356" s="14" t="n"/>
    </row>
    <row r="357">
      <c r="A357" s="24" t="n"/>
      <c r="B357" s="15" t="n"/>
      <c r="C357" s="15" t="n"/>
      <c r="D357" s="15" t="n"/>
      <c r="E357" s="25" t="n"/>
      <c r="F357" s="25">
        <f>IF(E357="","",E357*0.065)</f>
        <v/>
      </c>
      <c r="G357" s="25">
        <f>IF(E357="","",E357*0.03+0.25)</f>
        <v/>
      </c>
      <c r="H357" s="25" t="n"/>
      <c r="I357" s="25" t="n"/>
      <c r="J357" s="25" t="n"/>
      <c r="K357" s="25" t="n"/>
      <c r="L357" s="25" t="n"/>
      <c r="M357" s="25">
        <f>IF(E357="","",F357+G357+H357+I357+J357+K357+L357)</f>
        <v/>
      </c>
      <c r="N357" s="25">
        <f>IF(E357="","",E357-M357)</f>
        <v/>
      </c>
      <c r="O357" s="15" t="n"/>
    </row>
    <row r="358">
      <c r="A358" s="26" t="n"/>
      <c r="B358" s="14" t="n"/>
      <c r="C358" s="14" t="n"/>
      <c r="D358" s="14" t="n"/>
      <c r="E358" s="27" t="n"/>
      <c r="F358" s="27">
        <f>IF(E358="","",E358*0.065)</f>
        <v/>
      </c>
      <c r="G358" s="27">
        <f>IF(E358="","",E358*0.03+0.25)</f>
        <v/>
      </c>
      <c r="H358" s="27" t="n"/>
      <c r="I358" s="27" t="n"/>
      <c r="J358" s="27" t="n"/>
      <c r="K358" s="27" t="n"/>
      <c r="L358" s="27" t="n"/>
      <c r="M358" s="27">
        <f>IF(E358="","",F358+G358+H358+I358+J358+K358+L358)</f>
        <v/>
      </c>
      <c r="N358" s="27">
        <f>IF(E358="","",E358-M358)</f>
        <v/>
      </c>
      <c r="O358" s="14" t="n"/>
    </row>
    <row r="359">
      <c r="A359" s="24" t="n"/>
      <c r="B359" s="15" t="n"/>
      <c r="C359" s="15" t="n"/>
      <c r="D359" s="15" t="n"/>
      <c r="E359" s="25" t="n"/>
      <c r="F359" s="25">
        <f>IF(E359="","",E359*0.065)</f>
        <v/>
      </c>
      <c r="G359" s="25">
        <f>IF(E359="","",E359*0.03+0.25)</f>
        <v/>
      </c>
      <c r="H359" s="25" t="n"/>
      <c r="I359" s="25" t="n"/>
      <c r="J359" s="25" t="n"/>
      <c r="K359" s="25" t="n"/>
      <c r="L359" s="25" t="n"/>
      <c r="M359" s="25">
        <f>IF(E359="","",F359+G359+H359+I359+J359+K359+L359)</f>
        <v/>
      </c>
      <c r="N359" s="25">
        <f>IF(E359="","",E359-M359)</f>
        <v/>
      </c>
      <c r="O359" s="15" t="n"/>
    </row>
    <row r="360">
      <c r="A360" s="26" t="n"/>
      <c r="B360" s="14" t="n"/>
      <c r="C360" s="14" t="n"/>
      <c r="D360" s="14" t="n"/>
      <c r="E360" s="27" t="n"/>
      <c r="F360" s="27">
        <f>IF(E360="","",E360*0.065)</f>
        <v/>
      </c>
      <c r="G360" s="27">
        <f>IF(E360="","",E360*0.03+0.25)</f>
        <v/>
      </c>
      <c r="H360" s="27" t="n"/>
      <c r="I360" s="27" t="n"/>
      <c r="J360" s="27" t="n"/>
      <c r="K360" s="27" t="n"/>
      <c r="L360" s="27" t="n"/>
      <c r="M360" s="27">
        <f>IF(E360="","",F360+G360+H360+I360+J360+K360+L360)</f>
        <v/>
      </c>
      <c r="N360" s="27">
        <f>IF(E360="","",E360-M360)</f>
        <v/>
      </c>
      <c r="O360" s="14" t="n"/>
    </row>
    <row r="361">
      <c r="A361" s="24" t="n"/>
      <c r="B361" s="15" t="n"/>
      <c r="C361" s="15" t="n"/>
      <c r="D361" s="15" t="n"/>
      <c r="E361" s="25" t="n"/>
      <c r="F361" s="25">
        <f>IF(E361="","",E361*0.065)</f>
        <v/>
      </c>
      <c r="G361" s="25">
        <f>IF(E361="","",E361*0.03+0.25)</f>
        <v/>
      </c>
      <c r="H361" s="25" t="n"/>
      <c r="I361" s="25" t="n"/>
      <c r="J361" s="25" t="n"/>
      <c r="K361" s="25" t="n"/>
      <c r="L361" s="25" t="n"/>
      <c r="M361" s="25">
        <f>IF(E361="","",F361+G361+H361+I361+J361+K361+L361)</f>
        <v/>
      </c>
      <c r="N361" s="25">
        <f>IF(E361="","",E361-M361)</f>
        <v/>
      </c>
      <c r="O361" s="15" t="n"/>
    </row>
    <row r="362">
      <c r="A362" s="26" t="n"/>
      <c r="B362" s="14" t="n"/>
      <c r="C362" s="14" t="n"/>
      <c r="D362" s="14" t="n"/>
      <c r="E362" s="27" t="n"/>
      <c r="F362" s="27">
        <f>IF(E362="","",E362*0.065)</f>
        <v/>
      </c>
      <c r="G362" s="27">
        <f>IF(E362="","",E362*0.03+0.25)</f>
        <v/>
      </c>
      <c r="H362" s="27" t="n"/>
      <c r="I362" s="27" t="n"/>
      <c r="J362" s="27" t="n"/>
      <c r="K362" s="27" t="n"/>
      <c r="L362" s="27" t="n"/>
      <c r="M362" s="27">
        <f>IF(E362="","",F362+G362+H362+I362+J362+K362+L362)</f>
        <v/>
      </c>
      <c r="N362" s="27">
        <f>IF(E362="","",E362-M362)</f>
        <v/>
      </c>
      <c r="O362" s="14" t="n"/>
    </row>
    <row r="363">
      <c r="A363" s="24" t="n"/>
      <c r="B363" s="15" t="n"/>
      <c r="C363" s="15" t="n"/>
      <c r="D363" s="15" t="n"/>
      <c r="E363" s="25" t="n"/>
      <c r="F363" s="25">
        <f>IF(E363="","",E363*0.065)</f>
        <v/>
      </c>
      <c r="G363" s="25">
        <f>IF(E363="","",E363*0.03+0.25)</f>
        <v/>
      </c>
      <c r="H363" s="25" t="n"/>
      <c r="I363" s="25" t="n"/>
      <c r="J363" s="25" t="n"/>
      <c r="K363" s="25" t="n"/>
      <c r="L363" s="25" t="n"/>
      <c r="M363" s="25">
        <f>IF(E363="","",F363+G363+H363+I363+J363+K363+L363)</f>
        <v/>
      </c>
      <c r="N363" s="25">
        <f>IF(E363="","",E363-M363)</f>
        <v/>
      </c>
      <c r="O363" s="15" t="n"/>
    </row>
    <row r="364">
      <c r="A364" s="26" t="n"/>
      <c r="B364" s="14" t="n"/>
      <c r="C364" s="14" t="n"/>
      <c r="D364" s="14" t="n"/>
      <c r="E364" s="27" t="n"/>
      <c r="F364" s="27">
        <f>IF(E364="","",E364*0.065)</f>
        <v/>
      </c>
      <c r="G364" s="27">
        <f>IF(E364="","",E364*0.03+0.25)</f>
        <v/>
      </c>
      <c r="H364" s="27" t="n"/>
      <c r="I364" s="27" t="n"/>
      <c r="J364" s="27" t="n"/>
      <c r="K364" s="27" t="n"/>
      <c r="L364" s="27" t="n"/>
      <c r="M364" s="27">
        <f>IF(E364="","",F364+G364+H364+I364+J364+K364+L364)</f>
        <v/>
      </c>
      <c r="N364" s="27">
        <f>IF(E364="","",E364-M364)</f>
        <v/>
      </c>
      <c r="O364" s="14" t="n"/>
    </row>
    <row r="365">
      <c r="A365" s="24" t="n"/>
      <c r="B365" s="15" t="n"/>
      <c r="C365" s="15" t="n"/>
      <c r="D365" s="15" t="n"/>
      <c r="E365" s="25" t="n"/>
      <c r="F365" s="25">
        <f>IF(E365="","",E365*0.065)</f>
        <v/>
      </c>
      <c r="G365" s="25">
        <f>IF(E365="","",E365*0.03+0.25)</f>
        <v/>
      </c>
      <c r="H365" s="25" t="n"/>
      <c r="I365" s="25" t="n"/>
      <c r="J365" s="25" t="n"/>
      <c r="K365" s="25" t="n"/>
      <c r="L365" s="25" t="n"/>
      <c r="M365" s="25">
        <f>IF(E365="","",F365+G365+H365+I365+J365+K365+L365)</f>
        <v/>
      </c>
      <c r="N365" s="25">
        <f>IF(E365="","",E365-M365)</f>
        <v/>
      </c>
      <c r="O365" s="15" t="n"/>
    </row>
    <row r="366">
      <c r="A366" s="26" t="n"/>
      <c r="B366" s="14" t="n"/>
      <c r="C366" s="14" t="n"/>
      <c r="D366" s="14" t="n"/>
      <c r="E366" s="27" t="n"/>
      <c r="F366" s="27">
        <f>IF(E366="","",E366*0.065)</f>
        <v/>
      </c>
      <c r="G366" s="27">
        <f>IF(E366="","",E366*0.03+0.25)</f>
        <v/>
      </c>
      <c r="H366" s="27" t="n"/>
      <c r="I366" s="27" t="n"/>
      <c r="J366" s="27" t="n"/>
      <c r="K366" s="27" t="n"/>
      <c r="L366" s="27" t="n"/>
      <c r="M366" s="27">
        <f>IF(E366="","",F366+G366+H366+I366+J366+K366+L366)</f>
        <v/>
      </c>
      <c r="N366" s="27">
        <f>IF(E366="","",E366-M366)</f>
        <v/>
      </c>
      <c r="O366" s="14" t="n"/>
    </row>
    <row r="367">
      <c r="A367" s="24" t="n"/>
      <c r="B367" s="15" t="n"/>
      <c r="C367" s="15" t="n"/>
      <c r="D367" s="15" t="n"/>
      <c r="E367" s="25" t="n"/>
      <c r="F367" s="25">
        <f>IF(E367="","",E367*0.065)</f>
        <v/>
      </c>
      <c r="G367" s="25">
        <f>IF(E367="","",E367*0.03+0.25)</f>
        <v/>
      </c>
      <c r="H367" s="25" t="n"/>
      <c r="I367" s="25" t="n"/>
      <c r="J367" s="25" t="n"/>
      <c r="K367" s="25" t="n"/>
      <c r="L367" s="25" t="n"/>
      <c r="M367" s="25">
        <f>IF(E367="","",F367+G367+H367+I367+J367+K367+L367)</f>
        <v/>
      </c>
      <c r="N367" s="25">
        <f>IF(E367="","",E367-M367)</f>
        <v/>
      </c>
      <c r="O367" s="15" t="n"/>
    </row>
    <row r="368">
      <c r="A368" s="26" t="n"/>
      <c r="B368" s="14" t="n"/>
      <c r="C368" s="14" t="n"/>
      <c r="D368" s="14" t="n"/>
      <c r="E368" s="27" t="n"/>
      <c r="F368" s="27">
        <f>IF(E368="","",E368*0.065)</f>
        <v/>
      </c>
      <c r="G368" s="27">
        <f>IF(E368="","",E368*0.03+0.25)</f>
        <v/>
      </c>
      <c r="H368" s="27" t="n"/>
      <c r="I368" s="27" t="n"/>
      <c r="J368" s="27" t="n"/>
      <c r="K368" s="27" t="n"/>
      <c r="L368" s="27" t="n"/>
      <c r="M368" s="27">
        <f>IF(E368="","",F368+G368+H368+I368+J368+K368+L368)</f>
        <v/>
      </c>
      <c r="N368" s="27">
        <f>IF(E368="","",E368-M368)</f>
        <v/>
      </c>
      <c r="O368" s="14" t="n"/>
    </row>
    <row r="369">
      <c r="A369" s="24" t="n"/>
      <c r="B369" s="15" t="n"/>
      <c r="C369" s="15" t="n"/>
      <c r="D369" s="15" t="n"/>
      <c r="E369" s="25" t="n"/>
      <c r="F369" s="25">
        <f>IF(E369="","",E369*0.065)</f>
        <v/>
      </c>
      <c r="G369" s="25">
        <f>IF(E369="","",E369*0.03+0.25)</f>
        <v/>
      </c>
      <c r="H369" s="25" t="n"/>
      <c r="I369" s="25" t="n"/>
      <c r="J369" s="25" t="n"/>
      <c r="K369" s="25" t="n"/>
      <c r="L369" s="25" t="n"/>
      <c r="M369" s="25">
        <f>IF(E369="","",F369+G369+H369+I369+J369+K369+L369)</f>
        <v/>
      </c>
      <c r="N369" s="25">
        <f>IF(E369="","",E369-M369)</f>
        <v/>
      </c>
      <c r="O369" s="15" t="n"/>
    </row>
    <row r="370">
      <c r="A370" s="26" t="n"/>
      <c r="B370" s="14" t="n"/>
      <c r="C370" s="14" t="n"/>
      <c r="D370" s="14" t="n"/>
      <c r="E370" s="27" t="n"/>
      <c r="F370" s="27">
        <f>IF(E370="","",E370*0.065)</f>
        <v/>
      </c>
      <c r="G370" s="27">
        <f>IF(E370="","",E370*0.03+0.25)</f>
        <v/>
      </c>
      <c r="H370" s="27" t="n"/>
      <c r="I370" s="27" t="n"/>
      <c r="J370" s="27" t="n"/>
      <c r="K370" s="27" t="n"/>
      <c r="L370" s="27" t="n"/>
      <c r="M370" s="27">
        <f>IF(E370="","",F370+G370+H370+I370+J370+K370+L370)</f>
        <v/>
      </c>
      <c r="N370" s="27">
        <f>IF(E370="","",E370-M370)</f>
        <v/>
      </c>
      <c r="O370" s="14" t="n"/>
    </row>
    <row r="371">
      <c r="A371" s="24" t="n"/>
      <c r="B371" s="15" t="n"/>
      <c r="C371" s="15" t="n"/>
      <c r="D371" s="15" t="n"/>
      <c r="E371" s="25" t="n"/>
      <c r="F371" s="25">
        <f>IF(E371="","",E371*0.065)</f>
        <v/>
      </c>
      <c r="G371" s="25">
        <f>IF(E371="","",E371*0.03+0.25)</f>
        <v/>
      </c>
      <c r="H371" s="25" t="n"/>
      <c r="I371" s="25" t="n"/>
      <c r="J371" s="25" t="n"/>
      <c r="K371" s="25" t="n"/>
      <c r="L371" s="25" t="n"/>
      <c r="M371" s="25">
        <f>IF(E371="","",F371+G371+H371+I371+J371+K371+L371)</f>
        <v/>
      </c>
      <c r="N371" s="25">
        <f>IF(E371="","",E371-M371)</f>
        <v/>
      </c>
      <c r="O371" s="15" t="n"/>
    </row>
    <row r="372">
      <c r="A372" s="26" t="n"/>
      <c r="B372" s="14" t="n"/>
      <c r="C372" s="14" t="n"/>
      <c r="D372" s="14" t="n"/>
      <c r="E372" s="27" t="n"/>
      <c r="F372" s="27">
        <f>IF(E372="","",E372*0.065)</f>
        <v/>
      </c>
      <c r="G372" s="27">
        <f>IF(E372="","",E372*0.03+0.25)</f>
        <v/>
      </c>
      <c r="H372" s="27" t="n"/>
      <c r="I372" s="27" t="n"/>
      <c r="J372" s="27" t="n"/>
      <c r="K372" s="27" t="n"/>
      <c r="L372" s="27" t="n"/>
      <c r="M372" s="27">
        <f>IF(E372="","",F372+G372+H372+I372+J372+K372+L372)</f>
        <v/>
      </c>
      <c r="N372" s="27">
        <f>IF(E372="","",E372-M372)</f>
        <v/>
      </c>
      <c r="O372" s="14" t="n"/>
    </row>
    <row r="373">
      <c r="A373" s="24" t="n"/>
      <c r="B373" s="15" t="n"/>
      <c r="C373" s="15" t="n"/>
      <c r="D373" s="15" t="n"/>
      <c r="E373" s="25" t="n"/>
      <c r="F373" s="25">
        <f>IF(E373="","",E373*0.065)</f>
        <v/>
      </c>
      <c r="G373" s="25">
        <f>IF(E373="","",E373*0.03+0.25)</f>
        <v/>
      </c>
      <c r="H373" s="25" t="n"/>
      <c r="I373" s="25" t="n"/>
      <c r="J373" s="25" t="n"/>
      <c r="K373" s="25" t="n"/>
      <c r="L373" s="25" t="n"/>
      <c r="M373" s="25">
        <f>IF(E373="","",F373+G373+H373+I373+J373+K373+L373)</f>
        <v/>
      </c>
      <c r="N373" s="25">
        <f>IF(E373="","",E373-M373)</f>
        <v/>
      </c>
      <c r="O373" s="15" t="n"/>
    </row>
    <row r="374">
      <c r="A374" s="26" t="n"/>
      <c r="B374" s="14" t="n"/>
      <c r="C374" s="14" t="n"/>
      <c r="D374" s="14" t="n"/>
      <c r="E374" s="27" t="n"/>
      <c r="F374" s="27">
        <f>IF(E374="","",E374*0.065)</f>
        <v/>
      </c>
      <c r="G374" s="27">
        <f>IF(E374="","",E374*0.03+0.25)</f>
        <v/>
      </c>
      <c r="H374" s="27" t="n"/>
      <c r="I374" s="27" t="n"/>
      <c r="J374" s="27" t="n"/>
      <c r="K374" s="27" t="n"/>
      <c r="L374" s="27" t="n"/>
      <c r="M374" s="27">
        <f>IF(E374="","",F374+G374+H374+I374+J374+K374+L374)</f>
        <v/>
      </c>
      <c r="N374" s="27">
        <f>IF(E374="","",E374-M374)</f>
        <v/>
      </c>
      <c r="O374" s="14" t="n"/>
    </row>
    <row r="375">
      <c r="A375" s="24" t="n"/>
      <c r="B375" s="15" t="n"/>
      <c r="C375" s="15" t="n"/>
      <c r="D375" s="15" t="n"/>
      <c r="E375" s="25" t="n"/>
      <c r="F375" s="25">
        <f>IF(E375="","",E375*0.065)</f>
        <v/>
      </c>
      <c r="G375" s="25">
        <f>IF(E375="","",E375*0.03+0.25)</f>
        <v/>
      </c>
      <c r="H375" s="25" t="n"/>
      <c r="I375" s="25" t="n"/>
      <c r="J375" s="25" t="n"/>
      <c r="K375" s="25" t="n"/>
      <c r="L375" s="25" t="n"/>
      <c r="M375" s="25">
        <f>IF(E375="","",F375+G375+H375+I375+J375+K375+L375)</f>
        <v/>
      </c>
      <c r="N375" s="25">
        <f>IF(E375="","",E375-M375)</f>
        <v/>
      </c>
      <c r="O375" s="15" t="n"/>
    </row>
    <row r="376">
      <c r="A376" s="26" t="n"/>
      <c r="B376" s="14" t="n"/>
      <c r="C376" s="14" t="n"/>
      <c r="D376" s="14" t="n"/>
      <c r="E376" s="27" t="n"/>
      <c r="F376" s="27">
        <f>IF(E376="","",E376*0.065)</f>
        <v/>
      </c>
      <c r="G376" s="27">
        <f>IF(E376="","",E376*0.03+0.25)</f>
        <v/>
      </c>
      <c r="H376" s="27" t="n"/>
      <c r="I376" s="27" t="n"/>
      <c r="J376" s="27" t="n"/>
      <c r="K376" s="27" t="n"/>
      <c r="L376" s="27" t="n"/>
      <c r="M376" s="27">
        <f>IF(E376="","",F376+G376+H376+I376+J376+K376+L376)</f>
        <v/>
      </c>
      <c r="N376" s="27">
        <f>IF(E376="","",E376-M376)</f>
        <v/>
      </c>
      <c r="O376" s="14" t="n"/>
    </row>
    <row r="377">
      <c r="A377" s="24" t="n"/>
      <c r="B377" s="15" t="n"/>
      <c r="C377" s="15" t="n"/>
      <c r="D377" s="15" t="n"/>
      <c r="E377" s="25" t="n"/>
      <c r="F377" s="25">
        <f>IF(E377="","",E377*0.065)</f>
        <v/>
      </c>
      <c r="G377" s="25">
        <f>IF(E377="","",E377*0.03+0.25)</f>
        <v/>
      </c>
      <c r="H377" s="25" t="n"/>
      <c r="I377" s="25" t="n"/>
      <c r="J377" s="25" t="n"/>
      <c r="K377" s="25" t="n"/>
      <c r="L377" s="25" t="n"/>
      <c r="M377" s="25">
        <f>IF(E377="","",F377+G377+H377+I377+J377+K377+L377)</f>
        <v/>
      </c>
      <c r="N377" s="25">
        <f>IF(E377="","",E377-M377)</f>
        <v/>
      </c>
      <c r="O377" s="15" t="n"/>
    </row>
    <row r="378">
      <c r="A378" s="26" t="n"/>
      <c r="B378" s="14" t="n"/>
      <c r="C378" s="14" t="n"/>
      <c r="D378" s="14" t="n"/>
      <c r="E378" s="27" t="n"/>
      <c r="F378" s="27">
        <f>IF(E378="","",E378*0.065)</f>
        <v/>
      </c>
      <c r="G378" s="27">
        <f>IF(E378="","",E378*0.03+0.25)</f>
        <v/>
      </c>
      <c r="H378" s="27" t="n"/>
      <c r="I378" s="27" t="n"/>
      <c r="J378" s="27" t="n"/>
      <c r="K378" s="27" t="n"/>
      <c r="L378" s="27" t="n"/>
      <c r="M378" s="27">
        <f>IF(E378="","",F378+G378+H378+I378+J378+K378+L378)</f>
        <v/>
      </c>
      <c r="N378" s="27">
        <f>IF(E378="","",E378-M378)</f>
        <v/>
      </c>
      <c r="O378" s="14" t="n"/>
    </row>
    <row r="379">
      <c r="A379" s="24" t="n"/>
      <c r="B379" s="15" t="n"/>
      <c r="C379" s="15" t="n"/>
      <c r="D379" s="15" t="n"/>
      <c r="E379" s="25" t="n"/>
      <c r="F379" s="25">
        <f>IF(E379="","",E379*0.065)</f>
        <v/>
      </c>
      <c r="G379" s="25">
        <f>IF(E379="","",E379*0.03+0.25)</f>
        <v/>
      </c>
      <c r="H379" s="25" t="n"/>
      <c r="I379" s="25" t="n"/>
      <c r="J379" s="25" t="n"/>
      <c r="K379" s="25" t="n"/>
      <c r="L379" s="25" t="n"/>
      <c r="M379" s="25">
        <f>IF(E379="","",F379+G379+H379+I379+J379+K379+L379)</f>
        <v/>
      </c>
      <c r="N379" s="25">
        <f>IF(E379="","",E379-M379)</f>
        <v/>
      </c>
      <c r="O379" s="15" t="n"/>
    </row>
    <row r="380">
      <c r="A380" s="26" t="n"/>
      <c r="B380" s="14" t="n"/>
      <c r="C380" s="14" t="n"/>
      <c r="D380" s="14" t="n"/>
      <c r="E380" s="27" t="n"/>
      <c r="F380" s="27">
        <f>IF(E380="","",E380*0.065)</f>
        <v/>
      </c>
      <c r="G380" s="27">
        <f>IF(E380="","",E380*0.03+0.25)</f>
        <v/>
      </c>
      <c r="H380" s="27" t="n"/>
      <c r="I380" s="27" t="n"/>
      <c r="J380" s="27" t="n"/>
      <c r="K380" s="27" t="n"/>
      <c r="L380" s="27" t="n"/>
      <c r="M380" s="27">
        <f>IF(E380="","",F380+G380+H380+I380+J380+K380+L380)</f>
        <v/>
      </c>
      <c r="N380" s="27">
        <f>IF(E380="","",E380-M380)</f>
        <v/>
      </c>
      <c r="O380" s="14" t="n"/>
    </row>
    <row r="381">
      <c r="A381" s="24" t="n"/>
      <c r="B381" s="15" t="n"/>
      <c r="C381" s="15" t="n"/>
      <c r="D381" s="15" t="n"/>
      <c r="E381" s="25" t="n"/>
      <c r="F381" s="25">
        <f>IF(E381="","",E381*0.065)</f>
        <v/>
      </c>
      <c r="G381" s="25">
        <f>IF(E381="","",E381*0.03+0.25)</f>
        <v/>
      </c>
      <c r="H381" s="25" t="n"/>
      <c r="I381" s="25" t="n"/>
      <c r="J381" s="25" t="n"/>
      <c r="K381" s="25" t="n"/>
      <c r="L381" s="25" t="n"/>
      <c r="M381" s="25">
        <f>IF(E381="","",F381+G381+H381+I381+J381+K381+L381)</f>
        <v/>
      </c>
      <c r="N381" s="25">
        <f>IF(E381="","",E381-M381)</f>
        <v/>
      </c>
      <c r="O381" s="15" t="n"/>
    </row>
    <row r="382">
      <c r="A382" s="26" t="n"/>
      <c r="B382" s="14" t="n"/>
      <c r="C382" s="14" t="n"/>
      <c r="D382" s="14" t="n"/>
      <c r="E382" s="27" t="n"/>
      <c r="F382" s="27">
        <f>IF(E382="","",E382*0.065)</f>
        <v/>
      </c>
      <c r="G382" s="27">
        <f>IF(E382="","",E382*0.03+0.25)</f>
        <v/>
      </c>
      <c r="H382" s="27" t="n"/>
      <c r="I382" s="27" t="n"/>
      <c r="J382" s="27" t="n"/>
      <c r="K382" s="27" t="n"/>
      <c r="L382" s="27" t="n"/>
      <c r="M382" s="27">
        <f>IF(E382="","",F382+G382+H382+I382+J382+K382+L382)</f>
        <v/>
      </c>
      <c r="N382" s="27">
        <f>IF(E382="","",E382-M382)</f>
        <v/>
      </c>
      <c r="O382" s="14" t="n"/>
    </row>
    <row r="383">
      <c r="A383" s="24" t="n"/>
      <c r="B383" s="15" t="n"/>
      <c r="C383" s="15" t="n"/>
      <c r="D383" s="15" t="n"/>
      <c r="E383" s="25" t="n"/>
      <c r="F383" s="25">
        <f>IF(E383="","",E383*0.065)</f>
        <v/>
      </c>
      <c r="G383" s="25">
        <f>IF(E383="","",E383*0.03+0.25)</f>
        <v/>
      </c>
      <c r="H383" s="25" t="n"/>
      <c r="I383" s="25" t="n"/>
      <c r="J383" s="25" t="n"/>
      <c r="K383" s="25" t="n"/>
      <c r="L383" s="25" t="n"/>
      <c r="M383" s="25">
        <f>IF(E383="","",F383+G383+H383+I383+J383+K383+L383)</f>
        <v/>
      </c>
      <c r="N383" s="25">
        <f>IF(E383="","",E383-M383)</f>
        <v/>
      </c>
      <c r="O383" s="15" t="n"/>
    </row>
    <row r="384">
      <c r="A384" s="26" t="n"/>
      <c r="B384" s="14" t="n"/>
      <c r="C384" s="14" t="n"/>
      <c r="D384" s="14" t="n"/>
      <c r="E384" s="27" t="n"/>
      <c r="F384" s="27">
        <f>IF(E384="","",E384*0.065)</f>
        <v/>
      </c>
      <c r="G384" s="27">
        <f>IF(E384="","",E384*0.03+0.25)</f>
        <v/>
      </c>
      <c r="H384" s="27" t="n"/>
      <c r="I384" s="27" t="n"/>
      <c r="J384" s="27" t="n"/>
      <c r="K384" s="27" t="n"/>
      <c r="L384" s="27" t="n"/>
      <c r="M384" s="27">
        <f>IF(E384="","",F384+G384+H384+I384+J384+K384+L384)</f>
        <v/>
      </c>
      <c r="N384" s="27">
        <f>IF(E384="","",E384-M384)</f>
        <v/>
      </c>
      <c r="O384" s="14" t="n"/>
    </row>
    <row r="385">
      <c r="A385" s="24" t="n"/>
      <c r="B385" s="15" t="n"/>
      <c r="C385" s="15" t="n"/>
      <c r="D385" s="15" t="n"/>
      <c r="E385" s="25" t="n"/>
      <c r="F385" s="25">
        <f>IF(E385="","",E385*0.065)</f>
        <v/>
      </c>
      <c r="G385" s="25">
        <f>IF(E385="","",E385*0.03+0.25)</f>
        <v/>
      </c>
      <c r="H385" s="25" t="n"/>
      <c r="I385" s="25" t="n"/>
      <c r="J385" s="25" t="n"/>
      <c r="K385" s="25" t="n"/>
      <c r="L385" s="25" t="n"/>
      <c r="M385" s="25">
        <f>IF(E385="","",F385+G385+H385+I385+J385+K385+L385)</f>
        <v/>
      </c>
      <c r="N385" s="25">
        <f>IF(E385="","",E385-M385)</f>
        <v/>
      </c>
      <c r="O385" s="15" t="n"/>
    </row>
    <row r="386">
      <c r="A386" s="26" t="n"/>
      <c r="B386" s="14" t="n"/>
      <c r="C386" s="14" t="n"/>
      <c r="D386" s="14" t="n"/>
      <c r="E386" s="27" t="n"/>
      <c r="F386" s="27">
        <f>IF(E386="","",E386*0.065)</f>
        <v/>
      </c>
      <c r="G386" s="27">
        <f>IF(E386="","",E386*0.03+0.25)</f>
        <v/>
      </c>
      <c r="H386" s="27" t="n"/>
      <c r="I386" s="27" t="n"/>
      <c r="J386" s="27" t="n"/>
      <c r="K386" s="27" t="n"/>
      <c r="L386" s="27" t="n"/>
      <c r="M386" s="27">
        <f>IF(E386="","",F386+G386+H386+I386+J386+K386+L386)</f>
        <v/>
      </c>
      <c r="N386" s="27">
        <f>IF(E386="","",E386-M386)</f>
        <v/>
      </c>
      <c r="O386" s="14" t="n"/>
    </row>
    <row r="387">
      <c r="A387" s="24" t="n"/>
      <c r="B387" s="15" t="n"/>
      <c r="C387" s="15" t="n"/>
      <c r="D387" s="15" t="n"/>
      <c r="E387" s="25" t="n"/>
      <c r="F387" s="25">
        <f>IF(E387="","",E387*0.065)</f>
        <v/>
      </c>
      <c r="G387" s="25">
        <f>IF(E387="","",E387*0.03+0.25)</f>
        <v/>
      </c>
      <c r="H387" s="25" t="n"/>
      <c r="I387" s="25" t="n"/>
      <c r="J387" s="25" t="n"/>
      <c r="K387" s="25" t="n"/>
      <c r="L387" s="25" t="n"/>
      <c r="M387" s="25">
        <f>IF(E387="","",F387+G387+H387+I387+J387+K387+L387)</f>
        <v/>
      </c>
      <c r="N387" s="25">
        <f>IF(E387="","",E387-M387)</f>
        <v/>
      </c>
      <c r="O387" s="15" t="n"/>
    </row>
    <row r="388">
      <c r="A388" s="26" t="n"/>
      <c r="B388" s="14" t="n"/>
      <c r="C388" s="14" t="n"/>
      <c r="D388" s="14" t="n"/>
      <c r="E388" s="27" t="n"/>
      <c r="F388" s="27">
        <f>IF(E388="","",E388*0.065)</f>
        <v/>
      </c>
      <c r="G388" s="27">
        <f>IF(E388="","",E388*0.03+0.25)</f>
        <v/>
      </c>
      <c r="H388" s="27" t="n"/>
      <c r="I388" s="27" t="n"/>
      <c r="J388" s="27" t="n"/>
      <c r="K388" s="27" t="n"/>
      <c r="L388" s="27" t="n"/>
      <c r="M388" s="27">
        <f>IF(E388="","",F388+G388+H388+I388+J388+K388+L388)</f>
        <v/>
      </c>
      <c r="N388" s="27">
        <f>IF(E388="","",E388-M388)</f>
        <v/>
      </c>
      <c r="O388" s="14" t="n"/>
    </row>
    <row r="389">
      <c r="A389" s="24" t="n"/>
      <c r="B389" s="15" t="n"/>
      <c r="C389" s="15" t="n"/>
      <c r="D389" s="15" t="n"/>
      <c r="E389" s="25" t="n"/>
      <c r="F389" s="25">
        <f>IF(E389="","",E389*0.065)</f>
        <v/>
      </c>
      <c r="G389" s="25">
        <f>IF(E389="","",E389*0.03+0.25)</f>
        <v/>
      </c>
      <c r="H389" s="25" t="n"/>
      <c r="I389" s="25" t="n"/>
      <c r="J389" s="25" t="n"/>
      <c r="K389" s="25" t="n"/>
      <c r="L389" s="25" t="n"/>
      <c r="M389" s="25">
        <f>IF(E389="","",F389+G389+H389+I389+J389+K389+L389)</f>
        <v/>
      </c>
      <c r="N389" s="25">
        <f>IF(E389="","",E389-M389)</f>
        <v/>
      </c>
      <c r="O389" s="15" t="n"/>
    </row>
    <row r="390">
      <c r="A390" s="26" t="n"/>
      <c r="B390" s="14" t="n"/>
      <c r="C390" s="14" t="n"/>
      <c r="D390" s="14" t="n"/>
      <c r="E390" s="27" t="n"/>
      <c r="F390" s="27">
        <f>IF(E390="","",E390*0.065)</f>
        <v/>
      </c>
      <c r="G390" s="27">
        <f>IF(E390="","",E390*0.03+0.25)</f>
        <v/>
      </c>
      <c r="H390" s="27" t="n"/>
      <c r="I390" s="27" t="n"/>
      <c r="J390" s="27" t="n"/>
      <c r="K390" s="27" t="n"/>
      <c r="L390" s="27" t="n"/>
      <c r="M390" s="27">
        <f>IF(E390="","",F390+G390+H390+I390+J390+K390+L390)</f>
        <v/>
      </c>
      <c r="N390" s="27">
        <f>IF(E390="","",E390-M390)</f>
        <v/>
      </c>
      <c r="O390" s="14" t="n"/>
    </row>
    <row r="391">
      <c r="A391" s="24" t="n"/>
      <c r="B391" s="15" t="n"/>
      <c r="C391" s="15" t="n"/>
      <c r="D391" s="15" t="n"/>
      <c r="E391" s="25" t="n"/>
      <c r="F391" s="25">
        <f>IF(E391="","",E391*0.065)</f>
        <v/>
      </c>
      <c r="G391" s="25">
        <f>IF(E391="","",E391*0.03+0.25)</f>
        <v/>
      </c>
      <c r="H391" s="25" t="n"/>
      <c r="I391" s="25" t="n"/>
      <c r="J391" s="25" t="n"/>
      <c r="K391" s="25" t="n"/>
      <c r="L391" s="25" t="n"/>
      <c r="M391" s="25">
        <f>IF(E391="","",F391+G391+H391+I391+J391+K391+L391)</f>
        <v/>
      </c>
      <c r="N391" s="25">
        <f>IF(E391="","",E391-M391)</f>
        <v/>
      </c>
      <c r="O391" s="15" t="n"/>
    </row>
    <row r="392">
      <c r="A392" s="26" t="n"/>
      <c r="B392" s="14" t="n"/>
      <c r="C392" s="14" t="n"/>
      <c r="D392" s="14" t="n"/>
      <c r="E392" s="27" t="n"/>
      <c r="F392" s="27">
        <f>IF(E392="","",E392*0.065)</f>
        <v/>
      </c>
      <c r="G392" s="27">
        <f>IF(E392="","",E392*0.03+0.25)</f>
        <v/>
      </c>
      <c r="H392" s="27" t="n"/>
      <c r="I392" s="27" t="n"/>
      <c r="J392" s="27" t="n"/>
      <c r="K392" s="27" t="n"/>
      <c r="L392" s="27" t="n"/>
      <c r="M392" s="27">
        <f>IF(E392="","",F392+G392+H392+I392+J392+K392+L392)</f>
        <v/>
      </c>
      <c r="N392" s="27">
        <f>IF(E392="","",E392-M392)</f>
        <v/>
      </c>
      <c r="O392" s="14" t="n"/>
    </row>
    <row r="393">
      <c r="A393" s="24" t="n"/>
      <c r="B393" s="15" t="n"/>
      <c r="C393" s="15" t="n"/>
      <c r="D393" s="15" t="n"/>
      <c r="E393" s="25" t="n"/>
      <c r="F393" s="25">
        <f>IF(E393="","",E393*0.065)</f>
        <v/>
      </c>
      <c r="G393" s="25">
        <f>IF(E393="","",E393*0.03+0.25)</f>
        <v/>
      </c>
      <c r="H393" s="25" t="n"/>
      <c r="I393" s="25" t="n"/>
      <c r="J393" s="25" t="n"/>
      <c r="K393" s="25" t="n"/>
      <c r="L393" s="25" t="n"/>
      <c r="M393" s="25">
        <f>IF(E393="","",F393+G393+H393+I393+J393+K393+L393)</f>
        <v/>
      </c>
      <c r="N393" s="25">
        <f>IF(E393="","",E393-M393)</f>
        <v/>
      </c>
      <c r="O393" s="15" t="n"/>
    </row>
    <row r="394">
      <c r="A394" s="26" t="n"/>
      <c r="B394" s="14" t="n"/>
      <c r="C394" s="14" t="n"/>
      <c r="D394" s="14" t="n"/>
      <c r="E394" s="27" t="n"/>
      <c r="F394" s="27">
        <f>IF(E394="","",E394*0.065)</f>
        <v/>
      </c>
      <c r="G394" s="27">
        <f>IF(E394="","",E394*0.03+0.25)</f>
        <v/>
      </c>
      <c r="H394" s="27" t="n"/>
      <c r="I394" s="27" t="n"/>
      <c r="J394" s="27" t="n"/>
      <c r="K394" s="27" t="n"/>
      <c r="L394" s="27" t="n"/>
      <c r="M394" s="27">
        <f>IF(E394="","",F394+G394+H394+I394+J394+K394+L394)</f>
        <v/>
      </c>
      <c r="N394" s="27">
        <f>IF(E394="","",E394-M394)</f>
        <v/>
      </c>
      <c r="O394" s="14" t="n"/>
    </row>
    <row r="395">
      <c r="A395" s="24" t="n"/>
      <c r="B395" s="15" t="n"/>
      <c r="C395" s="15" t="n"/>
      <c r="D395" s="15" t="n"/>
      <c r="E395" s="25" t="n"/>
      <c r="F395" s="25">
        <f>IF(E395="","",E395*0.065)</f>
        <v/>
      </c>
      <c r="G395" s="25">
        <f>IF(E395="","",E395*0.03+0.25)</f>
        <v/>
      </c>
      <c r="H395" s="25" t="n"/>
      <c r="I395" s="25" t="n"/>
      <c r="J395" s="25" t="n"/>
      <c r="K395" s="25" t="n"/>
      <c r="L395" s="25" t="n"/>
      <c r="M395" s="25">
        <f>IF(E395="","",F395+G395+H395+I395+J395+K395+L395)</f>
        <v/>
      </c>
      <c r="N395" s="25">
        <f>IF(E395="","",E395-M395)</f>
        <v/>
      </c>
      <c r="O395" s="15" t="n"/>
    </row>
    <row r="396">
      <c r="A396" s="26" t="n"/>
      <c r="B396" s="14" t="n"/>
      <c r="C396" s="14" t="n"/>
      <c r="D396" s="14" t="n"/>
      <c r="E396" s="27" t="n"/>
      <c r="F396" s="27">
        <f>IF(E396="","",E396*0.065)</f>
        <v/>
      </c>
      <c r="G396" s="27">
        <f>IF(E396="","",E396*0.03+0.25)</f>
        <v/>
      </c>
      <c r="H396" s="27" t="n"/>
      <c r="I396" s="27" t="n"/>
      <c r="J396" s="27" t="n"/>
      <c r="K396" s="27" t="n"/>
      <c r="L396" s="27" t="n"/>
      <c r="M396" s="27">
        <f>IF(E396="","",F396+G396+H396+I396+J396+K396+L396)</f>
        <v/>
      </c>
      <c r="N396" s="27">
        <f>IF(E396="","",E396-M396)</f>
        <v/>
      </c>
      <c r="O396" s="14" t="n"/>
    </row>
    <row r="397">
      <c r="A397" s="24" t="n"/>
      <c r="B397" s="15" t="n"/>
      <c r="C397" s="15" t="n"/>
      <c r="D397" s="15" t="n"/>
      <c r="E397" s="25" t="n"/>
      <c r="F397" s="25">
        <f>IF(E397="","",E397*0.065)</f>
        <v/>
      </c>
      <c r="G397" s="25">
        <f>IF(E397="","",E397*0.03+0.25)</f>
        <v/>
      </c>
      <c r="H397" s="25" t="n"/>
      <c r="I397" s="25" t="n"/>
      <c r="J397" s="25" t="n"/>
      <c r="K397" s="25" t="n"/>
      <c r="L397" s="25" t="n"/>
      <c r="M397" s="25">
        <f>IF(E397="","",F397+G397+H397+I397+J397+K397+L397)</f>
        <v/>
      </c>
      <c r="N397" s="25">
        <f>IF(E397="","",E397-M397)</f>
        <v/>
      </c>
      <c r="O397" s="15" t="n"/>
    </row>
    <row r="398">
      <c r="A398" s="26" t="n"/>
      <c r="B398" s="14" t="n"/>
      <c r="C398" s="14" t="n"/>
      <c r="D398" s="14" t="n"/>
      <c r="E398" s="27" t="n"/>
      <c r="F398" s="27">
        <f>IF(E398="","",E398*0.065)</f>
        <v/>
      </c>
      <c r="G398" s="27">
        <f>IF(E398="","",E398*0.03+0.25)</f>
        <v/>
      </c>
      <c r="H398" s="27" t="n"/>
      <c r="I398" s="27" t="n"/>
      <c r="J398" s="27" t="n"/>
      <c r="K398" s="27" t="n"/>
      <c r="L398" s="27" t="n"/>
      <c r="M398" s="27">
        <f>IF(E398="","",F398+G398+H398+I398+J398+K398+L398)</f>
        <v/>
      </c>
      <c r="N398" s="27">
        <f>IF(E398="","",E398-M398)</f>
        <v/>
      </c>
      <c r="O398" s="14" t="n"/>
    </row>
    <row r="399">
      <c r="A399" s="24" t="n"/>
      <c r="B399" s="15" t="n"/>
      <c r="C399" s="15" t="n"/>
      <c r="D399" s="15" t="n"/>
      <c r="E399" s="25" t="n"/>
      <c r="F399" s="25">
        <f>IF(E399="","",E399*0.065)</f>
        <v/>
      </c>
      <c r="G399" s="25">
        <f>IF(E399="","",E399*0.03+0.25)</f>
        <v/>
      </c>
      <c r="H399" s="25" t="n"/>
      <c r="I399" s="25" t="n"/>
      <c r="J399" s="25" t="n"/>
      <c r="K399" s="25" t="n"/>
      <c r="L399" s="25" t="n"/>
      <c r="M399" s="25">
        <f>IF(E399="","",F399+G399+H399+I399+J399+K399+L399)</f>
        <v/>
      </c>
      <c r="N399" s="25">
        <f>IF(E399="","",E399-M399)</f>
        <v/>
      </c>
      <c r="O399" s="15" t="n"/>
    </row>
    <row r="400">
      <c r="A400" s="26" t="n"/>
      <c r="B400" s="14" t="n"/>
      <c r="C400" s="14" t="n"/>
      <c r="D400" s="14" t="n"/>
      <c r="E400" s="27" t="n"/>
      <c r="F400" s="27">
        <f>IF(E400="","",E400*0.065)</f>
        <v/>
      </c>
      <c r="G400" s="27">
        <f>IF(E400="","",E400*0.03+0.25)</f>
        <v/>
      </c>
      <c r="H400" s="27" t="n"/>
      <c r="I400" s="27" t="n"/>
      <c r="J400" s="27" t="n"/>
      <c r="K400" s="27" t="n"/>
      <c r="L400" s="27" t="n"/>
      <c r="M400" s="27">
        <f>IF(E400="","",F400+G400+H400+I400+J400+K400+L400)</f>
        <v/>
      </c>
      <c r="N400" s="27">
        <f>IF(E400="","",E400-M400)</f>
        <v/>
      </c>
      <c r="O400" s="14" t="n"/>
    </row>
    <row r="401">
      <c r="A401" s="24" t="n"/>
      <c r="B401" s="15" t="n"/>
      <c r="C401" s="15" t="n"/>
      <c r="D401" s="15" t="n"/>
      <c r="E401" s="25" t="n"/>
      <c r="F401" s="25">
        <f>IF(E401="","",E401*0.065)</f>
        <v/>
      </c>
      <c r="G401" s="25">
        <f>IF(E401="","",E401*0.03+0.25)</f>
        <v/>
      </c>
      <c r="H401" s="25" t="n"/>
      <c r="I401" s="25" t="n"/>
      <c r="J401" s="25" t="n"/>
      <c r="K401" s="25" t="n"/>
      <c r="L401" s="25" t="n"/>
      <c r="M401" s="25">
        <f>IF(E401="","",F401+G401+H401+I401+J401+K401+L401)</f>
        <v/>
      </c>
      <c r="N401" s="25">
        <f>IF(E401="","",E401-M401)</f>
        <v/>
      </c>
      <c r="O401" s="15" t="n"/>
    </row>
    <row r="402">
      <c r="A402" s="26" t="n"/>
      <c r="B402" s="14" t="n"/>
      <c r="C402" s="14" t="n"/>
      <c r="D402" s="14" t="n"/>
      <c r="E402" s="27" t="n"/>
      <c r="F402" s="27">
        <f>IF(E402="","",E402*0.065)</f>
        <v/>
      </c>
      <c r="G402" s="27">
        <f>IF(E402="","",E402*0.03+0.25)</f>
        <v/>
      </c>
      <c r="H402" s="27" t="n"/>
      <c r="I402" s="27" t="n"/>
      <c r="J402" s="27" t="n"/>
      <c r="K402" s="27" t="n"/>
      <c r="L402" s="27" t="n"/>
      <c r="M402" s="27">
        <f>IF(E402="","",F402+G402+H402+I402+J402+K402+L402)</f>
        <v/>
      </c>
      <c r="N402" s="27">
        <f>IF(E402="","",E402-M402)</f>
        <v/>
      </c>
      <c r="O402" s="14" t="n"/>
    </row>
    <row r="403">
      <c r="A403" s="24" t="n"/>
      <c r="B403" s="15" t="n"/>
      <c r="C403" s="15" t="n"/>
      <c r="D403" s="15" t="n"/>
      <c r="E403" s="25" t="n"/>
      <c r="F403" s="25">
        <f>IF(E403="","",E403*0.065)</f>
        <v/>
      </c>
      <c r="G403" s="25">
        <f>IF(E403="","",E403*0.03+0.25)</f>
        <v/>
      </c>
      <c r="H403" s="25" t="n"/>
      <c r="I403" s="25" t="n"/>
      <c r="J403" s="25" t="n"/>
      <c r="K403" s="25" t="n"/>
      <c r="L403" s="25" t="n"/>
      <c r="M403" s="25">
        <f>IF(E403="","",F403+G403+H403+I403+J403+K403+L403)</f>
        <v/>
      </c>
      <c r="N403" s="25">
        <f>IF(E403="","",E403-M403)</f>
        <v/>
      </c>
      <c r="O403" s="15" t="n"/>
    </row>
    <row r="404">
      <c r="A404" s="26" t="n"/>
      <c r="B404" s="14" t="n"/>
      <c r="C404" s="14" t="n"/>
      <c r="D404" s="14" t="n"/>
      <c r="E404" s="27" t="n"/>
      <c r="F404" s="27">
        <f>IF(E404="","",E404*0.065)</f>
        <v/>
      </c>
      <c r="G404" s="27">
        <f>IF(E404="","",E404*0.03+0.25)</f>
        <v/>
      </c>
      <c r="H404" s="27" t="n"/>
      <c r="I404" s="27" t="n"/>
      <c r="J404" s="27" t="n"/>
      <c r="K404" s="27" t="n"/>
      <c r="L404" s="27" t="n"/>
      <c r="M404" s="27">
        <f>IF(E404="","",F404+G404+H404+I404+J404+K404+L404)</f>
        <v/>
      </c>
      <c r="N404" s="27">
        <f>IF(E404="","",E404-M404)</f>
        <v/>
      </c>
      <c r="O404" s="14" t="n"/>
    </row>
    <row r="405">
      <c r="A405" s="24" t="n"/>
      <c r="B405" s="15" t="n"/>
      <c r="C405" s="15" t="n"/>
      <c r="D405" s="15" t="n"/>
      <c r="E405" s="25" t="n"/>
      <c r="F405" s="25">
        <f>IF(E405="","",E405*0.065)</f>
        <v/>
      </c>
      <c r="G405" s="25">
        <f>IF(E405="","",E405*0.03+0.25)</f>
        <v/>
      </c>
      <c r="H405" s="25" t="n"/>
      <c r="I405" s="25" t="n"/>
      <c r="J405" s="25" t="n"/>
      <c r="K405" s="25" t="n"/>
      <c r="L405" s="25" t="n"/>
      <c r="M405" s="25">
        <f>IF(E405="","",F405+G405+H405+I405+J405+K405+L405)</f>
        <v/>
      </c>
      <c r="N405" s="25">
        <f>IF(E405="","",E405-M405)</f>
        <v/>
      </c>
      <c r="O405" s="15" t="n"/>
    </row>
    <row r="406">
      <c r="A406" s="26" t="n"/>
      <c r="B406" s="14" t="n"/>
      <c r="C406" s="14" t="n"/>
      <c r="D406" s="14" t="n"/>
      <c r="E406" s="27" t="n"/>
      <c r="F406" s="27">
        <f>IF(E406="","",E406*0.065)</f>
        <v/>
      </c>
      <c r="G406" s="27">
        <f>IF(E406="","",E406*0.03+0.25)</f>
        <v/>
      </c>
      <c r="H406" s="27" t="n"/>
      <c r="I406" s="27" t="n"/>
      <c r="J406" s="27" t="n"/>
      <c r="K406" s="27" t="n"/>
      <c r="L406" s="27" t="n"/>
      <c r="M406" s="27">
        <f>IF(E406="","",F406+G406+H406+I406+J406+K406+L406)</f>
        <v/>
      </c>
      <c r="N406" s="27">
        <f>IF(E406="","",E406-M406)</f>
        <v/>
      </c>
      <c r="O406" s="14" t="n"/>
    </row>
    <row r="407">
      <c r="A407" s="24" t="n"/>
      <c r="B407" s="15" t="n"/>
      <c r="C407" s="15" t="n"/>
      <c r="D407" s="15" t="n"/>
      <c r="E407" s="25" t="n"/>
      <c r="F407" s="25">
        <f>IF(E407="","",E407*0.065)</f>
        <v/>
      </c>
      <c r="G407" s="25">
        <f>IF(E407="","",E407*0.03+0.25)</f>
        <v/>
      </c>
      <c r="H407" s="25" t="n"/>
      <c r="I407" s="25" t="n"/>
      <c r="J407" s="25" t="n"/>
      <c r="K407" s="25" t="n"/>
      <c r="L407" s="25" t="n"/>
      <c r="M407" s="25">
        <f>IF(E407="","",F407+G407+H407+I407+J407+K407+L407)</f>
        <v/>
      </c>
      <c r="N407" s="25">
        <f>IF(E407="","",E407-M407)</f>
        <v/>
      </c>
      <c r="O407" s="15" t="n"/>
    </row>
    <row r="408">
      <c r="A408" s="26" t="n"/>
      <c r="B408" s="14" t="n"/>
      <c r="C408" s="14" t="n"/>
      <c r="D408" s="14" t="n"/>
      <c r="E408" s="27" t="n"/>
      <c r="F408" s="27">
        <f>IF(E408="","",E408*0.065)</f>
        <v/>
      </c>
      <c r="G408" s="27">
        <f>IF(E408="","",E408*0.03+0.25)</f>
        <v/>
      </c>
      <c r="H408" s="27" t="n"/>
      <c r="I408" s="27" t="n"/>
      <c r="J408" s="27" t="n"/>
      <c r="K408" s="27" t="n"/>
      <c r="L408" s="27" t="n"/>
      <c r="M408" s="27">
        <f>IF(E408="","",F408+G408+H408+I408+J408+K408+L408)</f>
        <v/>
      </c>
      <c r="N408" s="27">
        <f>IF(E408="","",E408-M408)</f>
        <v/>
      </c>
      <c r="O408" s="14" t="n"/>
    </row>
    <row r="409">
      <c r="A409" s="24" t="n"/>
      <c r="B409" s="15" t="n"/>
      <c r="C409" s="15" t="n"/>
      <c r="D409" s="15" t="n"/>
      <c r="E409" s="25" t="n"/>
      <c r="F409" s="25">
        <f>IF(E409="","",E409*0.065)</f>
        <v/>
      </c>
      <c r="G409" s="25">
        <f>IF(E409="","",E409*0.03+0.25)</f>
        <v/>
      </c>
      <c r="H409" s="25" t="n"/>
      <c r="I409" s="25" t="n"/>
      <c r="J409" s="25" t="n"/>
      <c r="K409" s="25" t="n"/>
      <c r="L409" s="25" t="n"/>
      <c r="M409" s="25">
        <f>IF(E409="","",F409+G409+H409+I409+J409+K409+L409)</f>
        <v/>
      </c>
      <c r="N409" s="25">
        <f>IF(E409="","",E409-M409)</f>
        <v/>
      </c>
      <c r="O409" s="15" t="n"/>
    </row>
    <row r="410">
      <c r="A410" s="26" t="n"/>
      <c r="B410" s="14" t="n"/>
      <c r="C410" s="14" t="n"/>
      <c r="D410" s="14" t="n"/>
      <c r="E410" s="27" t="n"/>
      <c r="F410" s="27">
        <f>IF(E410="","",E410*0.065)</f>
        <v/>
      </c>
      <c r="G410" s="27">
        <f>IF(E410="","",E410*0.03+0.25)</f>
        <v/>
      </c>
      <c r="H410" s="27" t="n"/>
      <c r="I410" s="27" t="n"/>
      <c r="J410" s="27" t="n"/>
      <c r="K410" s="27" t="n"/>
      <c r="L410" s="27" t="n"/>
      <c r="M410" s="27">
        <f>IF(E410="","",F410+G410+H410+I410+J410+K410+L410)</f>
        <v/>
      </c>
      <c r="N410" s="27">
        <f>IF(E410="","",E410-M410)</f>
        <v/>
      </c>
      <c r="O410" s="14" t="n"/>
    </row>
    <row r="411">
      <c r="A411" s="24" t="n"/>
      <c r="B411" s="15" t="n"/>
      <c r="C411" s="15" t="n"/>
      <c r="D411" s="15" t="n"/>
      <c r="E411" s="25" t="n"/>
      <c r="F411" s="25">
        <f>IF(E411="","",E411*0.065)</f>
        <v/>
      </c>
      <c r="G411" s="25">
        <f>IF(E411="","",E411*0.03+0.25)</f>
        <v/>
      </c>
      <c r="H411" s="25" t="n"/>
      <c r="I411" s="25" t="n"/>
      <c r="J411" s="25" t="n"/>
      <c r="K411" s="25" t="n"/>
      <c r="L411" s="25" t="n"/>
      <c r="M411" s="25">
        <f>IF(E411="","",F411+G411+H411+I411+J411+K411+L411)</f>
        <v/>
      </c>
      <c r="N411" s="25">
        <f>IF(E411="","",E411-M411)</f>
        <v/>
      </c>
      <c r="O411" s="15" t="n"/>
    </row>
    <row r="412">
      <c r="A412" s="26" t="n"/>
      <c r="B412" s="14" t="n"/>
      <c r="C412" s="14" t="n"/>
      <c r="D412" s="14" t="n"/>
      <c r="E412" s="27" t="n"/>
      <c r="F412" s="27">
        <f>IF(E412="","",E412*0.065)</f>
        <v/>
      </c>
      <c r="G412" s="27">
        <f>IF(E412="","",E412*0.03+0.25)</f>
        <v/>
      </c>
      <c r="H412" s="27" t="n"/>
      <c r="I412" s="27" t="n"/>
      <c r="J412" s="27" t="n"/>
      <c r="K412" s="27" t="n"/>
      <c r="L412" s="27" t="n"/>
      <c r="M412" s="27">
        <f>IF(E412="","",F412+G412+H412+I412+J412+K412+L412)</f>
        <v/>
      </c>
      <c r="N412" s="27">
        <f>IF(E412="","",E412-M412)</f>
        <v/>
      </c>
      <c r="O412" s="14" t="n"/>
    </row>
    <row r="413">
      <c r="A413" s="24" t="n"/>
      <c r="B413" s="15" t="n"/>
      <c r="C413" s="15" t="n"/>
      <c r="D413" s="15" t="n"/>
      <c r="E413" s="25" t="n"/>
      <c r="F413" s="25">
        <f>IF(E413="","",E413*0.065)</f>
        <v/>
      </c>
      <c r="G413" s="25">
        <f>IF(E413="","",E413*0.03+0.25)</f>
        <v/>
      </c>
      <c r="H413" s="25" t="n"/>
      <c r="I413" s="25" t="n"/>
      <c r="J413" s="25" t="n"/>
      <c r="K413" s="25" t="n"/>
      <c r="L413" s="25" t="n"/>
      <c r="M413" s="25">
        <f>IF(E413="","",F413+G413+H413+I413+J413+K413+L413)</f>
        <v/>
      </c>
      <c r="N413" s="25">
        <f>IF(E413="","",E413-M413)</f>
        <v/>
      </c>
      <c r="O413" s="15" t="n"/>
    </row>
    <row r="414">
      <c r="A414" s="26" t="n"/>
      <c r="B414" s="14" t="n"/>
      <c r="C414" s="14" t="n"/>
      <c r="D414" s="14" t="n"/>
      <c r="E414" s="27" t="n"/>
      <c r="F414" s="27">
        <f>IF(E414="","",E414*0.065)</f>
        <v/>
      </c>
      <c r="G414" s="27">
        <f>IF(E414="","",E414*0.03+0.25)</f>
        <v/>
      </c>
      <c r="H414" s="27" t="n"/>
      <c r="I414" s="27" t="n"/>
      <c r="J414" s="27" t="n"/>
      <c r="K414" s="27" t="n"/>
      <c r="L414" s="27" t="n"/>
      <c r="M414" s="27">
        <f>IF(E414="","",F414+G414+H414+I414+J414+K414+L414)</f>
        <v/>
      </c>
      <c r="N414" s="27">
        <f>IF(E414="","",E414-M414)</f>
        <v/>
      </c>
      <c r="O414" s="14" t="n"/>
    </row>
    <row r="415">
      <c r="A415" s="24" t="n"/>
      <c r="B415" s="15" t="n"/>
      <c r="C415" s="15" t="n"/>
      <c r="D415" s="15" t="n"/>
      <c r="E415" s="25" t="n"/>
      <c r="F415" s="25">
        <f>IF(E415="","",E415*0.065)</f>
        <v/>
      </c>
      <c r="G415" s="25">
        <f>IF(E415="","",E415*0.03+0.25)</f>
        <v/>
      </c>
      <c r="H415" s="25" t="n"/>
      <c r="I415" s="25" t="n"/>
      <c r="J415" s="25" t="n"/>
      <c r="K415" s="25" t="n"/>
      <c r="L415" s="25" t="n"/>
      <c r="M415" s="25">
        <f>IF(E415="","",F415+G415+H415+I415+J415+K415+L415)</f>
        <v/>
      </c>
      <c r="N415" s="25">
        <f>IF(E415="","",E415-M415)</f>
        <v/>
      </c>
      <c r="O415" s="15" t="n"/>
    </row>
    <row r="416">
      <c r="A416" s="26" t="n"/>
      <c r="B416" s="14" t="n"/>
      <c r="C416" s="14" t="n"/>
      <c r="D416" s="14" t="n"/>
      <c r="E416" s="27" t="n"/>
      <c r="F416" s="27">
        <f>IF(E416="","",E416*0.065)</f>
        <v/>
      </c>
      <c r="G416" s="27">
        <f>IF(E416="","",E416*0.03+0.25)</f>
        <v/>
      </c>
      <c r="H416" s="27" t="n"/>
      <c r="I416" s="27" t="n"/>
      <c r="J416" s="27" t="n"/>
      <c r="K416" s="27" t="n"/>
      <c r="L416" s="27" t="n"/>
      <c r="M416" s="27">
        <f>IF(E416="","",F416+G416+H416+I416+J416+K416+L416)</f>
        <v/>
      </c>
      <c r="N416" s="27">
        <f>IF(E416="","",E416-M416)</f>
        <v/>
      </c>
      <c r="O416" s="14" t="n"/>
    </row>
    <row r="417">
      <c r="A417" s="24" t="n"/>
      <c r="B417" s="15" t="n"/>
      <c r="C417" s="15" t="n"/>
      <c r="D417" s="15" t="n"/>
      <c r="E417" s="25" t="n"/>
      <c r="F417" s="25">
        <f>IF(E417="","",E417*0.065)</f>
        <v/>
      </c>
      <c r="G417" s="25">
        <f>IF(E417="","",E417*0.03+0.25)</f>
        <v/>
      </c>
      <c r="H417" s="25" t="n"/>
      <c r="I417" s="25" t="n"/>
      <c r="J417" s="25" t="n"/>
      <c r="K417" s="25" t="n"/>
      <c r="L417" s="25" t="n"/>
      <c r="M417" s="25">
        <f>IF(E417="","",F417+G417+H417+I417+J417+K417+L417)</f>
        <v/>
      </c>
      <c r="N417" s="25">
        <f>IF(E417="","",E417-M417)</f>
        <v/>
      </c>
      <c r="O417" s="15" t="n"/>
    </row>
    <row r="418">
      <c r="A418" s="26" t="n"/>
      <c r="B418" s="14" t="n"/>
      <c r="C418" s="14" t="n"/>
      <c r="D418" s="14" t="n"/>
      <c r="E418" s="27" t="n"/>
      <c r="F418" s="27">
        <f>IF(E418="","",E418*0.065)</f>
        <v/>
      </c>
      <c r="G418" s="27">
        <f>IF(E418="","",E418*0.03+0.25)</f>
        <v/>
      </c>
      <c r="H418" s="27" t="n"/>
      <c r="I418" s="27" t="n"/>
      <c r="J418" s="27" t="n"/>
      <c r="K418" s="27" t="n"/>
      <c r="L418" s="27" t="n"/>
      <c r="M418" s="27">
        <f>IF(E418="","",F418+G418+H418+I418+J418+K418+L418)</f>
        <v/>
      </c>
      <c r="N418" s="27">
        <f>IF(E418="","",E418-M418)</f>
        <v/>
      </c>
      <c r="O418" s="14" t="n"/>
    </row>
    <row r="419">
      <c r="A419" s="24" t="n"/>
      <c r="B419" s="15" t="n"/>
      <c r="C419" s="15" t="n"/>
      <c r="D419" s="15" t="n"/>
      <c r="E419" s="25" t="n"/>
      <c r="F419" s="25">
        <f>IF(E419="","",E419*0.065)</f>
        <v/>
      </c>
      <c r="G419" s="25">
        <f>IF(E419="","",E419*0.03+0.25)</f>
        <v/>
      </c>
      <c r="H419" s="25" t="n"/>
      <c r="I419" s="25" t="n"/>
      <c r="J419" s="25" t="n"/>
      <c r="K419" s="25" t="n"/>
      <c r="L419" s="25" t="n"/>
      <c r="M419" s="25">
        <f>IF(E419="","",F419+G419+H419+I419+J419+K419+L419)</f>
        <v/>
      </c>
      <c r="N419" s="25">
        <f>IF(E419="","",E419-M419)</f>
        <v/>
      </c>
      <c r="O419" s="15" t="n"/>
    </row>
    <row r="420">
      <c r="A420" s="26" t="n"/>
      <c r="B420" s="14" t="n"/>
      <c r="C420" s="14" t="n"/>
      <c r="D420" s="14" t="n"/>
      <c r="E420" s="27" t="n"/>
      <c r="F420" s="27">
        <f>IF(E420="","",E420*0.065)</f>
        <v/>
      </c>
      <c r="G420" s="27">
        <f>IF(E420="","",E420*0.03+0.25)</f>
        <v/>
      </c>
      <c r="H420" s="27" t="n"/>
      <c r="I420" s="27" t="n"/>
      <c r="J420" s="27" t="n"/>
      <c r="K420" s="27" t="n"/>
      <c r="L420" s="27" t="n"/>
      <c r="M420" s="27">
        <f>IF(E420="","",F420+G420+H420+I420+J420+K420+L420)</f>
        <v/>
      </c>
      <c r="N420" s="27">
        <f>IF(E420="","",E420-M420)</f>
        <v/>
      </c>
      <c r="O420" s="14" t="n"/>
    </row>
    <row r="421">
      <c r="A421" s="24" t="n"/>
      <c r="B421" s="15" t="n"/>
      <c r="C421" s="15" t="n"/>
      <c r="D421" s="15" t="n"/>
      <c r="E421" s="25" t="n"/>
      <c r="F421" s="25">
        <f>IF(E421="","",E421*0.065)</f>
        <v/>
      </c>
      <c r="G421" s="25">
        <f>IF(E421="","",E421*0.03+0.25)</f>
        <v/>
      </c>
      <c r="H421" s="25" t="n"/>
      <c r="I421" s="25" t="n"/>
      <c r="J421" s="25" t="n"/>
      <c r="K421" s="25" t="n"/>
      <c r="L421" s="25" t="n"/>
      <c r="M421" s="25">
        <f>IF(E421="","",F421+G421+H421+I421+J421+K421+L421)</f>
        <v/>
      </c>
      <c r="N421" s="25">
        <f>IF(E421="","",E421-M421)</f>
        <v/>
      </c>
      <c r="O421" s="15" t="n"/>
    </row>
    <row r="422">
      <c r="A422" s="26" t="n"/>
      <c r="B422" s="14" t="n"/>
      <c r="C422" s="14" t="n"/>
      <c r="D422" s="14" t="n"/>
      <c r="E422" s="27" t="n"/>
      <c r="F422" s="27">
        <f>IF(E422="","",E422*0.065)</f>
        <v/>
      </c>
      <c r="G422" s="27">
        <f>IF(E422="","",E422*0.03+0.25)</f>
        <v/>
      </c>
      <c r="H422" s="27" t="n"/>
      <c r="I422" s="27" t="n"/>
      <c r="J422" s="27" t="n"/>
      <c r="K422" s="27" t="n"/>
      <c r="L422" s="27" t="n"/>
      <c r="M422" s="27">
        <f>IF(E422="","",F422+G422+H422+I422+J422+K422+L422)</f>
        <v/>
      </c>
      <c r="N422" s="27">
        <f>IF(E422="","",E422-M422)</f>
        <v/>
      </c>
      <c r="O422" s="14" t="n"/>
    </row>
    <row r="423">
      <c r="A423" s="24" t="n"/>
      <c r="B423" s="15" t="n"/>
      <c r="C423" s="15" t="n"/>
      <c r="D423" s="15" t="n"/>
      <c r="E423" s="25" t="n"/>
      <c r="F423" s="25">
        <f>IF(E423="","",E423*0.065)</f>
        <v/>
      </c>
      <c r="G423" s="25">
        <f>IF(E423="","",E423*0.03+0.25)</f>
        <v/>
      </c>
      <c r="H423" s="25" t="n"/>
      <c r="I423" s="25" t="n"/>
      <c r="J423" s="25" t="n"/>
      <c r="K423" s="25" t="n"/>
      <c r="L423" s="25" t="n"/>
      <c r="M423" s="25">
        <f>IF(E423="","",F423+G423+H423+I423+J423+K423+L423)</f>
        <v/>
      </c>
      <c r="N423" s="25">
        <f>IF(E423="","",E423-M423)</f>
        <v/>
      </c>
      <c r="O423" s="15" t="n"/>
    </row>
    <row r="424">
      <c r="A424" s="26" t="n"/>
      <c r="B424" s="14" t="n"/>
      <c r="C424" s="14" t="n"/>
      <c r="D424" s="14" t="n"/>
      <c r="E424" s="27" t="n"/>
      <c r="F424" s="27">
        <f>IF(E424="","",E424*0.065)</f>
        <v/>
      </c>
      <c r="G424" s="27">
        <f>IF(E424="","",E424*0.03+0.25)</f>
        <v/>
      </c>
      <c r="H424" s="27" t="n"/>
      <c r="I424" s="27" t="n"/>
      <c r="J424" s="27" t="n"/>
      <c r="K424" s="27" t="n"/>
      <c r="L424" s="27" t="n"/>
      <c r="M424" s="27">
        <f>IF(E424="","",F424+G424+H424+I424+J424+K424+L424)</f>
        <v/>
      </c>
      <c r="N424" s="27">
        <f>IF(E424="","",E424-M424)</f>
        <v/>
      </c>
      <c r="O424" s="14" t="n"/>
    </row>
    <row r="425">
      <c r="A425" s="24" t="n"/>
      <c r="B425" s="15" t="n"/>
      <c r="C425" s="15" t="n"/>
      <c r="D425" s="15" t="n"/>
      <c r="E425" s="25" t="n"/>
      <c r="F425" s="25">
        <f>IF(E425="","",E425*0.065)</f>
        <v/>
      </c>
      <c r="G425" s="25">
        <f>IF(E425="","",E425*0.03+0.25)</f>
        <v/>
      </c>
      <c r="H425" s="25" t="n"/>
      <c r="I425" s="25" t="n"/>
      <c r="J425" s="25" t="n"/>
      <c r="K425" s="25" t="n"/>
      <c r="L425" s="25" t="n"/>
      <c r="M425" s="25">
        <f>IF(E425="","",F425+G425+H425+I425+J425+K425+L425)</f>
        <v/>
      </c>
      <c r="N425" s="25">
        <f>IF(E425="","",E425-M425)</f>
        <v/>
      </c>
      <c r="O425" s="15" t="n"/>
    </row>
    <row r="426">
      <c r="A426" s="26" t="n"/>
      <c r="B426" s="14" t="n"/>
      <c r="C426" s="14" t="n"/>
      <c r="D426" s="14" t="n"/>
      <c r="E426" s="27" t="n"/>
      <c r="F426" s="27">
        <f>IF(E426="","",E426*0.065)</f>
        <v/>
      </c>
      <c r="G426" s="27">
        <f>IF(E426="","",E426*0.03+0.25)</f>
        <v/>
      </c>
      <c r="H426" s="27" t="n"/>
      <c r="I426" s="27" t="n"/>
      <c r="J426" s="27" t="n"/>
      <c r="K426" s="27" t="n"/>
      <c r="L426" s="27" t="n"/>
      <c r="M426" s="27">
        <f>IF(E426="","",F426+G426+H426+I426+J426+K426+L426)</f>
        <v/>
      </c>
      <c r="N426" s="27">
        <f>IF(E426="","",E426-M426)</f>
        <v/>
      </c>
      <c r="O426" s="14" t="n"/>
    </row>
    <row r="427">
      <c r="A427" s="24" t="n"/>
      <c r="B427" s="15" t="n"/>
      <c r="C427" s="15" t="n"/>
      <c r="D427" s="15" t="n"/>
      <c r="E427" s="25" t="n"/>
      <c r="F427" s="25">
        <f>IF(E427="","",E427*0.065)</f>
        <v/>
      </c>
      <c r="G427" s="25">
        <f>IF(E427="","",E427*0.03+0.25)</f>
        <v/>
      </c>
      <c r="H427" s="25" t="n"/>
      <c r="I427" s="25" t="n"/>
      <c r="J427" s="25" t="n"/>
      <c r="K427" s="25" t="n"/>
      <c r="L427" s="25" t="n"/>
      <c r="M427" s="25">
        <f>IF(E427="","",F427+G427+H427+I427+J427+K427+L427)</f>
        <v/>
      </c>
      <c r="N427" s="25">
        <f>IF(E427="","",E427-M427)</f>
        <v/>
      </c>
      <c r="O427" s="15" t="n"/>
    </row>
    <row r="428">
      <c r="A428" s="26" t="n"/>
      <c r="B428" s="14" t="n"/>
      <c r="C428" s="14" t="n"/>
      <c r="D428" s="14" t="n"/>
      <c r="E428" s="27" t="n"/>
      <c r="F428" s="27">
        <f>IF(E428="","",E428*0.065)</f>
        <v/>
      </c>
      <c r="G428" s="27">
        <f>IF(E428="","",E428*0.03+0.25)</f>
        <v/>
      </c>
      <c r="H428" s="27" t="n"/>
      <c r="I428" s="27" t="n"/>
      <c r="J428" s="27" t="n"/>
      <c r="K428" s="27" t="n"/>
      <c r="L428" s="27" t="n"/>
      <c r="M428" s="27">
        <f>IF(E428="","",F428+G428+H428+I428+J428+K428+L428)</f>
        <v/>
      </c>
      <c r="N428" s="27">
        <f>IF(E428="","",E428-M428)</f>
        <v/>
      </c>
      <c r="O428" s="14" t="n"/>
    </row>
    <row r="429">
      <c r="A429" s="24" t="n"/>
      <c r="B429" s="15" t="n"/>
      <c r="C429" s="15" t="n"/>
      <c r="D429" s="15" t="n"/>
      <c r="E429" s="25" t="n"/>
      <c r="F429" s="25">
        <f>IF(E429="","",E429*0.065)</f>
        <v/>
      </c>
      <c r="G429" s="25">
        <f>IF(E429="","",E429*0.03+0.25)</f>
        <v/>
      </c>
      <c r="H429" s="25" t="n"/>
      <c r="I429" s="25" t="n"/>
      <c r="J429" s="25" t="n"/>
      <c r="K429" s="25" t="n"/>
      <c r="L429" s="25" t="n"/>
      <c r="M429" s="25">
        <f>IF(E429="","",F429+G429+H429+I429+J429+K429+L429)</f>
        <v/>
      </c>
      <c r="N429" s="25">
        <f>IF(E429="","",E429-M429)</f>
        <v/>
      </c>
      <c r="O429" s="15" t="n"/>
    </row>
    <row r="430">
      <c r="A430" s="26" t="n"/>
      <c r="B430" s="14" t="n"/>
      <c r="C430" s="14" t="n"/>
      <c r="D430" s="14" t="n"/>
      <c r="E430" s="27" t="n"/>
      <c r="F430" s="27">
        <f>IF(E430="","",E430*0.065)</f>
        <v/>
      </c>
      <c r="G430" s="27">
        <f>IF(E430="","",E430*0.03+0.25)</f>
        <v/>
      </c>
      <c r="H430" s="27" t="n"/>
      <c r="I430" s="27" t="n"/>
      <c r="J430" s="27" t="n"/>
      <c r="K430" s="27" t="n"/>
      <c r="L430" s="27" t="n"/>
      <c r="M430" s="27">
        <f>IF(E430="","",F430+G430+H430+I430+J430+K430+L430)</f>
        <v/>
      </c>
      <c r="N430" s="27">
        <f>IF(E430="","",E430-M430)</f>
        <v/>
      </c>
      <c r="O430" s="14" t="n"/>
    </row>
    <row r="431">
      <c r="A431" s="24" t="n"/>
      <c r="B431" s="15" t="n"/>
      <c r="C431" s="15" t="n"/>
      <c r="D431" s="15" t="n"/>
      <c r="E431" s="25" t="n"/>
      <c r="F431" s="25">
        <f>IF(E431="","",E431*0.065)</f>
        <v/>
      </c>
      <c r="G431" s="25">
        <f>IF(E431="","",E431*0.03+0.25)</f>
        <v/>
      </c>
      <c r="H431" s="25" t="n"/>
      <c r="I431" s="25" t="n"/>
      <c r="J431" s="25" t="n"/>
      <c r="K431" s="25" t="n"/>
      <c r="L431" s="25" t="n"/>
      <c r="M431" s="25">
        <f>IF(E431="","",F431+G431+H431+I431+J431+K431+L431)</f>
        <v/>
      </c>
      <c r="N431" s="25">
        <f>IF(E431="","",E431-M431)</f>
        <v/>
      </c>
      <c r="O431" s="15" t="n"/>
    </row>
    <row r="432">
      <c r="A432" s="26" t="n"/>
      <c r="B432" s="14" t="n"/>
      <c r="C432" s="14" t="n"/>
      <c r="D432" s="14" t="n"/>
      <c r="E432" s="27" t="n"/>
      <c r="F432" s="27">
        <f>IF(E432="","",E432*0.065)</f>
        <v/>
      </c>
      <c r="G432" s="27">
        <f>IF(E432="","",E432*0.03+0.25)</f>
        <v/>
      </c>
      <c r="H432" s="27" t="n"/>
      <c r="I432" s="27" t="n"/>
      <c r="J432" s="27" t="n"/>
      <c r="K432" s="27" t="n"/>
      <c r="L432" s="27" t="n"/>
      <c r="M432" s="27">
        <f>IF(E432="","",F432+G432+H432+I432+J432+K432+L432)</f>
        <v/>
      </c>
      <c r="N432" s="27">
        <f>IF(E432="","",E432-M432)</f>
        <v/>
      </c>
      <c r="O432" s="14" t="n"/>
    </row>
    <row r="433">
      <c r="A433" s="24" t="n"/>
      <c r="B433" s="15" t="n"/>
      <c r="C433" s="15" t="n"/>
      <c r="D433" s="15" t="n"/>
      <c r="E433" s="25" t="n"/>
      <c r="F433" s="25">
        <f>IF(E433="","",E433*0.065)</f>
        <v/>
      </c>
      <c r="G433" s="25">
        <f>IF(E433="","",E433*0.03+0.25)</f>
        <v/>
      </c>
      <c r="H433" s="25" t="n"/>
      <c r="I433" s="25" t="n"/>
      <c r="J433" s="25" t="n"/>
      <c r="K433" s="25" t="n"/>
      <c r="L433" s="25" t="n"/>
      <c r="M433" s="25">
        <f>IF(E433="","",F433+G433+H433+I433+J433+K433+L433)</f>
        <v/>
      </c>
      <c r="N433" s="25">
        <f>IF(E433="","",E433-M433)</f>
        <v/>
      </c>
      <c r="O433" s="15" t="n"/>
    </row>
    <row r="434">
      <c r="A434" s="26" t="n"/>
      <c r="B434" s="14" t="n"/>
      <c r="C434" s="14" t="n"/>
      <c r="D434" s="14" t="n"/>
      <c r="E434" s="27" t="n"/>
      <c r="F434" s="27">
        <f>IF(E434="","",E434*0.065)</f>
        <v/>
      </c>
      <c r="G434" s="27">
        <f>IF(E434="","",E434*0.03+0.25)</f>
        <v/>
      </c>
      <c r="H434" s="27" t="n"/>
      <c r="I434" s="27" t="n"/>
      <c r="J434" s="27" t="n"/>
      <c r="K434" s="27" t="n"/>
      <c r="L434" s="27" t="n"/>
      <c r="M434" s="27">
        <f>IF(E434="","",F434+G434+H434+I434+J434+K434+L434)</f>
        <v/>
      </c>
      <c r="N434" s="27">
        <f>IF(E434="","",E434-M434)</f>
        <v/>
      </c>
      <c r="O434" s="14" t="n"/>
    </row>
    <row r="435">
      <c r="A435" s="24" t="n"/>
      <c r="B435" s="15" t="n"/>
      <c r="C435" s="15" t="n"/>
      <c r="D435" s="15" t="n"/>
      <c r="E435" s="25" t="n"/>
      <c r="F435" s="25">
        <f>IF(E435="","",E435*0.065)</f>
        <v/>
      </c>
      <c r="G435" s="25">
        <f>IF(E435="","",E435*0.03+0.25)</f>
        <v/>
      </c>
      <c r="H435" s="25" t="n"/>
      <c r="I435" s="25" t="n"/>
      <c r="J435" s="25" t="n"/>
      <c r="K435" s="25" t="n"/>
      <c r="L435" s="25" t="n"/>
      <c r="M435" s="25">
        <f>IF(E435="","",F435+G435+H435+I435+J435+K435+L435)</f>
        <v/>
      </c>
      <c r="N435" s="25">
        <f>IF(E435="","",E435-M435)</f>
        <v/>
      </c>
      <c r="O435" s="15" t="n"/>
    </row>
    <row r="436">
      <c r="A436" s="26" t="n"/>
      <c r="B436" s="14" t="n"/>
      <c r="C436" s="14" t="n"/>
      <c r="D436" s="14" t="n"/>
      <c r="E436" s="27" t="n"/>
      <c r="F436" s="27">
        <f>IF(E436="","",E436*0.065)</f>
        <v/>
      </c>
      <c r="G436" s="27">
        <f>IF(E436="","",E436*0.03+0.25)</f>
        <v/>
      </c>
      <c r="H436" s="27" t="n"/>
      <c r="I436" s="27" t="n"/>
      <c r="J436" s="27" t="n"/>
      <c r="K436" s="27" t="n"/>
      <c r="L436" s="27" t="n"/>
      <c r="M436" s="27">
        <f>IF(E436="","",F436+G436+H436+I436+J436+K436+L436)</f>
        <v/>
      </c>
      <c r="N436" s="27">
        <f>IF(E436="","",E436-M436)</f>
        <v/>
      </c>
      <c r="O436" s="14" t="n"/>
    </row>
    <row r="437">
      <c r="A437" s="24" t="n"/>
      <c r="B437" s="15" t="n"/>
      <c r="C437" s="15" t="n"/>
      <c r="D437" s="15" t="n"/>
      <c r="E437" s="25" t="n"/>
      <c r="F437" s="25">
        <f>IF(E437="","",E437*0.065)</f>
        <v/>
      </c>
      <c r="G437" s="25">
        <f>IF(E437="","",E437*0.03+0.25)</f>
        <v/>
      </c>
      <c r="H437" s="25" t="n"/>
      <c r="I437" s="25" t="n"/>
      <c r="J437" s="25" t="n"/>
      <c r="K437" s="25" t="n"/>
      <c r="L437" s="25" t="n"/>
      <c r="M437" s="25">
        <f>IF(E437="","",F437+G437+H437+I437+J437+K437+L437)</f>
        <v/>
      </c>
      <c r="N437" s="25">
        <f>IF(E437="","",E437-M437)</f>
        <v/>
      </c>
      <c r="O437" s="15" t="n"/>
    </row>
    <row r="438">
      <c r="A438" s="26" t="n"/>
      <c r="B438" s="14" t="n"/>
      <c r="C438" s="14" t="n"/>
      <c r="D438" s="14" t="n"/>
      <c r="E438" s="27" t="n"/>
      <c r="F438" s="27">
        <f>IF(E438="","",E438*0.065)</f>
        <v/>
      </c>
      <c r="G438" s="27">
        <f>IF(E438="","",E438*0.03+0.25)</f>
        <v/>
      </c>
      <c r="H438" s="27" t="n"/>
      <c r="I438" s="27" t="n"/>
      <c r="J438" s="27" t="n"/>
      <c r="K438" s="27" t="n"/>
      <c r="L438" s="27" t="n"/>
      <c r="M438" s="27">
        <f>IF(E438="","",F438+G438+H438+I438+J438+K438+L438)</f>
        <v/>
      </c>
      <c r="N438" s="27">
        <f>IF(E438="","",E438-M438)</f>
        <v/>
      </c>
      <c r="O438" s="14" t="n"/>
    </row>
    <row r="439">
      <c r="A439" s="24" t="n"/>
      <c r="B439" s="15" t="n"/>
      <c r="C439" s="15" t="n"/>
      <c r="D439" s="15" t="n"/>
      <c r="E439" s="25" t="n"/>
      <c r="F439" s="25">
        <f>IF(E439="","",E439*0.065)</f>
        <v/>
      </c>
      <c r="G439" s="25">
        <f>IF(E439="","",E439*0.03+0.25)</f>
        <v/>
      </c>
      <c r="H439" s="25" t="n"/>
      <c r="I439" s="25" t="n"/>
      <c r="J439" s="25" t="n"/>
      <c r="K439" s="25" t="n"/>
      <c r="L439" s="25" t="n"/>
      <c r="M439" s="25">
        <f>IF(E439="","",F439+G439+H439+I439+J439+K439+L439)</f>
        <v/>
      </c>
      <c r="N439" s="25">
        <f>IF(E439="","",E439-M439)</f>
        <v/>
      </c>
      <c r="O439" s="15" t="n"/>
    </row>
    <row r="440">
      <c r="A440" s="26" t="n"/>
      <c r="B440" s="14" t="n"/>
      <c r="C440" s="14" t="n"/>
      <c r="D440" s="14" t="n"/>
      <c r="E440" s="27" t="n"/>
      <c r="F440" s="27">
        <f>IF(E440="","",E440*0.065)</f>
        <v/>
      </c>
      <c r="G440" s="27">
        <f>IF(E440="","",E440*0.03+0.25)</f>
        <v/>
      </c>
      <c r="H440" s="27" t="n"/>
      <c r="I440" s="27" t="n"/>
      <c r="J440" s="27" t="n"/>
      <c r="K440" s="27" t="n"/>
      <c r="L440" s="27" t="n"/>
      <c r="M440" s="27">
        <f>IF(E440="","",F440+G440+H440+I440+J440+K440+L440)</f>
        <v/>
      </c>
      <c r="N440" s="27">
        <f>IF(E440="","",E440-M440)</f>
        <v/>
      </c>
      <c r="O440" s="14" t="n"/>
    </row>
    <row r="441">
      <c r="A441" s="24" t="n"/>
      <c r="B441" s="15" t="n"/>
      <c r="C441" s="15" t="n"/>
      <c r="D441" s="15" t="n"/>
      <c r="E441" s="25" t="n"/>
      <c r="F441" s="25">
        <f>IF(E441="","",E441*0.065)</f>
        <v/>
      </c>
      <c r="G441" s="25">
        <f>IF(E441="","",E441*0.03+0.25)</f>
        <v/>
      </c>
      <c r="H441" s="25" t="n"/>
      <c r="I441" s="25" t="n"/>
      <c r="J441" s="25" t="n"/>
      <c r="K441" s="25" t="n"/>
      <c r="L441" s="25" t="n"/>
      <c r="M441" s="25">
        <f>IF(E441="","",F441+G441+H441+I441+J441+K441+L441)</f>
        <v/>
      </c>
      <c r="N441" s="25">
        <f>IF(E441="","",E441-M441)</f>
        <v/>
      </c>
      <c r="O441" s="15" t="n"/>
    </row>
    <row r="442">
      <c r="A442" s="26" t="n"/>
      <c r="B442" s="14" t="n"/>
      <c r="C442" s="14" t="n"/>
      <c r="D442" s="14" t="n"/>
      <c r="E442" s="27" t="n"/>
      <c r="F442" s="27">
        <f>IF(E442="","",E442*0.065)</f>
        <v/>
      </c>
      <c r="G442" s="27">
        <f>IF(E442="","",E442*0.03+0.25)</f>
        <v/>
      </c>
      <c r="H442" s="27" t="n"/>
      <c r="I442" s="27" t="n"/>
      <c r="J442" s="27" t="n"/>
      <c r="K442" s="27" t="n"/>
      <c r="L442" s="27" t="n"/>
      <c r="M442" s="27">
        <f>IF(E442="","",F442+G442+H442+I442+J442+K442+L442)</f>
        <v/>
      </c>
      <c r="N442" s="27">
        <f>IF(E442="","",E442-M442)</f>
        <v/>
      </c>
      <c r="O442" s="14" t="n"/>
    </row>
    <row r="443">
      <c r="A443" s="24" t="n"/>
      <c r="B443" s="15" t="n"/>
      <c r="C443" s="15" t="n"/>
      <c r="D443" s="15" t="n"/>
      <c r="E443" s="25" t="n"/>
      <c r="F443" s="25">
        <f>IF(E443="","",E443*0.065)</f>
        <v/>
      </c>
      <c r="G443" s="25">
        <f>IF(E443="","",E443*0.03+0.25)</f>
        <v/>
      </c>
      <c r="H443" s="25" t="n"/>
      <c r="I443" s="25" t="n"/>
      <c r="J443" s="25" t="n"/>
      <c r="K443" s="25" t="n"/>
      <c r="L443" s="25" t="n"/>
      <c r="M443" s="25">
        <f>IF(E443="","",F443+G443+H443+I443+J443+K443+L443)</f>
        <v/>
      </c>
      <c r="N443" s="25">
        <f>IF(E443="","",E443-M443)</f>
        <v/>
      </c>
      <c r="O443" s="15" t="n"/>
    </row>
    <row r="444">
      <c r="A444" s="26" t="n"/>
      <c r="B444" s="14" t="n"/>
      <c r="C444" s="14" t="n"/>
      <c r="D444" s="14" t="n"/>
      <c r="E444" s="27" t="n"/>
      <c r="F444" s="27">
        <f>IF(E444="","",E444*0.065)</f>
        <v/>
      </c>
      <c r="G444" s="27">
        <f>IF(E444="","",E444*0.03+0.25)</f>
        <v/>
      </c>
      <c r="H444" s="27" t="n"/>
      <c r="I444" s="27" t="n"/>
      <c r="J444" s="27" t="n"/>
      <c r="K444" s="27" t="n"/>
      <c r="L444" s="27" t="n"/>
      <c r="M444" s="27">
        <f>IF(E444="","",F444+G444+H444+I444+J444+K444+L444)</f>
        <v/>
      </c>
      <c r="N444" s="27">
        <f>IF(E444="","",E444-M444)</f>
        <v/>
      </c>
      <c r="O444" s="14" t="n"/>
    </row>
    <row r="445">
      <c r="A445" s="24" t="n"/>
      <c r="B445" s="15" t="n"/>
      <c r="C445" s="15" t="n"/>
      <c r="D445" s="15" t="n"/>
      <c r="E445" s="25" t="n"/>
      <c r="F445" s="25">
        <f>IF(E445="","",E445*0.065)</f>
        <v/>
      </c>
      <c r="G445" s="25">
        <f>IF(E445="","",E445*0.03+0.25)</f>
        <v/>
      </c>
      <c r="H445" s="25" t="n"/>
      <c r="I445" s="25" t="n"/>
      <c r="J445" s="25" t="n"/>
      <c r="K445" s="25" t="n"/>
      <c r="L445" s="25" t="n"/>
      <c r="M445" s="25">
        <f>IF(E445="","",F445+G445+H445+I445+J445+K445+L445)</f>
        <v/>
      </c>
      <c r="N445" s="25">
        <f>IF(E445="","",E445-M445)</f>
        <v/>
      </c>
      <c r="O445" s="15" t="n"/>
    </row>
    <row r="446">
      <c r="A446" s="26" t="n"/>
      <c r="B446" s="14" t="n"/>
      <c r="C446" s="14" t="n"/>
      <c r="D446" s="14" t="n"/>
      <c r="E446" s="27" t="n"/>
      <c r="F446" s="27">
        <f>IF(E446="","",E446*0.065)</f>
        <v/>
      </c>
      <c r="G446" s="27">
        <f>IF(E446="","",E446*0.03+0.25)</f>
        <v/>
      </c>
      <c r="H446" s="27" t="n"/>
      <c r="I446" s="27" t="n"/>
      <c r="J446" s="27" t="n"/>
      <c r="K446" s="27" t="n"/>
      <c r="L446" s="27" t="n"/>
      <c r="M446" s="27">
        <f>IF(E446="","",F446+G446+H446+I446+J446+K446+L446)</f>
        <v/>
      </c>
      <c r="N446" s="27">
        <f>IF(E446="","",E446-M446)</f>
        <v/>
      </c>
      <c r="O446" s="14" t="n"/>
    </row>
    <row r="447">
      <c r="A447" s="24" t="n"/>
      <c r="B447" s="15" t="n"/>
      <c r="C447" s="15" t="n"/>
      <c r="D447" s="15" t="n"/>
      <c r="E447" s="25" t="n"/>
      <c r="F447" s="25">
        <f>IF(E447="","",E447*0.065)</f>
        <v/>
      </c>
      <c r="G447" s="25">
        <f>IF(E447="","",E447*0.03+0.25)</f>
        <v/>
      </c>
      <c r="H447" s="25" t="n"/>
      <c r="I447" s="25" t="n"/>
      <c r="J447" s="25" t="n"/>
      <c r="K447" s="25" t="n"/>
      <c r="L447" s="25" t="n"/>
      <c r="M447" s="25">
        <f>IF(E447="","",F447+G447+H447+I447+J447+K447+L447)</f>
        <v/>
      </c>
      <c r="N447" s="25">
        <f>IF(E447="","",E447-M447)</f>
        <v/>
      </c>
      <c r="O447" s="15" t="n"/>
    </row>
    <row r="448">
      <c r="A448" s="26" t="n"/>
      <c r="B448" s="14" t="n"/>
      <c r="C448" s="14" t="n"/>
      <c r="D448" s="14" t="n"/>
      <c r="E448" s="27" t="n"/>
      <c r="F448" s="27">
        <f>IF(E448="","",E448*0.065)</f>
        <v/>
      </c>
      <c r="G448" s="27">
        <f>IF(E448="","",E448*0.03+0.25)</f>
        <v/>
      </c>
      <c r="H448" s="27" t="n"/>
      <c r="I448" s="27" t="n"/>
      <c r="J448" s="27" t="n"/>
      <c r="K448" s="27" t="n"/>
      <c r="L448" s="27" t="n"/>
      <c r="M448" s="27">
        <f>IF(E448="","",F448+G448+H448+I448+J448+K448+L448)</f>
        <v/>
      </c>
      <c r="N448" s="27">
        <f>IF(E448="","",E448-M448)</f>
        <v/>
      </c>
      <c r="O448" s="14" t="n"/>
    </row>
    <row r="449">
      <c r="A449" s="24" t="n"/>
      <c r="B449" s="15" t="n"/>
      <c r="C449" s="15" t="n"/>
      <c r="D449" s="15" t="n"/>
      <c r="E449" s="25" t="n"/>
      <c r="F449" s="25">
        <f>IF(E449="","",E449*0.065)</f>
        <v/>
      </c>
      <c r="G449" s="25">
        <f>IF(E449="","",E449*0.03+0.25)</f>
        <v/>
      </c>
      <c r="H449" s="25" t="n"/>
      <c r="I449" s="25" t="n"/>
      <c r="J449" s="25" t="n"/>
      <c r="K449" s="25" t="n"/>
      <c r="L449" s="25" t="n"/>
      <c r="M449" s="25">
        <f>IF(E449="","",F449+G449+H449+I449+J449+K449+L449)</f>
        <v/>
      </c>
      <c r="N449" s="25">
        <f>IF(E449="","",E449-M449)</f>
        <v/>
      </c>
      <c r="O449" s="15" t="n"/>
    </row>
    <row r="450">
      <c r="A450" s="26" t="n"/>
      <c r="B450" s="14" t="n"/>
      <c r="C450" s="14" t="n"/>
      <c r="D450" s="14" t="n"/>
      <c r="E450" s="27" t="n"/>
      <c r="F450" s="27">
        <f>IF(E450="","",E450*0.065)</f>
        <v/>
      </c>
      <c r="G450" s="27">
        <f>IF(E450="","",E450*0.03+0.25)</f>
        <v/>
      </c>
      <c r="H450" s="27" t="n"/>
      <c r="I450" s="27" t="n"/>
      <c r="J450" s="27" t="n"/>
      <c r="K450" s="27" t="n"/>
      <c r="L450" s="27" t="n"/>
      <c r="M450" s="27">
        <f>IF(E450="","",F450+G450+H450+I450+J450+K450+L450)</f>
        <v/>
      </c>
      <c r="N450" s="27">
        <f>IF(E450="","",E450-M450)</f>
        <v/>
      </c>
      <c r="O450" s="14" t="n"/>
    </row>
    <row r="451">
      <c r="A451" s="24" t="n"/>
      <c r="B451" s="15" t="n"/>
      <c r="C451" s="15" t="n"/>
      <c r="D451" s="15" t="n"/>
      <c r="E451" s="25" t="n"/>
      <c r="F451" s="25">
        <f>IF(E451="","",E451*0.065)</f>
        <v/>
      </c>
      <c r="G451" s="25">
        <f>IF(E451="","",E451*0.03+0.25)</f>
        <v/>
      </c>
      <c r="H451" s="25" t="n"/>
      <c r="I451" s="25" t="n"/>
      <c r="J451" s="25" t="n"/>
      <c r="K451" s="25" t="n"/>
      <c r="L451" s="25" t="n"/>
      <c r="M451" s="25">
        <f>IF(E451="","",F451+G451+H451+I451+J451+K451+L451)</f>
        <v/>
      </c>
      <c r="N451" s="25">
        <f>IF(E451="","",E451-M451)</f>
        <v/>
      </c>
      <c r="O451" s="15" t="n"/>
    </row>
    <row r="452">
      <c r="A452" s="26" t="n"/>
      <c r="B452" s="14" t="n"/>
      <c r="C452" s="14" t="n"/>
      <c r="D452" s="14" t="n"/>
      <c r="E452" s="27" t="n"/>
      <c r="F452" s="27">
        <f>IF(E452="","",E452*0.065)</f>
        <v/>
      </c>
      <c r="G452" s="27">
        <f>IF(E452="","",E452*0.03+0.25)</f>
        <v/>
      </c>
      <c r="H452" s="27" t="n"/>
      <c r="I452" s="27" t="n"/>
      <c r="J452" s="27" t="n"/>
      <c r="K452" s="27" t="n"/>
      <c r="L452" s="27" t="n"/>
      <c r="M452" s="27">
        <f>IF(E452="","",F452+G452+H452+I452+J452+K452+L452)</f>
        <v/>
      </c>
      <c r="N452" s="27">
        <f>IF(E452="","",E452-M452)</f>
        <v/>
      </c>
      <c r="O452" s="14" t="n"/>
    </row>
    <row r="453">
      <c r="A453" s="24" t="n"/>
      <c r="B453" s="15" t="n"/>
      <c r="C453" s="15" t="n"/>
      <c r="D453" s="15" t="n"/>
      <c r="E453" s="25" t="n"/>
      <c r="F453" s="25">
        <f>IF(E453="","",E453*0.065)</f>
        <v/>
      </c>
      <c r="G453" s="25">
        <f>IF(E453="","",E453*0.03+0.25)</f>
        <v/>
      </c>
      <c r="H453" s="25" t="n"/>
      <c r="I453" s="25" t="n"/>
      <c r="J453" s="25" t="n"/>
      <c r="K453" s="25" t="n"/>
      <c r="L453" s="25" t="n"/>
      <c r="M453" s="25">
        <f>IF(E453="","",F453+G453+H453+I453+J453+K453+L453)</f>
        <v/>
      </c>
      <c r="N453" s="25">
        <f>IF(E453="","",E453-M453)</f>
        <v/>
      </c>
      <c r="O453" s="15" t="n"/>
    </row>
    <row r="454">
      <c r="A454" s="26" t="n"/>
      <c r="B454" s="14" t="n"/>
      <c r="C454" s="14" t="n"/>
      <c r="D454" s="14" t="n"/>
      <c r="E454" s="27" t="n"/>
      <c r="F454" s="27">
        <f>IF(E454="","",E454*0.065)</f>
        <v/>
      </c>
      <c r="G454" s="27">
        <f>IF(E454="","",E454*0.03+0.25)</f>
        <v/>
      </c>
      <c r="H454" s="27" t="n"/>
      <c r="I454" s="27" t="n"/>
      <c r="J454" s="27" t="n"/>
      <c r="K454" s="27" t="n"/>
      <c r="L454" s="27" t="n"/>
      <c r="M454" s="27">
        <f>IF(E454="","",F454+G454+H454+I454+J454+K454+L454)</f>
        <v/>
      </c>
      <c r="N454" s="27">
        <f>IF(E454="","",E454-M454)</f>
        <v/>
      </c>
      <c r="O454" s="14" t="n"/>
    </row>
    <row r="455">
      <c r="A455" s="24" t="n"/>
      <c r="B455" s="15" t="n"/>
      <c r="C455" s="15" t="n"/>
      <c r="D455" s="15" t="n"/>
      <c r="E455" s="25" t="n"/>
      <c r="F455" s="25">
        <f>IF(E455="","",E455*0.065)</f>
        <v/>
      </c>
      <c r="G455" s="25">
        <f>IF(E455="","",E455*0.03+0.25)</f>
        <v/>
      </c>
      <c r="H455" s="25" t="n"/>
      <c r="I455" s="25" t="n"/>
      <c r="J455" s="25" t="n"/>
      <c r="K455" s="25" t="n"/>
      <c r="L455" s="25" t="n"/>
      <c r="M455" s="25">
        <f>IF(E455="","",F455+G455+H455+I455+J455+K455+L455)</f>
        <v/>
      </c>
      <c r="N455" s="25">
        <f>IF(E455="","",E455-M455)</f>
        <v/>
      </c>
      <c r="O455" s="15" t="n"/>
    </row>
    <row r="456">
      <c r="A456" s="26" t="n"/>
      <c r="B456" s="14" t="n"/>
      <c r="C456" s="14" t="n"/>
      <c r="D456" s="14" t="n"/>
      <c r="E456" s="27" t="n"/>
      <c r="F456" s="27">
        <f>IF(E456="","",E456*0.065)</f>
        <v/>
      </c>
      <c r="G456" s="27">
        <f>IF(E456="","",E456*0.03+0.25)</f>
        <v/>
      </c>
      <c r="H456" s="27" t="n"/>
      <c r="I456" s="27" t="n"/>
      <c r="J456" s="27" t="n"/>
      <c r="K456" s="27" t="n"/>
      <c r="L456" s="27" t="n"/>
      <c r="M456" s="27">
        <f>IF(E456="","",F456+G456+H456+I456+J456+K456+L456)</f>
        <v/>
      </c>
      <c r="N456" s="27">
        <f>IF(E456="","",E456-M456)</f>
        <v/>
      </c>
      <c r="O456" s="14" t="n"/>
    </row>
    <row r="457">
      <c r="A457" s="24" t="n"/>
      <c r="B457" s="15" t="n"/>
      <c r="C457" s="15" t="n"/>
      <c r="D457" s="15" t="n"/>
      <c r="E457" s="25" t="n"/>
      <c r="F457" s="25">
        <f>IF(E457="","",E457*0.065)</f>
        <v/>
      </c>
      <c r="G457" s="25">
        <f>IF(E457="","",E457*0.03+0.25)</f>
        <v/>
      </c>
      <c r="H457" s="25" t="n"/>
      <c r="I457" s="25" t="n"/>
      <c r="J457" s="25" t="n"/>
      <c r="K457" s="25" t="n"/>
      <c r="L457" s="25" t="n"/>
      <c r="M457" s="25">
        <f>IF(E457="","",F457+G457+H457+I457+J457+K457+L457)</f>
        <v/>
      </c>
      <c r="N457" s="25">
        <f>IF(E457="","",E457-M457)</f>
        <v/>
      </c>
      <c r="O457" s="15" t="n"/>
    </row>
    <row r="458">
      <c r="A458" s="26" t="n"/>
      <c r="B458" s="14" t="n"/>
      <c r="C458" s="14" t="n"/>
      <c r="D458" s="14" t="n"/>
      <c r="E458" s="27" t="n"/>
      <c r="F458" s="27">
        <f>IF(E458="","",E458*0.065)</f>
        <v/>
      </c>
      <c r="G458" s="27">
        <f>IF(E458="","",E458*0.03+0.25)</f>
        <v/>
      </c>
      <c r="H458" s="27" t="n"/>
      <c r="I458" s="27" t="n"/>
      <c r="J458" s="27" t="n"/>
      <c r="K458" s="27" t="n"/>
      <c r="L458" s="27" t="n"/>
      <c r="M458" s="27">
        <f>IF(E458="","",F458+G458+H458+I458+J458+K458+L458)</f>
        <v/>
      </c>
      <c r="N458" s="27">
        <f>IF(E458="","",E458-M458)</f>
        <v/>
      </c>
      <c r="O458" s="14" t="n"/>
    </row>
    <row r="459">
      <c r="A459" s="24" t="n"/>
      <c r="B459" s="15" t="n"/>
      <c r="C459" s="15" t="n"/>
      <c r="D459" s="15" t="n"/>
      <c r="E459" s="25" t="n"/>
      <c r="F459" s="25">
        <f>IF(E459="","",E459*0.065)</f>
        <v/>
      </c>
      <c r="G459" s="25">
        <f>IF(E459="","",E459*0.03+0.25)</f>
        <v/>
      </c>
      <c r="H459" s="25" t="n"/>
      <c r="I459" s="25" t="n"/>
      <c r="J459" s="25" t="n"/>
      <c r="K459" s="25" t="n"/>
      <c r="L459" s="25" t="n"/>
      <c r="M459" s="25">
        <f>IF(E459="","",F459+G459+H459+I459+J459+K459+L459)</f>
        <v/>
      </c>
      <c r="N459" s="25">
        <f>IF(E459="","",E459-M459)</f>
        <v/>
      </c>
      <c r="O459" s="15" t="n"/>
    </row>
    <row r="460">
      <c r="A460" s="26" t="n"/>
      <c r="B460" s="14" t="n"/>
      <c r="C460" s="14" t="n"/>
      <c r="D460" s="14" t="n"/>
      <c r="E460" s="27" t="n"/>
      <c r="F460" s="27">
        <f>IF(E460="","",E460*0.065)</f>
        <v/>
      </c>
      <c r="G460" s="27">
        <f>IF(E460="","",E460*0.03+0.25)</f>
        <v/>
      </c>
      <c r="H460" s="27" t="n"/>
      <c r="I460" s="27" t="n"/>
      <c r="J460" s="27" t="n"/>
      <c r="K460" s="27" t="n"/>
      <c r="L460" s="27" t="n"/>
      <c r="M460" s="27">
        <f>IF(E460="","",F460+G460+H460+I460+J460+K460+L460)</f>
        <v/>
      </c>
      <c r="N460" s="27">
        <f>IF(E460="","",E460-M460)</f>
        <v/>
      </c>
      <c r="O460" s="14" t="n"/>
    </row>
    <row r="461">
      <c r="A461" s="24" t="n"/>
      <c r="B461" s="15" t="n"/>
      <c r="C461" s="15" t="n"/>
      <c r="D461" s="15" t="n"/>
      <c r="E461" s="25" t="n"/>
      <c r="F461" s="25">
        <f>IF(E461="","",E461*0.065)</f>
        <v/>
      </c>
      <c r="G461" s="25">
        <f>IF(E461="","",E461*0.03+0.25)</f>
        <v/>
      </c>
      <c r="H461" s="25" t="n"/>
      <c r="I461" s="25" t="n"/>
      <c r="J461" s="25" t="n"/>
      <c r="K461" s="25" t="n"/>
      <c r="L461" s="25" t="n"/>
      <c r="M461" s="25">
        <f>IF(E461="","",F461+G461+H461+I461+J461+K461+L461)</f>
        <v/>
      </c>
      <c r="N461" s="25">
        <f>IF(E461="","",E461-M461)</f>
        <v/>
      </c>
      <c r="O461" s="15" t="n"/>
    </row>
    <row r="462">
      <c r="A462" s="26" t="n"/>
      <c r="B462" s="14" t="n"/>
      <c r="C462" s="14" t="n"/>
      <c r="D462" s="14" t="n"/>
      <c r="E462" s="27" t="n"/>
      <c r="F462" s="27">
        <f>IF(E462="","",E462*0.065)</f>
        <v/>
      </c>
      <c r="G462" s="27">
        <f>IF(E462="","",E462*0.03+0.25)</f>
        <v/>
      </c>
      <c r="H462" s="27" t="n"/>
      <c r="I462" s="27" t="n"/>
      <c r="J462" s="27" t="n"/>
      <c r="K462" s="27" t="n"/>
      <c r="L462" s="27" t="n"/>
      <c r="M462" s="27">
        <f>IF(E462="","",F462+G462+H462+I462+J462+K462+L462)</f>
        <v/>
      </c>
      <c r="N462" s="27">
        <f>IF(E462="","",E462-M462)</f>
        <v/>
      </c>
      <c r="O462" s="14" t="n"/>
    </row>
    <row r="463">
      <c r="A463" s="24" t="n"/>
      <c r="B463" s="15" t="n"/>
      <c r="C463" s="15" t="n"/>
      <c r="D463" s="15" t="n"/>
      <c r="E463" s="25" t="n"/>
      <c r="F463" s="25">
        <f>IF(E463="","",E463*0.065)</f>
        <v/>
      </c>
      <c r="G463" s="25">
        <f>IF(E463="","",E463*0.03+0.25)</f>
        <v/>
      </c>
      <c r="H463" s="25" t="n"/>
      <c r="I463" s="25" t="n"/>
      <c r="J463" s="25" t="n"/>
      <c r="K463" s="25" t="n"/>
      <c r="L463" s="25" t="n"/>
      <c r="M463" s="25">
        <f>IF(E463="","",F463+G463+H463+I463+J463+K463+L463)</f>
        <v/>
      </c>
      <c r="N463" s="25">
        <f>IF(E463="","",E463-M463)</f>
        <v/>
      </c>
      <c r="O463" s="15" t="n"/>
    </row>
    <row r="464">
      <c r="A464" s="26" t="n"/>
      <c r="B464" s="14" t="n"/>
      <c r="C464" s="14" t="n"/>
      <c r="D464" s="14" t="n"/>
      <c r="E464" s="27" t="n"/>
      <c r="F464" s="27">
        <f>IF(E464="","",E464*0.065)</f>
        <v/>
      </c>
      <c r="G464" s="27">
        <f>IF(E464="","",E464*0.03+0.25)</f>
        <v/>
      </c>
      <c r="H464" s="27" t="n"/>
      <c r="I464" s="27" t="n"/>
      <c r="J464" s="27" t="n"/>
      <c r="K464" s="27" t="n"/>
      <c r="L464" s="27" t="n"/>
      <c r="M464" s="27">
        <f>IF(E464="","",F464+G464+H464+I464+J464+K464+L464)</f>
        <v/>
      </c>
      <c r="N464" s="27">
        <f>IF(E464="","",E464-M464)</f>
        <v/>
      </c>
      <c r="O464" s="14" t="n"/>
    </row>
    <row r="465">
      <c r="A465" s="24" t="n"/>
      <c r="B465" s="15" t="n"/>
      <c r="C465" s="15" t="n"/>
      <c r="D465" s="15" t="n"/>
      <c r="E465" s="25" t="n"/>
      <c r="F465" s="25">
        <f>IF(E465="","",E465*0.065)</f>
        <v/>
      </c>
      <c r="G465" s="25">
        <f>IF(E465="","",E465*0.03+0.25)</f>
        <v/>
      </c>
      <c r="H465" s="25" t="n"/>
      <c r="I465" s="25" t="n"/>
      <c r="J465" s="25" t="n"/>
      <c r="K465" s="25" t="n"/>
      <c r="L465" s="25" t="n"/>
      <c r="M465" s="25">
        <f>IF(E465="","",F465+G465+H465+I465+J465+K465+L465)</f>
        <v/>
      </c>
      <c r="N465" s="25">
        <f>IF(E465="","",E465-M465)</f>
        <v/>
      </c>
      <c r="O465" s="15" t="n"/>
    </row>
    <row r="466">
      <c r="A466" s="26" t="n"/>
      <c r="B466" s="14" t="n"/>
      <c r="C466" s="14" t="n"/>
      <c r="D466" s="14" t="n"/>
      <c r="E466" s="27" t="n"/>
      <c r="F466" s="27">
        <f>IF(E466="","",E466*0.065)</f>
        <v/>
      </c>
      <c r="G466" s="27">
        <f>IF(E466="","",E466*0.03+0.25)</f>
        <v/>
      </c>
      <c r="H466" s="27" t="n"/>
      <c r="I466" s="27" t="n"/>
      <c r="J466" s="27" t="n"/>
      <c r="K466" s="27" t="n"/>
      <c r="L466" s="27" t="n"/>
      <c r="M466" s="27">
        <f>IF(E466="","",F466+G466+H466+I466+J466+K466+L466)</f>
        <v/>
      </c>
      <c r="N466" s="27">
        <f>IF(E466="","",E466-M466)</f>
        <v/>
      </c>
      <c r="O466" s="14" t="n"/>
    </row>
    <row r="467">
      <c r="A467" s="24" t="n"/>
      <c r="B467" s="15" t="n"/>
      <c r="C467" s="15" t="n"/>
      <c r="D467" s="15" t="n"/>
      <c r="E467" s="25" t="n"/>
      <c r="F467" s="25">
        <f>IF(E467="","",E467*0.065)</f>
        <v/>
      </c>
      <c r="G467" s="25">
        <f>IF(E467="","",E467*0.03+0.25)</f>
        <v/>
      </c>
      <c r="H467" s="25" t="n"/>
      <c r="I467" s="25" t="n"/>
      <c r="J467" s="25" t="n"/>
      <c r="K467" s="25" t="n"/>
      <c r="L467" s="25" t="n"/>
      <c r="M467" s="25">
        <f>IF(E467="","",F467+G467+H467+I467+J467+K467+L467)</f>
        <v/>
      </c>
      <c r="N467" s="25">
        <f>IF(E467="","",E467-M467)</f>
        <v/>
      </c>
      <c r="O467" s="15" t="n"/>
    </row>
    <row r="468">
      <c r="A468" s="26" t="n"/>
      <c r="B468" s="14" t="n"/>
      <c r="C468" s="14" t="n"/>
      <c r="D468" s="14" t="n"/>
      <c r="E468" s="27" t="n"/>
      <c r="F468" s="27">
        <f>IF(E468="","",E468*0.065)</f>
        <v/>
      </c>
      <c r="G468" s="27">
        <f>IF(E468="","",E468*0.03+0.25)</f>
        <v/>
      </c>
      <c r="H468" s="27" t="n"/>
      <c r="I468" s="27" t="n"/>
      <c r="J468" s="27" t="n"/>
      <c r="K468" s="27" t="n"/>
      <c r="L468" s="27" t="n"/>
      <c r="M468" s="27">
        <f>IF(E468="","",F468+G468+H468+I468+J468+K468+L468)</f>
        <v/>
      </c>
      <c r="N468" s="27">
        <f>IF(E468="","",E468-M468)</f>
        <v/>
      </c>
      <c r="O468" s="14" t="n"/>
    </row>
    <row r="469">
      <c r="A469" s="24" t="n"/>
      <c r="B469" s="15" t="n"/>
      <c r="C469" s="15" t="n"/>
      <c r="D469" s="15" t="n"/>
      <c r="E469" s="25" t="n"/>
      <c r="F469" s="25">
        <f>IF(E469="","",E469*0.065)</f>
        <v/>
      </c>
      <c r="G469" s="25">
        <f>IF(E469="","",E469*0.03+0.25)</f>
        <v/>
      </c>
      <c r="H469" s="25" t="n"/>
      <c r="I469" s="25" t="n"/>
      <c r="J469" s="25" t="n"/>
      <c r="K469" s="25" t="n"/>
      <c r="L469" s="25" t="n"/>
      <c r="M469" s="25">
        <f>IF(E469="","",F469+G469+H469+I469+J469+K469+L469)</f>
        <v/>
      </c>
      <c r="N469" s="25">
        <f>IF(E469="","",E469-M469)</f>
        <v/>
      </c>
      <c r="O469" s="15" t="n"/>
    </row>
    <row r="470">
      <c r="A470" s="26" t="n"/>
      <c r="B470" s="14" t="n"/>
      <c r="C470" s="14" t="n"/>
      <c r="D470" s="14" t="n"/>
      <c r="E470" s="27" t="n"/>
      <c r="F470" s="27">
        <f>IF(E470="","",E470*0.065)</f>
        <v/>
      </c>
      <c r="G470" s="27">
        <f>IF(E470="","",E470*0.03+0.25)</f>
        <v/>
      </c>
      <c r="H470" s="27" t="n"/>
      <c r="I470" s="27" t="n"/>
      <c r="J470" s="27" t="n"/>
      <c r="K470" s="27" t="n"/>
      <c r="L470" s="27" t="n"/>
      <c r="M470" s="27">
        <f>IF(E470="","",F470+G470+H470+I470+J470+K470+L470)</f>
        <v/>
      </c>
      <c r="N470" s="27">
        <f>IF(E470="","",E470-M470)</f>
        <v/>
      </c>
      <c r="O470" s="14" t="n"/>
    </row>
    <row r="471">
      <c r="A471" s="24" t="n"/>
      <c r="B471" s="15" t="n"/>
      <c r="C471" s="15" t="n"/>
      <c r="D471" s="15" t="n"/>
      <c r="E471" s="25" t="n"/>
      <c r="F471" s="25">
        <f>IF(E471="","",E471*0.065)</f>
        <v/>
      </c>
      <c r="G471" s="25">
        <f>IF(E471="","",E471*0.03+0.25)</f>
        <v/>
      </c>
      <c r="H471" s="25" t="n"/>
      <c r="I471" s="25" t="n"/>
      <c r="J471" s="25" t="n"/>
      <c r="K471" s="25" t="n"/>
      <c r="L471" s="25" t="n"/>
      <c r="M471" s="25">
        <f>IF(E471="","",F471+G471+H471+I471+J471+K471+L471)</f>
        <v/>
      </c>
      <c r="N471" s="25">
        <f>IF(E471="","",E471-M471)</f>
        <v/>
      </c>
      <c r="O471" s="15" t="n"/>
    </row>
    <row r="472">
      <c r="A472" s="26" t="n"/>
      <c r="B472" s="14" t="n"/>
      <c r="C472" s="14" t="n"/>
      <c r="D472" s="14" t="n"/>
      <c r="E472" s="27" t="n"/>
      <c r="F472" s="27">
        <f>IF(E472="","",E472*0.065)</f>
        <v/>
      </c>
      <c r="G472" s="27">
        <f>IF(E472="","",E472*0.03+0.25)</f>
        <v/>
      </c>
      <c r="H472" s="27" t="n"/>
      <c r="I472" s="27" t="n"/>
      <c r="J472" s="27" t="n"/>
      <c r="K472" s="27" t="n"/>
      <c r="L472" s="27" t="n"/>
      <c r="M472" s="27">
        <f>IF(E472="","",F472+G472+H472+I472+J472+K472+L472)</f>
        <v/>
      </c>
      <c r="N472" s="27">
        <f>IF(E472="","",E472-M472)</f>
        <v/>
      </c>
      <c r="O472" s="14" t="n"/>
    </row>
    <row r="473">
      <c r="A473" s="24" t="n"/>
      <c r="B473" s="15" t="n"/>
      <c r="C473" s="15" t="n"/>
      <c r="D473" s="15" t="n"/>
      <c r="E473" s="25" t="n"/>
      <c r="F473" s="25">
        <f>IF(E473="","",E473*0.065)</f>
        <v/>
      </c>
      <c r="G473" s="25">
        <f>IF(E473="","",E473*0.03+0.25)</f>
        <v/>
      </c>
      <c r="H473" s="25" t="n"/>
      <c r="I473" s="25" t="n"/>
      <c r="J473" s="25" t="n"/>
      <c r="K473" s="25" t="n"/>
      <c r="L473" s="25" t="n"/>
      <c r="M473" s="25">
        <f>IF(E473="","",F473+G473+H473+I473+J473+K473+L473)</f>
        <v/>
      </c>
      <c r="N473" s="25">
        <f>IF(E473="","",E473-M473)</f>
        <v/>
      </c>
      <c r="O473" s="15" t="n"/>
    </row>
    <row r="474">
      <c r="A474" s="26" t="n"/>
      <c r="B474" s="14" t="n"/>
      <c r="C474" s="14" t="n"/>
      <c r="D474" s="14" t="n"/>
      <c r="E474" s="27" t="n"/>
      <c r="F474" s="27">
        <f>IF(E474="","",E474*0.065)</f>
        <v/>
      </c>
      <c r="G474" s="27">
        <f>IF(E474="","",E474*0.03+0.25)</f>
        <v/>
      </c>
      <c r="H474" s="27" t="n"/>
      <c r="I474" s="27" t="n"/>
      <c r="J474" s="27" t="n"/>
      <c r="K474" s="27" t="n"/>
      <c r="L474" s="27" t="n"/>
      <c r="M474" s="27">
        <f>IF(E474="","",F474+G474+H474+I474+J474+K474+L474)</f>
        <v/>
      </c>
      <c r="N474" s="27">
        <f>IF(E474="","",E474-M474)</f>
        <v/>
      </c>
      <c r="O474" s="14" t="n"/>
    </row>
    <row r="475">
      <c r="A475" s="24" t="n"/>
      <c r="B475" s="15" t="n"/>
      <c r="C475" s="15" t="n"/>
      <c r="D475" s="15" t="n"/>
      <c r="E475" s="25" t="n"/>
      <c r="F475" s="25">
        <f>IF(E475="","",E475*0.065)</f>
        <v/>
      </c>
      <c r="G475" s="25">
        <f>IF(E475="","",E475*0.03+0.25)</f>
        <v/>
      </c>
      <c r="H475" s="25" t="n"/>
      <c r="I475" s="25" t="n"/>
      <c r="J475" s="25" t="n"/>
      <c r="K475" s="25" t="n"/>
      <c r="L475" s="25" t="n"/>
      <c r="M475" s="25">
        <f>IF(E475="","",F475+G475+H475+I475+J475+K475+L475)</f>
        <v/>
      </c>
      <c r="N475" s="25">
        <f>IF(E475="","",E475-M475)</f>
        <v/>
      </c>
      <c r="O475" s="15" t="n"/>
    </row>
    <row r="476">
      <c r="A476" s="26" t="n"/>
      <c r="B476" s="14" t="n"/>
      <c r="C476" s="14" t="n"/>
      <c r="D476" s="14" t="n"/>
      <c r="E476" s="27" t="n"/>
      <c r="F476" s="27">
        <f>IF(E476="","",E476*0.065)</f>
        <v/>
      </c>
      <c r="G476" s="27">
        <f>IF(E476="","",E476*0.03+0.25)</f>
        <v/>
      </c>
      <c r="H476" s="27" t="n"/>
      <c r="I476" s="27" t="n"/>
      <c r="J476" s="27" t="n"/>
      <c r="K476" s="27" t="n"/>
      <c r="L476" s="27" t="n"/>
      <c r="M476" s="27">
        <f>IF(E476="","",F476+G476+H476+I476+J476+K476+L476)</f>
        <v/>
      </c>
      <c r="N476" s="27">
        <f>IF(E476="","",E476-M476)</f>
        <v/>
      </c>
      <c r="O476" s="14" t="n"/>
    </row>
    <row r="477">
      <c r="A477" s="24" t="n"/>
      <c r="B477" s="15" t="n"/>
      <c r="C477" s="15" t="n"/>
      <c r="D477" s="15" t="n"/>
      <c r="E477" s="25" t="n"/>
      <c r="F477" s="25">
        <f>IF(E477="","",E477*0.065)</f>
        <v/>
      </c>
      <c r="G477" s="25">
        <f>IF(E477="","",E477*0.03+0.25)</f>
        <v/>
      </c>
      <c r="H477" s="25" t="n"/>
      <c r="I477" s="25" t="n"/>
      <c r="J477" s="25" t="n"/>
      <c r="K477" s="25" t="n"/>
      <c r="L477" s="25" t="n"/>
      <c r="M477" s="25">
        <f>IF(E477="","",F477+G477+H477+I477+J477+K477+L477)</f>
        <v/>
      </c>
      <c r="N477" s="25">
        <f>IF(E477="","",E477-M477)</f>
        <v/>
      </c>
      <c r="O477" s="15" t="n"/>
    </row>
    <row r="478">
      <c r="A478" s="26" t="n"/>
      <c r="B478" s="14" t="n"/>
      <c r="C478" s="14" t="n"/>
      <c r="D478" s="14" t="n"/>
      <c r="E478" s="27" t="n"/>
      <c r="F478" s="27">
        <f>IF(E478="","",E478*0.065)</f>
        <v/>
      </c>
      <c r="G478" s="27">
        <f>IF(E478="","",E478*0.03+0.25)</f>
        <v/>
      </c>
      <c r="H478" s="27" t="n"/>
      <c r="I478" s="27" t="n"/>
      <c r="J478" s="27" t="n"/>
      <c r="K478" s="27" t="n"/>
      <c r="L478" s="27" t="n"/>
      <c r="M478" s="27">
        <f>IF(E478="","",F478+G478+H478+I478+J478+K478+L478)</f>
        <v/>
      </c>
      <c r="N478" s="27">
        <f>IF(E478="","",E478-M478)</f>
        <v/>
      </c>
      <c r="O478" s="14" t="n"/>
    </row>
    <row r="479">
      <c r="A479" s="24" t="n"/>
      <c r="B479" s="15" t="n"/>
      <c r="C479" s="15" t="n"/>
      <c r="D479" s="15" t="n"/>
      <c r="E479" s="25" t="n"/>
      <c r="F479" s="25">
        <f>IF(E479="","",E479*0.065)</f>
        <v/>
      </c>
      <c r="G479" s="25">
        <f>IF(E479="","",E479*0.03+0.25)</f>
        <v/>
      </c>
      <c r="H479" s="25" t="n"/>
      <c r="I479" s="25" t="n"/>
      <c r="J479" s="25" t="n"/>
      <c r="K479" s="25" t="n"/>
      <c r="L479" s="25" t="n"/>
      <c r="M479" s="25">
        <f>IF(E479="","",F479+G479+H479+I479+J479+K479+L479)</f>
        <v/>
      </c>
      <c r="N479" s="25">
        <f>IF(E479="","",E479-M479)</f>
        <v/>
      </c>
      <c r="O479" s="15" t="n"/>
    </row>
    <row r="480">
      <c r="A480" s="26" t="n"/>
      <c r="B480" s="14" t="n"/>
      <c r="C480" s="14" t="n"/>
      <c r="D480" s="14" t="n"/>
      <c r="E480" s="27" t="n"/>
      <c r="F480" s="27">
        <f>IF(E480="","",E480*0.065)</f>
        <v/>
      </c>
      <c r="G480" s="27">
        <f>IF(E480="","",E480*0.03+0.25)</f>
        <v/>
      </c>
      <c r="H480" s="27" t="n"/>
      <c r="I480" s="27" t="n"/>
      <c r="J480" s="27" t="n"/>
      <c r="K480" s="27" t="n"/>
      <c r="L480" s="27" t="n"/>
      <c r="M480" s="27">
        <f>IF(E480="","",F480+G480+H480+I480+J480+K480+L480)</f>
        <v/>
      </c>
      <c r="N480" s="27">
        <f>IF(E480="","",E480-M480)</f>
        <v/>
      </c>
      <c r="O480" s="14" t="n"/>
    </row>
    <row r="481">
      <c r="A481" s="24" t="n"/>
      <c r="B481" s="15" t="n"/>
      <c r="C481" s="15" t="n"/>
      <c r="D481" s="15" t="n"/>
      <c r="E481" s="25" t="n"/>
      <c r="F481" s="25">
        <f>IF(E481="","",E481*0.065)</f>
        <v/>
      </c>
      <c r="G481" s="25">
        <f>IF(E481="","",E481*0.03+0.25)</f>
        <v/>
      </c>
      <c r="H481" s="25" t="n"/>
      <c r="I481" s="25" t="n"/>
      <c r="J481" s="25" t="n"/>
      <c r="K481" s="25" t="n"/>
      <c r="L481" s="25" t="n"/>
      <c r="M481" s="25">
        <f>IF(E481="","",F481+G481+H481+I481+J481+K481+L481)</f>
        <v/>
      </c>
      <c r="N481" s="25">
        <f>IF(E481="","",E481-M481)</f>
        <v/>
      </c>
      <c r="O481" s="15" t="n"/>
    </row>
    <row r="482">
      <c r="A482" s="26" t="n"/>
      <c r="B482" s="14" t="n"/>
      <c r="C482" s="14" t="n"/>
      <c r="D482" s="14" t="n"/>
      <c r="E482" s="27" t="n"/>
      <c r="F482" s="27">
        <f>IF(E482="","",E482*0.065)</f>
        <v/>
      </c>
      <c r="G482" s="27">
        <f>IF(E482="","",E482*0.03+0.25)</f>
        <v/>
      </c>
      <c r="H482" s="27" t="n"/>
      <c r="I482" s="27" t="n"/>
      <c r="J482" s="27" t="n"/>
      <c r="K482" s="27" t="n"/>
      <c r="L482" s="27" t="n"/>
      <c r="M482" s="27">
        <f>IF(E482="","",F482+G482+H482+I482+J482+K482+L482)</f>
        <v/>
      </c>
      <c r="N482" s="27">
        <f>IF(E482="","",E482-M482)</f>
        <v/>
      </c>
      <c r="O482" s="14" t="n"/>
    </row>
    <row r="483">
      <c r="A483" s="24" t="n"/>
      <c r="B483" s="15" t="n"/>
      <c r="C483" s="15" t="n"/>
      <c r="D483" s="15" t="n"/>
      <c r="E483" s="25" t="n"/>
      <c r="F483" s="25">
        <f>IF(E483="","",E483*0.065)</f>
        <v/>
      </c>
      <c r="G483" s="25">
        <f>IF(E483="","",E483*0.03+0.25)</f>
        <v/>
      </c>
      <c r="H483" s="25" t="n"/>
      <c r="I483" s="25" t="n"/>
      <c r="J483" s="25" t="n"/>
      <c r="K483" s="25" t="n"/>
      <c r="L483" s="25" t="n"/>
      <c r="M483" s="25">
        <f>IF(E483="","",F483+G483+H483+I483+J483+K483+L483)</f>
        <v/>
      </c>
      <c r="N483" s="25">
        <f>IF(E483="","",E483-M483)</f>
        <v/>
      </c>
      <c r="O483" s="15" t="n"/>
    </row>
    <row r="484">
      <c r="A484" s="26" t="n"/>
      <c r="B484" s="14" t="n"/>
      <c r="C484" s="14" t="n"/>
      <c r="D484" s="14" t="n"/>
      <c r="E484" s="27" t="n"/>
      <c r="F484" s="27">
        <f>IF(E484="","",E484*0.065)</f>
        <v/>
      </c>
      <c r="G484" s="27">
        <f>IF(E484="","",E484*0.03+0.25)</f>
        <v/>
      </c>
      <c r="H484" s="27" t="n"/>
      <c r="I484" s="27" t="n"/>
      <c r="J484" s="27" t="n"/>
      <c r="K484" s="27" t="n"/>
      <c r="L484" s="27" t="n"/>
      <c r="M484" s="27">
        <f>IF(E484="","",F484+G484+H484+I484+J484+K484+L484)</f>
        <v/>
      </c>
      <c r="N484" s="27">
        <f>IF(E484="","",E484-M484)</f>
        <v/>
      </c>
      <c r="O484" s="14" t="n"/>
    </row>
    <row r="485">
      <c r="A485" s="24" t="n"/>
      <c r="B485" s="15" t="n"/>
      <c r="C485" s="15" t="n"/>
      <c r="D485" s="15" t="n"/>
      <c r="E485" s="25" t="n"/>
      <c r="F485" s="25">
        <f>IF(E485="","",E485*0.065)</f>
        <v/>
      </c>
      <c r="G485" s="25">
        <f>IF(E485="","",E485*0.03+0.25)</f>
        <v/>
      </c>
      <c r="H485" s="25" t="n"/>
      <c r="I485" s="25" t="n"/>
      <c r="J485" s="25" t="n"/>
      <c r="K485" s="25" t="n"/>
      <c r="L485" s="25" t="n"/>
      <c r="M485" s="25">
        <f>IF(E485="","",F485+G485+H485+I485+J485+K485+L485)</f>
        <v/>
      </c>
      <c r="N485" s="25">
        <f>IF(E485="","",E485-M485)</f>
        <v/>
      </c>
      <c r="O485" s="15" t="n"/>
    </row>
    <row r="486">
      <c r="A486" s="26" t="n"/>
      <c r="B486" s="14" t="n"/>
      <c r="C486" s="14" t="n"/>
      <c r="D486" s="14" t="n"/>
      <c r="E486" s="27" t="n"/>
      <c r="F486" s="27">
        <f>IF(E486="","",E486*0.065)</f>
        <v/>
      </c>
      <c r="G486" s="27">
        <f>IF(E486="","",E486*0.03+0.25)</f>
        <v/>
      </c>
      <c r="H486" s="27" t="n"/>
      <c r="I486" s="27" t="n"/>
      <c r="J486" s="27" t="n"/>
      <c r="K486" s="27" t="n"/>
      <c r="L486" s="27" t="n"/>
      <c r="M486" s="27">
        <f>IF(E486="","",F486+G486+H486+I486+J486+K486+L486)</f>
        <v/>
      </c>
      <c r="N486" s="27">
        <f>IF(E486="","",E486-M486)</f>
        <v/>
      </c>
      <c r="O486" s="14" t="n"/>
    </row>
    <row r="487">
      <c r="A487" s="24" t="n"/>
      <c r="B487" s="15" t="n"/>
      <c r="C487" s="15" t="n"/>
      <c r="D487" s="15" t="n"/>
      <c r="E487" s="25" t="n"/>
      <c r="F487" s="25">
        <f>IF(E487="","",E487*0.065)</f>
        <v/>
      </c>
      <c r="G487" s="25">
        <f>IF(E487="","",E487*0.03+0.25)</f>
        <v/>
      </c>
      <c r="H487" s="25" t="n"/>
      <c r="I487" s="25" t="n"/>
      <c r="J487" s="25" t="n"/>
      <c r="K487" s="25" t="n"/>
      <c r="L487" s="25" t="n"/>
      <c r="M487" s="25">
        <f>IF(E487="","",F487+G487+H487+I487+J487+K487+L487)</f>
        <v/>
      </c>
      <c r="N487" s="25">
        <f>IF(E487="","",E487-M487)</f>
        <v/>
      </c>
      <c r="O487" s="15" t="n"/>
    </row>
    <row r="488">
      <c r="A488" s="26" t="n"/>
      <c r="B488" s="14" t="n"/>
      <c r="C488" s="14" t="n"/>
      <c r="D488" s="14" t="n"/>
      <c r="E488" s="27" t="n"/>
      <c r="F488" s="27">
        <f>IF(E488="","",E488*0.065)</f>
        <v/>
      </c>
      <c r="G488" s="27">
        <f>IF(E488="","",E488*0.03+0.25)</f>
        <v/>
      </c>
      <c r="H488" s="27" t="n"/>
      <c r="I488" s="27" t="n"/>
      <c r="J488" s="27" t="n"/>
      <c r="K488" s="27" t="n"/>
      <c r="L488" s="27" t="n"/>
      <c r="M488" s="27">
        <f>IF(E488="","",F488+G488+H488+I488+J488+K488+L488)</f>
        <v/>
      </c>
      <c r="N488" s="27">
        <f>IF(E488="","",E488-M488)</f>
        <v/>
      </c>
      <c r="O488" s="14" t="n"/>
    </row>
    <row r="489">
      <c r="A489" s="24" t="n"/>
      <c r="B489" s="15" t="n"/>
      <c r="C489" s="15" t="n"/>
      <c r="D489" s="15" t="n"/>
      <c r="E489" s="25" t="n"/>
      <c r="F489" s="25">
        <f>IF(E489="","",E489*0.065)</f>
        <v/>
      </c>
      <c r="G489" s="25">
        <f>IF(E489="","",E489*0.03+0.25)</f>
        <v/>
      </c>
      <c r="H489" s="25" t="n"/>
      <c r="I489" s="25" t="n"/>
      <c r="J489" s="25" t="n"/>
      <c r="K489" s="25" t="n"/>
      <c r="L489" s="25" t="n"/>
      <c r="M489" s="25">
        <f>IF(E489="","",F489+G489+H489+I489+J489+K489+L489)</f>
        <v/>
      </c>
      <c r="N489" s="25">
        <f>IF(E489="","",E489-M489)</f>
        <v/>
      </c>
      <c r="O489" s="15" t="n"/>
    </row>
    <row r="490">
      <c r="A490" s="26" t="n"/>
      <c r="B490" s="14" t="n"/>
      <c r="C490" s="14" t="n"/>
      <c r="D490" s="14" t="n"/>
      <c r="E490" s="27" t="n"/>
      <c r="F490" s="27">
        <f>IF(E490="","",E490*0.065)</f>
        <v/>
      </c>
      <c r="G490" s="27">
        <f>IF(E490="","",E490*0.03+0.25)</f>
        <v/>
      </c>
      <c r="H490" s="27" t="n"/>
      <c r="I490" s="27" t="n"/>
      <c r="J490" s="27" t="n"/>
      <c r="K490" s="27" t="n"/>
      <c r="L490" s="27" t="n"/>
      <c r="M490" s="27">
        <f>IF(E490="","",F490+G490+H490+I490+J490+K490+L490)</f>
        <v/>
      </c>
      <c r="N490" s="27">
        <f>IF(E490="","",E490-M490)</f>
        <v/>
      </c>
      <c r="O490" s="14" t="n"/>
    </row>
    <row r="491">
      <c r="A491" s="24" t="n"/>
      <c r="B491" s="15" t="n"/>
      <c r="C491" s="15" t="n"/>
      <c r="D491" s="15" t="n"/>
      <c r="E491" s="25" t="n"/>
      <c r="F491" s="25">
        <f>IF(E491="","",E491*0.065)</f>
        <v/>
      </c>
      <c r="G491" s="25">
        <f>IF(E491="","",E491*0.03+0.25)</f>
        <v/>
      </c>
      <c r="H491" s="25" t="n"/>
      <c r="I491" s="25" t="n"/>
      <c r="J491" s="25" t="n"/>
      <c r="K491" s="25" t="n"/>
      <c r="L491" s="25" t="n"/>
      <c r="M491" s="25">
        <f>IF(E491="","",F491+G491+H491+I491+J491+K491+L491)</f>
        <v/>
      </c>
      <c r="N491" s="25">
        <f>IF(E491="","",E491-M491)</f>
        <v/>
      </c>
      <c r="O491" s="15" t="n"/>
    </row>
    <row r="492">
      <c r="A492" s="26" t="n"/>
      <c r="B492" s="14" t="n"/>
      <c r="C492" s="14" t="n"/>
      <c r="D492" s="14" t="n"/>
      <c r="E492" s="27" t="n"/>
      <c r="F492" s="27">
        <f>IF(E492="","",E492*0.065)</f>
        <v/>
      </c>
      <c r="G492" s="27">
        <f>IF(E492="","",E492*0.03+0.25)</f>
        <v/>
      </c>
      <c r="H492" s="27" t="n"/>
      <c r="I492" s="27" t="n"/>
      <c r="J492" s="27" t="n"/>
      <c r="K492" s="27" t="n"/>
      <c r="L492" s="27" t="n"/>
      <c r="M492" s="27">
        <f>IF(E492="","",F492+G492+H492+I492+J492+K492+L492)</f>
        <v/>
      </c>
      <c r="N492" s="27">
        <f>IF(E492="","",E492-M492)</f>
        <v/>
      </c>
      <c r="O492" s="14" t="n"/>
    </row>
    <row r="493">
      <c r="A493" s="24" t="n"/>
      <c r="B493" s="15" t="n"/>
      <c r="C493" s="15" t="n"/>
      <c r="D493" s="15" t="n"/>
      <c r="E493" s="25" t="n"/>
      <c r="F493" s="25">
        <f>IF(E493="","",E493*0.065)</f>
        <v/>
      </c>
      <c r="G493" s="25">
        <f>IF(E493="","",E493*0.03+0.25)</f>
        <v/>
      </c>
      <c r="H493" s="25" t="n"/>
      <c r="I493" s="25" t="n"/>
      <c r="J493" s="25" t="n"/>
      <c r="K493" s="25" t="n"/>
      <c r="L493" s="25" t="n"/>
      <c r="M493" s="25">
        <f>IF(E493="","",F493+G493+H493+I493+J493+K493+L493)</f>
        <v/>
      </c>
      <c r="N493" s="25">
        <f>IF(E493="","",E493-M493)</f>
        <v/>
      </c>
      <c r="O493" s="15" t="n"/>
    </row>
    <row r="494">
      <c r="A494" s="26" t="n"/>
      <c r="B494" s="14" t="n"/>
      <c r="C494" s="14" t="n"/>
      <c r="D494" s="14" t="n"/>
      <c r="E494" s="27" t="n"/>
      <c r="F494" s="27">
        <f>IF(E494="","",E494*0.065)</f>
        <v/>
      </c>
      <c r="G494" s="27">
        <f>IF(E494="","",E494*0.03+0.25)</f>
        <v/>
      </c>
      <c r="H494" s="27" t="n"/>
      <c r="I494" s="27" t="n"/>
      <c r="J494" s="27" t="n"/>
      <c r="K494" s="27" t="n"/>
      <c r="L494" s="27" t="n"/>
      <c r="M494" s="27">
        <f>IF(E494="","",F494+G494+H494+I494+J494+K494+L494)</f>
        <v/>
      </c>
      <c r="N494" s="27">
        <f>IF(E494="","",E494-M494)</f>
        <v/>
      </c>
      <c r="O494" s="14" t="n"/>
    </row>
    <row r="495">
      <c r="A495" s="24" t="n"/>
      <c r="B495" s="15" t="n"/>
      <c r="C495" s="15" t="n"/>
      <c r="D495" s="15" t="n"/>
      <c r="E495" s="25" t="n"/>
      <c r="F495" s="25">
        <f>IF(E495="","",E495*0.065)</f>
        <v/>
      </c>
      <c r="G495" s="25">
        <f>IF(E495="","",E495*0.03+0.25)</f>
        <v/>
      </c>
      <c r="H495" s="25" t="n"/>
      <c r="I495" s="25" t="n"/>
      <c r="J495" s="25" t="n"/>
      <c r="K495" s="25" t="n"/>
      <c r="L495" s="25" t="n"/>
      <c r="M495" s="25">
        <f>IF(E495="","",F495+G495+H495+I495+J495+K495+L495)</f>
        <v/>
      </c>
      <c r="N495" s="25">
        <f>IF(E495="","",E495-M495)</f>
        <v/>
      </c>
      <c r="O495" s="15" t="n"/>
    </row>
    <row r="496">
      <c r="A496" s="26" t="n"/>
      <c r="B496" s="14" t="n"/>
      <c r="C496" s="14" t="n"/>
      <c r="D496" s="14" t="n"/>
      <c r="E496" s="27" t="n"/>
      <c r="F496" s="27">
        <f>IF(E496="","",E496*0.065)</f>
        <v/>
      </c>
      <c r="G496" s="27">
        <f>IF(E496="","",E496*0.03+0.25)</f>
        <v/>
      </c>
      <c r="H496" s="27" t="n"/>
      <c r="I496" s="27" t="n"/>
      <c r="J496" s="27" t="n"/>
      <c r="K496" s="27" t="n"/>
      <c r="L496" s="27" t="n"/>
      <c r="M496" s="27">
        <f>IF(E496="","",F496+G496+H496+I496+J496+K496+L496)</f>
        <v/>
      </c>
      <c r="N496" s="27">
        <f>IF(E496="","",E496-M496)</f>
        <v/>
      </c>
      <c r="O496" s="14" t="n"/>
    </row>
    <row r="497">
      <c r="A497" s="24" t="n"/>
      <c r="B497" s="15" t="n"/>
      <c r="C497" s="15" t="n"/>
      <c r="D497" s="15" t="n"/>
      <c r="E497" s="25" t="n"/>
      <c r="F497" s="25">
        <f>IF(E497="","",E497*0.065)</f>
        <v/>
      </c>
      <c r="G497" s="25">
        <f>IF(E497="","",E497*0.03+0.25)</f>
        <v/>
      </c>
      <c r="H497" s="25" t="n"/>
      <c r="I497" s="25" t="n"/>
      <c r="J497" s="25" t="n"/>
      <c r="K497" s="25" t="n"/>
      <c r="L497" s="25" t="n"/>
      <c r="M497" s="25">
        <f>IF(E497="","",F497+G497+H497+I497+J497+K497+L497)</f>
        <v/>
      </c>
      <c r="N497" s="25">
        <f>IF(E497="","",E497-M497)</f>
        <v/>
      </c>
      <c r="O497" s="15" t="n"/>
    </row>
    <row r="498">
      <c r="A498" s="26" t="n"/>
      <c r="B498" s="14" t="n"/>
      <c r="C498" s="14" t="n"/>
      <c r="D498" s="14" t="n"/>
      <c r="E498" s="27" t="n"/>
      <c r="F498" s="27">
        <f>IF(E498="","",E498*0.065)</f>
        <v/>
      </c>
      <c r="G498" s="27">
        <f>IF(E498="","",E498*0.03+0.25)</f>
        <v/>
      </c>
      <c r="H498" s="27" t="n"/>
      <c r="I498" s="27" t="n"/>
      <c r="J498" s="27" t="n"/>
      <c r="K498" s="27" t="n"/>
      <c r="L498" s="27" t="n"/>
      <c r="M498" s="27">
        <f>IF(E498="","",F498+G498+H498+I498+J498+K498+L498)</f>
        <v/>
      </c>
      <c r="N498" s="27">
        <f>IF(E498="","",E498-M498)</f>
        <v/>
      </c>
      <c r="O498" s="14" t="n"/>
    </row>
    <row r="499">
      <c r="A499" s="24" t="n"/>
      <c r="B499" s="15" t="n"/>
      <c r="C499" s="15" t="n"/>
      <c r="D499" s="15" t="n"/>
      <c r="E499" s="25" t="n"/>
      <c r="F499" s="25">
        <f>IF(E499="","",E499*0.065)</f>
        <v/>
      </c>
      <c r="G499" s="25">
        <f>IF(E499="","",E499*0.03+0.25)</f>
        <v/>
      </c>
      <c r="H499" s="25" t="n"/>
      <c r="I499" s="25" t="n"/>
      <c r="J499" s="25" t="n"/>
      <c r="K499" s="25" t="n"/>
      <c r="L499" s="25" t="n"/>
      <c r="M499" s="25">
        <f>IF(E499="","",F499+G499+H499+I499+J499+K499+L499)</f>
        <v/>
      </c>
      <c r="N499" s="25">
        <f>IF(E499="","",E499-M499)</f>
        <v/>
      </c>
      <c r="O499" s="15" t="n"/>
    </row>
    <row r="500">
      <c r="A500" s="26" t="n"/>
      <c r="B500" s="14" t="n"/>
      <c r="C500" s="14" t="n"/>
      <c r="D500" s="14" t="n"/>
      <c r="E500" s="27" t="n"/>
      <c r="F500" s="27">
        <f>IF(E500="","",E500*0.065)</f>
        <v/>
      </c>
      <c r="G500" s="27">
        <f>IF(E500="","",E500*0.03+0.25)</f>
        <v/>
      </c>
      <c r="H500" s="27" t="n"/>
      <c r="I500" s="27" t="n"/>
      <c r="J500" s="27" t="n"/>
      <c r="K500" s="27" t="n"/>
      <c r="L500" s="27" t="n"/>
      <c r="M500" s="27">
        <f>IF(E500="","",F500+G500+H500+I500+J500+K500+L500)</f>
        <v/>
      </c>
      <c r="N500" s="27">
        <f>IF(E500="","",E500-M500)</f>
        <v/>
      </c>
      <c r="O500" s="14" t="n"/>
    </row>
    <row r="501">
      <c r="A501" s="24" t="n"/>
      <c r="B501" s="15" t="n"/>
      <c r="C501" s="15" t="n"/>
      <c r="D501" s="15" t="n"/>
      <c r="E501" s="25" t="n"/>
      <c r="F501" s="25">
        <f>IF(E501="","",E501*0.065)</f>
        <v/>
      </c>
      <c r="G501" s="25">
        <f>IF(E501="","",E501*0.03+0.25)</f>
        <v/>
      </c>
      <c r="H501" s="25" t="n"/>
      <c r="I501" s="25" t="n"/>
      <c r="J501" s="25" t="n"/>
      <c r="K501" s="25" t="n"/>
      <c r="L501" s="25" t="n"/>
      <c r="M501" s="25">
        <f>IF(E501="","",F501+G501+H501+I501+J501+K501+L501)</f>
        <v/>
      </c>
      <c r="N501" s="25">
        <f>IF(E501="","",E501-M501)</f>
        <v/>
      </c>
      <c r="O501" s="15" t="n"/>
    </row>
    <row r="502">
      <c r="A502" s="26" t="n"/>
      <c r="B502" s="14" t="n"/>
      <c r="C502" s="14" t="n"/>
      <c r="D502" s="14" t="n"/>
      <c r="E502" s="27" t="n"/>
      <c r="F502" s="27">
        <f>IF(E502="","",E502*0.065)</f>
        <v/>
      </c>
      <c r="G502" s="27">
        <f>IF(E502="","",E502*0.03+0.25)</f>
        <v/>
      </c>
      <c r="H502" s="27" t="n"/>
      <c r="I502" s="27" t="n"/>
      <c r="J502" s="27" t="n"/>
      <c r="K502" s="27" t="n"/>
      <c r="L502" s="27" t="n"/>
      <c r="M502" s="27">
        <f>IF(E502="","",F502+G502+H502+I502+J502+K502+L502)</f>
        <v/>
      </c>
      <c r="N502" s="27">
        <f>IF(E502="","",E502-M502)</f>
        <v/>
      </c>
      <c r="O502" s="14" t="n"/>
    </row>
    <row r="503">
      <c r="A503" s="24" t="n"/>
      <c r="B503" s="15" t="n"/>
      <c r="C503" s="15" t="n"/>
      <c r="D503" s="15" t="n"/>
      <c r="E503" s="25" t="n"/>
      <c r="F503" s="25">
        <f>IF(E503="","",E503*0.065)</f>
        <v/>
      </c>
      <c r="G503" s="25">
        <f>IF(E503="","",E503*0.03+0.25)</f>
        <v/>
      </c>
      <c r="H503" s="25" t="n"/>
      <c r="I503" s="25" t="n"/>
      <c r="J503" s="25" t="n"/>
      <c r="K503" s="25" t="n"/>
      <c r="L503" s="25" t="n"/>
      <c r="M503" s="25">
        <f>IF(E503="","",F503+G503+H503+I503+J503+K503+L503)</f>
        <v/>
      </c>
      <c r="N503" s="25">
        <f>IF(E503="","",E503-M503)</f>
        <v/>
      </c>
      <c r="O503" s="15" t="n"/>
    </row>
    <row r="504">
      <c r="A504" s="26" t="n"/>
      <c r="B504" s="14" t="n"/>
      <c r="C504" s="14" t="n"/>
      <c r="D504" s="14" t="n"/>
      <c r="E504" s="27" t="n"/>
      <c r="F504" s="27">
        <f>IF(E504="","",E504*0.065)</f>
        <v/>
      </c>
      <c r="G504" s="27">
        <f>IF(E504="","",E504*0.03+0.25)</f>
        <v/>
      </c>
      <c r="H504" s="27" t="n"/>
      <c r="I504" s="27" t="n"/>
      <c r="J504" s="27" t="n"/>
      <c r="K504" s="27" t="n"/>
      <c r="L504" s="27" t="n"/>
      <c r="M504" s="27">
        <f>IF(E504="","",F504+G504+H504+I504+J504+K504+L504)</f>
        <v/>
      </c>
      <c r="N504" s="27">
        <f>IF(E504="","",E504-M504)</f>
        <v/>
      </c>
      <c r="O504" s="14" t="n"/>
    </row>
    <row r="505">
      <c r="A505" s="24" t="n"/>
      <c r="B505" s="15" t="n"/>
      <c r="C505" s="15" t="n"/>
      <c r="D505" s="15" t="n"/>
      <c r="E505" s="25" t="n"/>
      <c r="F505" s="25">
        <f>IF(E505="","",E505*0.065)</f>
        <v/>
      </c>
      <c r="G505" s="25">
        <f>IF(E505="","",E505*0.03+0.25)</f>
        <v/>
      </c>
      <c r="H505" s="25" t="n"/>
      <c r="I505" s="25" t="n"/>
      <c r="J505" s="25" t="n"/>
      <c r="K505" s="25" t="n"/>
      <c r="L505" s="25" t="n"/>
      <c r="M505" s="25">
        <f>IF(E505="","",F505+G505+H505+I505+J505+K505+L505)</f>
        <v/>
      </c>
      <c r="N505" s="25">
        <f>IF(E505="","",E505-M505)</f>
        <v/>
      </c>
      <c r="O505" s="15" t="n"/>
    </row>
    <row r="506">
      <c r="A506" s="26" t="n"/>
      <c r="B506" s="14" t="n"/>
      <c r="C506" s="14" t="n"/>
      <c r="D506" s="14" t="n"/>
      <c r="E506" s="27" t="n"/>
      <c r="F506" s="27">
        <f>IF(E506="","",E506*0.065)</f>
        <v/>
      </c>
      <c r="G506" s="27">
        <f>IF(E506="","",E506*0.03+0.25)</f>
        <v/>
      </c>
      <c r="H506" s="27" t="n"/>
      <c r="I506" s="27" t="n"/>
      <c r="J506" s="27" t="n"/>
      <c r="K506" s="27" t="n"/>
      <c r="L506" s="27" t="n"/>
      <c r="M506" s="27">
        <f>IF(E506="","",F506+G506+H506+I506+J506+K506+L506)</f>
        <v/>
      </c>
      <c r="N506" s="27">
        <f>IF(E506="","",E506-M506)</f>
        <v/>
      </c>
      <c r="O506" s="14" t="n"/>
    </row>
    <row r="507">
      <c r="A507" s="24" t="n"/>
      <c r="B507" s="15" t="n"/>
      <c r="C507" s="15" t="n"/>
      <c r="D507" s="15" t="n"/>
      <c r="E507" s="25" t="n"/>
      <c r="F507" s="25">
        <f>IF(E507="","",E507*0.065)</f>
        <v/>
      </c>
      <c r="G507" s="25">
        <f>IF(E507="","",E507*0.03+0.25)</f>
        <v/>
      </c>
      <c r="H507" s="25" t="n"/>
      <c r="I507" s="25" t="n"/>
      <c r="J507" s="25" t="n"/>
      <c r="K507" s="25" t="n"/>
      <c r="L507" s="25" t="n"/>
      <c r="M507" s="25">
        <f>IF(E507="","",F507+G507+H507+I507+J507+K507+L507)</f>
        <v/>
      </c>
      <c r="N507" s="25">
        <f>IF(E507="","",E507-M507)</f>
        <v/>
      </c>
      <c r="O507" s="15" t="n"/>
    </row>
    <row r="508">
      <c r="A508" s="26" t="n"/>
      <c r="B508" s="14" t="n"/>
      <c r="C508" s="14" t="n"/>
      <c r="D508" s="14" t="n"/>
      <c r="E508" s="27" t="n"/>
      <c r="F508" s="27">
        <f>IF(E508="","",E508*0.065)</f>
        <v/>
      </c>
      <c r="G508" s="27">
        <f>IF(E508="","",E508*0.03+0.25)</f>
        <v/>
      </c>
      <c r="H508" s="27" t="n"/>
      <c r="I508" s="27" t="n"/>
      <c r="J508" s="27" t="n"/>
      <c r="K508" s="27" t="n"/>
      <c r="L508" s="27" t="n"/>
      <c r="M508" s="27">
        <f>IF(E508="","",F508+G508+H508+I508+J508+K508+L508)</f>
        <v/>
      </c>
      <c r="N508" s="27">
        <f>IF(E508="","",E508-M508)</f>
        <v/>
      </c>
      <c r="O508" s="14" t="n"/>
    </row>
    <row r="509">
      <c r="A509" s="24" t="n"/>
      <c r="B509" s="15" t="n"/>
      <c r="C509" s="15" t="n"/>
      <c r="D509" s="15" t="n"/>
      <c r="E509" s="25" t="n"/>
      <c r="F509" s="25">
        <f>IF(E509="","",E509*0.065)</f>
        <v/>
      </c>
      <c r="G509" s="25">
        <f>IF(E509="","",E509*0.03+0.25)</f>
        <v/>
      </c>
      <c r="H509" s="25" t="n"/>
      <c r="I509" s="25" t="n"/>
      <c r="J509" s="25" t="n"/>
      <c r="K509" s="25" t="n"/>
      <c r="L509" s="25" t="n"/>
      <c r="M509" s="25">
        <f>IF(E509="","",F509+G509+H509+I509+J509+K509+L509)</f>
        <v/>
      </c>
      <c r="N509" s="25">
        <f>IF(E509="","",E509-M509)</f>
        <v/>
      </c>
      <c r="O509" s="15" t="n"/>
    </row>
    <row r="510">
      <c r="A510" s="26" t="n"/>
      <c r="B510" s="14" t="n"/>
      <c r="C510" s="14" t="n"/>
      <c r="D510" s="14" t="n"/>
      <c r="E510" s="27" t="n"/>
      <c r="F510" s="27">
        <f>IF(E510="","",E510*0.065)</f>
        <v/>
      </c>
      <c r="G510" s="27">
        <f>IF(E510="","",E510*0.03+0.25)</f>
        <v/>
      </c>
      <c r="H510" s="27" t="n"/>
      <c r="I510" s="27" t="n"/>
      <c r="J510" s="27" t="n"/>
      <c r="K510" s="27" t="n"/>
      <c r="L510" s="27" t="n"/>
      <c r="M510" s="27">
        <f>IF(E510="","",F510+G510+H510+I510+J510+K510+L510)</f>
        <v/>
      </c>
      <c r="N510" s="27">
        <f>IF(E510="","",E510-M510)</f>
        <v/>
      </c>
      <c r="O510" s="14" t="n"/>
    </row>
    <row r="511">
      <c r="A511" s="24" t="n"/>
      <c r="B511" s="15" t="n"/>
      <c r="C511" s="15" t="n"/>
      <c r="D511" s="15" t="n"/>
      <c r="E511" s="25" t="n"/>
      <c r="F511" s="25">
        <f>IF(E511="","",E511*0.065)</f>
        <v/>
      </c>
      <c r="G511" s="25">
        <f>IF(E511="","",E511*0.03+0.25)</f>
        <v/>
      </c>
      <c r="H511" s="25" t="n"/>
      <c r="I511" s="25" t="n"/>
      <c r="J511" s="25" t="n"/>
      <c r="K511" s="25" t="n"/>
      <c r="L511" s="25" t="n"/>
      <c r="M511" s="25">
        <f>IF(E511="","",F511+G511+H511+I511+J511+K511+L511)</f>
        <v/>
      </c>
      <c r="N511" s="25">
        <f>IF(E511="","",E511-M511)</f>
        <v/>
      </c>
      <c r="O511" s="15" t="n"/>
    </row>
    <row r="512">
      <c r="A512" s="26" t="n"/>
      <c r="B512" s="14" t="n"/>
      <c r="C512" s="14" t="n"/>
      <c r="D512" s="14" t="n"/>
      <c r="E512" s="27" t="n"/>
      <c r="F512" s="27">
        <f>IF(E512="","",E512*0.065)</f>
        <v/>
      </c>
      <c r="G512" s="27">
        <f>IF(E512="","",E512*0.03+0.25)</f>
        <v/>
      </c>
      <c r="H512" s="27" t="n"/>
      <c r="I512" s="27" t="n"/>
      <c r="J512" s="27" t="n"/>
      <c r="K512" s="27" t="n"/>
      <c r="L512" s="27" t="n"/>
      <c r="M512" s="27">
        <f>IF(E512="","",F512+G512+H512+I512+J512+K512+L512)</f>
        <v/>
      </c>
      <c r="N512" s="27">
        <f>IF(E512="","",E512-M512)</f>
        <v/>
      </c>
      <c r="O512" s="14" t="n"/>
    </row>
    <row r="513">
      <c r="A513" s="24" t="n"/>
      <c r="B513" s="15" t="n"/>
      <c r="C513" s="15" t="n"/>
      <c r="D513" s="15" t="n"/>
      <c r="E513" s="25" t="n"/>
      <c r="F513" s="25">
        <f>IF(E513="","",E513*0.065)</f>
        <v/>
      </c>
      <c r="G513" s="25">
        <f>IF(E513="","",E513*0.03+0.25)</f>
        <v/>
      </c>
      <c r="H513" s="25" t="n"/>
      <c r="I513" s="25" t="n"/>
      <c r="J513" s="25" t="n"/>
      <c r="K513" s="25" t="n"/>
      <c r="L513" s="25" t="n"/>
      <c r="M513" s="25">
        <f>IF(E513="","",F513+G513+H513+I513+J513+K513+L513)</f>
        <v/>
      </c>
      <c r="N513" s="25">
        <f>IF(E513="","",E513-M513)</f>
        <v/>
      </c>
      <c r="O513" s="15" t="n"/>
    </row>
    <row r="514">
      <c r="A514" s="26" t="n"/>
      <c r="B514" s="14" t="n"/>
      <c r="C514" s="14" t="n"/>
      <c r="D514" s="14" t="n"/>
      <c r="E514" s="27" t="n"/>
      <c r="F514" s="27">
        <f>IF(E514="","",E514*0.065)</f>
        <v/>
      </c>
      <c r="G514" s="27">
        <f>IF(E514="","",E514*0.03+0.25)</f>
        <v/>
      </c>
      <c r="H514" s="27" t="n"/>
      <c r="I514" s="27" t="n"/>
      <c r="J514" s="27" t="n"/>
      <c r="K514" s="27" t="n"/>
      <c r="L514" s="27" t="n"/>
      <c r="M514" s="27">
        <f>IF(E514="","",F514+G514+H514+I514+J514+K514+L514)</f>
        <v/>
      </c>
      <c r="N514" s="27">
        <f>IF(E514="","",E514-M514)</f>
        <v/>
      </c>
      <c r="O514" s="14" t="n"/>
    </row>
    <row r="515">
      <c r="A515" s="24" t="n"/>
      <c r="B515" s="15" t="n"/>
      <c r="C515" s="15" t="n"/>
      <c r="D515" s="15" t="n"/>
      <c r="E515" s="25" t="n"/>
      <c r="F515" s="25">
        <f>IF(E515="","",E515*0.065)</f>
        <v/>
      </c>
      <c r="G515" s="25">
        <f>IF(E515="","",E515*0.03+0.25)</f>
        <v/>
      </c>
      <c r="H515" s="25" t="n"/>
      <c r="I515" s="25" t="n"/>
      <c r="J515" s="25" t="n"/>
      <c r="K515" s="25" t="n"/>
      <c r="L515" s="25" t="n"/>
      <c r="M515" s="25">
        <f>IF(E515="","",F515+G515+H515+I515+J515+K515+L515)</f>
        <v/>
      </c>
      <c r="N515" s="25">
        <f>IF(E515="","",E515-M515)</f>
        <v/>
      </c>
      <c r="O515" s="15" t="n"/>
    </row>
    <row r="516">
      <c r="A516" s="26" t="n"/>
      <c r="B516" s="14" t="n"/>
      <c r="C516" s="14" t="n"/>
      <c r="D516" s="14" t="n"/>
      <c r="E516" s="27" t="n"/>
      <c r="F516" s="27">
        <f>IF(E516="","",E516*0.065)</f>
        <v/>
      </c>
      <c r="G516" s="27">
        <f>IF(E516="","",E516*0.03+0.25)</f>
        <v/>
      </c>
      <c r="H516" s="27" t="n"/>
      <c r="I516" s="27" t="n"/>
      <c r="J516" s="27" t="n"/>
      <c r="K516" s="27" t="n"/>
      <c r="L516" s="27" t="n"/>
      <c r="M516" s="27">
        <f>IF(E516="","",F516+G516+H516+I516+J516+K516+L516)</f>
        <v/>
      </c>
      <c r="N516" s="27">
        <f>IF(E516="","",E516-M516)</f>
        <v/>
      </c>
      <c r="O516" s="14" t="n"/>
    </row>
    <row r="517">
      <c r="A517" s="24" t="n"/>
      <c r="B517" s="15" t="n"/>
      <c r="C517" s="15" t="n"/>
      <c r="D517" s="15" t="n"/>
      <c r="E517" s="25" t="n"/>
      <c r="F517" s="25">
        <f>IF(E517="","",E517*0.065)</f>
        <v/>
      </c>
      <c r="G517" s="25">
        <f>IF(E517="","",E517*0.03+0.25)</f>
        <v/>
      </c>
      <c r="H517" s="25" t="n"/>
      <c r="I517" s="25" t="n"/>
      <c r="J517" s="25" t="n"/>
      <c r="K517" s="25" t="n"/>
      <c r="L517" s="25" t="n"/>
      <c r="M517" s="25">
        <f>IF(E517="","",F517+G517+H517+I517+J517+K517+L517)</f>
        <v/>
      </c>
      <c r="N517" s="25">
        <f>IF(E517="","",E517-M517)</f>
        <v/>
      </c>
      <c r="O517" s="15" t="n"/>
    </row>
    <row r="518">
      <c r="A518" s="26" t="n"/>
      <c r="B518" s="14" t="n"/>
      <c r="C518" s="14" t="n"/>
      <c r="D518" s="14" t="n"/>
      <c r="E518" s="27" t="n"/>
      <c r="F518" s="27">
        <f>IF(E518="","",E518*0.065)</f>
        <v/>
      </c>
      <c r="G518" s="27">
        <f>IF(E518="","",E518*0.03+0.25)</f>
        <v/>
      </c>
      <c r="H518" s="27" t="n"/>
      <c r="I518" s="27" t="n"/>
      <c r="J518" s="27" t="n"/>
      <c r="K518" s="27" t="n"/>
      <c r="L518" s="27" t="n"/>
      <c r="M518" s="27">
        <f>IF(E518="","",F518+G518+H518+I518+J518+K518+L518)</f>
        <v/>
      </c>
      <c r="N518" s="27">
        <f>IF(E518="","",E518-M518)</f>
        <v/>
      </c>
      <c r="O518" s="14" t="n"/>
    </row>
    <row r="519">
      <c r="A519" s="24" t="n"/>
      <c r="B519" s="15" t="n"/>
      <c r="C519" s="15" t="n"/>
      <c r="D519" s="15" t="n"/>
      <c r="E519" s="25" t="n"/>
      <c r="F519" s="25">
        <f>IF(E519="","",E519*0.065)</f>
        <v/>
      </c>
      <c r="G519" s="25">
        <f>IF(E519="","",E519*0.03+0.25)</f>
        <v/>
      </c>
      <c r="H519" s="25" t="n"/>
      <c r="I519" s="25" t="n"/>
      <c r="J519" s="25" t="n"/>
      <c r="K519" s="25" t="n"/>
      <c r="L519" s="25" t="n"/>
      <c r="M519" s="25">
        <f>IF(E519="","",F519+G519+H519+I519+J519+K519+L519)</f>
        <v/>
      </c>
      <c r="N519" s="25">
        <f>IF(E519="","",E519-M519)</f>
        <v/>
      </c>
      <c r="O519" s="15" t="n"/>
    </row>
    <row r="520">
      <c r="A520" s="26" t="n"/>
      <c r="B520" s="14" t="n"/>
      <c r="C520" s="14" t="n"/>
      <c r="D520" s="14" t="n"/>
      <c r="E520" s="27" t="n"/>
      <c r="F520" s="27">
        <f>IF(E520="","",E520*0.065)</f>
        <v/>
      </c>
      <c r="G520" s="27">
        <f>IF(E520="","",E520*0.03+0.25)</f>
        <v/>
      </c>
      <c r="H520" s="27" t="n"/>
      <c r="I520" s="27" t="n"/>
      <c r="J520" s="27" t="n"/>
      <c r="K520" s="27" t="n"/>
      <c r="L520" s="27" t="n"/>
      <c r="M520" s="27">
        <f>IF(E520="","",F520+G520+H520+I520+J520+K520+L520)</f>
        <v/>
      </c>
      <c r="N520" s="27">
        <f>IF(E520="","",E520-M520)</f>
        <v/>
      </c>
      <c r="O520" s="14" t="n"/>
    </row>
    <row r="521">
      <c r="A521" s="24" t="n"/>
      <c r="B521" s="15" t="n"/>
      <c r="C521" s="15" t="n"/>
      <c r="D521" s="15" t="n"/>
      <c r="E521" s="25" t="n"/>
      <c r="F521" s="25">
        <f>IF(E521="","",E521*0.065)</f>
        <v/>
      </c>
      <c r="G521" s="25">
        <f>IF(E521="","",E521*0.03+0.25)</f>
        <v/>
      </c>
      <c r="H521" s="25" t="n"/>
      <c r="I521" s="25" t="n"/>
      <c r="J521" s="25" t="n"/>
      <c r="K521" s="25" t="n"/>
      <c r="L521" s="25" t="n"/>
      <c r="M521" s="25">
        <f>IF(E521="","",F521+G521+H521+I521+J521+K521+L521)</f>
        <v/>
      </c>
      <c r="N521" s="25">
        <f>IF(E521="","",E521-M521)</f>
        <v/>
      </c>
      <c r="O521" s="15" t="n"/>
    </row>
    <row r="522">
      <c r="A522" s="26" t="n"/>
      <c r="B522" s="14" t="n"/>
      <c r="C522" s="14" t="n"/>
      <c r="D522" s="14" t="n"/>
      <c r="E522" s="27" t="n"/>
      <c r="F522" s="27">
        <f>IF(E522="","",E522*0.065)</f>
        <v/>
      </c>
      <c r="G522" s="27">
        <f>IF(E522="","",E522*0.03+0.25)</f>
        <v/>
      </c>
      <c r="H522" s="27" t="n"/>
      <c r="I522" s="27" t="n"/>
      <c r="J522" s="27" t="n"/>
      <c r="K522" s="27" t="n"/>
      <c r="L522" s="27" t="n"/>
      <c r="M522" s="27">
        <f>IF(E522="","",F522+G522+H522+I522+J522+K522+L522)</f>
        <v/>
      </c>
      <c r="N522" s="27">
        <f>IF(E522="","",E522-M522)</f>
        <v/>
      </c>
      <c r="O522" s="14" t="n"/>
    </row>
    <row r="523">
      <c r="A523" s="24" t="n"/>
      <c r="B523" s="15" t="n"/>
      <c r="C523" s="15" t="n"/>
      <c r="D523" s="15" t="n"/>
      <c r="E523" s="25" t="n"/>
      <c r="F523" s="25">
        <f>IF(E523="","",E523*0.065)</f>
        <v/>
      </c>
      <c r="G523" s="25">
        <f>IF(E523="","",E523*0.03+0.25)</f>
        <v/>
      </c>
      <c r="H523" s="25" t="n"/>
      <c r="I523" s="25" t="n"/>
      <c r="J523" s="25" t="n"/>
      <c r="K523" s="25" t="n"/>
      <c r="L523" s="25" t="n"/>
      <c r="M523" s="25">
        <f>IF(E523="","",F523+G523+H523+I523+J523+K523+L523)</f>
        <v/>
      </c>
      <c r="N523" s="25">
        <f>IF(E523="","",E523-M523)</f>
        <v/>
      </c>
      <c r="O523" s="15" t="n"/>
    </row>
    <row r="524">
      <c r="A524" s="26" t="n"/>
      <c r="B524" s="14" t="n"/>
      <c r="C524" s="14" t="n"/>
      <c r="D524" s="14" t="n"/>
      <c r="E524" s="27" t="n"/>
      <c r="F524" s="27">
        <f>IF(E524="","",E524*0.065)</f>
        <v/>
      </c>
      <c r="G524" s="27">
        <f>IF(E524="","",E524*0.03+0.25)</f>
        <v/>
      </c>
      <c r="H524" s="27" t="n"/>
      <c r="I524" s="27" t="n"/>
      <c r="J524" s="27" t="n"/>
      <c r="K524" s="27" t="n"/>
      <c r="L524" s="27" t="n"/>
      <c r="M524" s="27">
        <f>IF(E524="","",F524+G524+H524+I524+J524+K524+L524)</f>
        <v/>
      </c>
      <c r="N524" s="27">
        <f>IF(E524="","",E524-M524)</f>
        <v/>
      </c>
      <c r="O524" s="14" t="n"/>
    </row>
    <row r="525">
      <c r="A525" s="24" t="n"/>
      <c r="B525" s="15" t="n"/>
      <c r="C525" s="15" t="n"/>
      <c r="D525" s="15" t="n"/>
      <c r="E525" s="25" t="n"/>
      <c r="F525" s="25">
        <f>IF(E525="","",E525*0.065)</f>
        <v/>
      </c>
      <c r="G525" s="25">
        <f>IF(E525="","",E525*0.03+0.25)</f>
        <v/>
      </c>
      <c r="H525" s="25" t="n"/>
      <c r="I525" s="25" t="n"/>
      <c r="J525" s="25" t="n"/>
      <c r="K525" s="25" t="n"/>
      <c r="L525" s="25" t="n"/>
      <c r="M525" s="25">
        <f>IF(E525="","",F525+G525+H525+I525+J525+K525+L525)</f>
        <v/>
      </c>
      <c r="N525" s="25">
        <f>IF(E525="","",E525-M525)</f>
        <v/>
      </c>
      <c r="O525" s="15" t="n"/>
    </row>
    <row r="526">
      <c r="A526" s="26" t="n"/>
      <c r="B526" s="14" t="n"/>
      <c r="C526" s="14" t="n"/>
      <c r="D526" s="14" t="n"/>
      <c r="E526" s="27" t="n"/>
      <c r="F526" s="27">
        <f>IF(E526="","",E526*0.065)</f>
        <v/>
      </c>
      <c r="G526" s="27">
        <f>IF(E526="","",E526*0.03+0.25)</f>
        <v/>
      </c>
      <c r="H526" s="27" t="n"/>
      <c r="I526" s="27" t="n"/>
      <c r="J526" s="27" t="n"/>
      <c r="K526" s="27" t="n"/>
      <c r="L526" s="27" t="n"/>
      <c r="M526" s="27">
        <f>IF(E526="","",F526+G526+H526+I526+J526+K526+L526)</f>
        <v/>
      </c>
      <c r="N526" s="27">
        <f>IF(E526="","",E526-M526)</f>
        <v/>
      </c>
      <c r="O526" s="14" t="n"/>
    </row>
    <row r="527">
      <c r="A527" s="24" t="n"/>
      <c r="B527" s="15" t="n"/>
      <c r="C527" s="15" t="n"/>
      <c r="D527" s="15" t="n"/>
      <c r="E527" s="25" t="n"/>
      <c r="F527" s="25">
        <f>IF(E527="","",E527*0.065)</f>
        <v/>
      </c>
      <c r="G527" s="25">
        <f>IF(E527="","",E527*0.03+0.25)</f>
        <v/>
      </c>
      <c r="H527" s="25" t="n"/>
      <c r="I527" s="25" t="n"/>
      <c r="J527" s="25" t="n"/>
      <c r="K527" s="25" t="n"/>
      <c r="L527" s="25" t="n"/>
      <c r="M527" s="25">
        <f>IF(E527="","",F527+G527+H527+I527+J527+K527+L527)</f>
        <v/>
      </c>
      <c r="N527" s="25">
        <f>IF(E527="","",E527-M527)</f>
        <v/>
      </c>
      <c r="O527" s="15" t="n"/>
    </row>
    <row r="528">
      <c r="A528" s="26" t="n"/>
      <c r="B528" s="14" t="n"/>
      <c r="C528" s="14" t="n"/>
      <c r="D528" s="14" t="n"/>
      <c r="E528" s="27" t="n"/>
      <c r="F528" s="27">
        <f>IF(E528="","",E528*0.065)</f>
        <v/>
      </c>
      <c r="G528" s="27">
        <f>IF(E528="","",E528*0.03+0.25)</f>
        <v/>
      </c>
      <c r="H528" s="27" t="n"/>
      <c r="I528" s="27" t="n"/>
      <c r="J528" s="27" t="n"/>
      <c r="K528" s="27" t="n"/>
      <c r="L528" s="27" t="n"/>
      <c r="M528" s="27">
        <f>IF(E528="","",F528+G528+H528+I528+J528+K528+L528)</f>
        <v/>
      </c>
      <c r="N528" s="27">
        <f>IF(E528="","",E528-M528)</f>
        <v/>
      </c>
      <c r="O528" s="14" t="n"/>
    </row>
    <row r="529">
      <c r="A529" s="24" t="n"/>
      <c r="B529" s="15" t="n"/>
      <c r="C529" s="15" t="n"/>
      <c r="D529" s="15" t="n"/>
      <c r="E529" s="25" t="n"/>
      <c r="F529" s="25">
        <f>IF(E529="","",E529*0.065)</f>
        <v/>
      </c>
      <c r="G529" s="25">
        <f>IF(E529="","",E529*0.03+0.25)</f>
        <v/>
      </c>
      <c r="H529" s="25" t="n"/>
      <c r="I529" s="25" t="n"/>
      <c r="J529" s="25" t="n"/>
      <c r="K529" s="25" t="n"/>
      <c r="L529" s="25" t="n"/>
      <c r="M529" s="25">
        <f>IF(E529="","",F529+G529+H529+I529+J529+K529+L529)</f>
        <v/>
      </c>
      <c r="N529" s="25">
        <f>IF(E529="","",E529-M529)</f>
        <v/>
      </c>
      <c r="O529" s="15" t="n"/>
    </row>
    <row r="530">
      <c r="A530" s="26" t="n"/>
      <c r="B530" s="14" t="n"/>
      <c r="C530" s="14" t="n"/>
      <c r="D530" s="14" t="n"/>
      <c r="E530" s="27" t="n"/>
      <c r="F530" s="27">
        <f>IF(E530="","",E530*0.065)</f>
        <v/>
      </c>
      <c r="G530" s="27">
        <f>IF(E530="","",E530*0.03+0.25)</f>
        <v/>
      </c>
      <c r="H530" s="27" t="n"/>
      <c r="I530" s="27" t="n"/>
      <c r="J530" s="27" t="n"/>
      <c r="K530" s="27" t="n"/>
      <c r="L530" s="27" t="n"/>
      <c r="M530" s="27">
        <f>IF(E530="","",F530+G530+H530+I530+J530+K530+L530)</f>
        <v/>
      </c>
      <c r="N530" s="27">
        <f>IF(E530="","",E530-M530)</f>
        <v/>
      </c>
      <c r="O530" s="14" t="n"/>
    </row>
    <row r="531">
      <c r="A531" s="24" t="n"/>
      <c r="B531" s="15" t="n"/>
      <c r="C531" s="15" t="n"/>
      <c r="D531" s="15" t="n"/>
      <c r="E531" s="25" t="n"/>
      <c r="F531" s="25">
        <f>IF(E531="","",E531*0.065)</f>
        <v/>
      </c>
      <c r="G531" s="25">
        <f>IF(E531="","",E531*0.03+0.25)</f>
        <v/>
      </c>
      <c r="H531" s="25" t="n"/>
      <c r="I531" s="25" t="n"/>
      <c r="J531" s="25" t="n"/>
      <c r="K531" s="25" t="n"/>
      <c r="L531" s="25" t="n"/>
      <c r="M531" s="25">
        <f>IF(E531="","",F531+G531+H531+I531+J531+K531+L531)</f>
        <v/>
      </c>
      <c r="N531" s="25">
        <f>IF(E531="","",E531-M531)</f>
        <v/>
      </c>
      <c r="O531" s="15" t="n"/>
    </row>
    <row r="532">
      <c r="A532" s="26" t="n"/>
      <c r="B532" s="14" t="n"/>
      <c r="C532" s="14" t="n"/>
      <c r="D532" s="14" t="n"/>
      <c r="E532" s="27" t="n"/>
      <c r="F532" s="27">
        <f>IF(E532="","",E532*0.065)</f>
        <v/>
      </c>
      <c r="G532" s="27">
        <f>IF(E532="","",E532*0.03+0.25)</f>
        <v/>
      </c>
      <c r="H532" s="27" t="n"/>
      <c r="I532" s="27" t="n"/>
      <c r="J532" s="27" t="n"/>
      <c r="K532" s="27" t="n"/>
      <c r="L532" s="27" t="n"/>
      <c r="M532" s="27">
        <f>IF(E532="","",F532+G532+H532+I532+J532+K532+L532)</f>
        <v/>
      </c>
      <c r="N532" s="27">
        <f>IF(E532="","",E532-M532)</f>
        <v/>
      </c>
      <c r="O532" s="14" t="n"/>
    </row>
    <row r="533">
      <c r="A533" s="24" t="n"/>
      <c r="B533" s="15" t="n"/>
      <c r="C533" s="15" t="n"/>
      <c r="D533" s="15" t="n"/>
      <c r="E533" s="25" t="n"/>
      <c r="F533" s="25">
        <f>IF(E533="","",E533*0.065)</f>
        <v/>
      </c>
      <c r="G533" s="25">
        <f>IF(E533="","",E533*0.03+0.25)</f>
        <v/>
      </c>
      <c r="H533" s="25" t="n"/>
      <c r="I533" s="25" t="n"/>
      <c r="J533" s="25" t="n"/>
      <c r="K533" s="25" t="n"/>
      <c r="L533" s="25" t="n"/>
      <c r="M533" s="25">
        <f>IF(E533="","",F533+G533+H533+I533+J533+K533+L533)</f>
        <v/>
      </c>
      <c r="N533" s="25">
        <f>IF(E533="","",E533-M533)</f>
        <v/>
      </c>
      <c r="O533" s="15" t="n"/>
    </row>
    <row r="534">
      <c r="A534" s="26" t="n"/>
      <c r="B534" s="14" t="n"/>
      <c r="C534" s="14" t="n"/>
      <c r="D534" s="14" t="n"/>
      <c r="E534" s="27" t="n"/>
      <c r="F534" s="27">
        <f>IF(E534="","",E534*0.065)</f>
        <v/>
      </c>
      <c r="G534" s="27">
        <f>IF(E534="","",E534*0.03+0.25)</f>
        <v/>
      </c>
      <c r="H534" s="27" t="n"/>
      <c r="I534" s="27" t="n"/>
      <c r="J534" s="27" t="n"/>
      <c r="K534" s="27" t="n"/>
      <c r="L534" s="27" t="n"/>
      <c r="M534" s="27">
        <f>IF(E534="","",F534+G534+H534+I534+J534+K534+L534)</f>
        <v/>
      </c>
      <c r="N534" s="27">
        <f>IF(E534="","",E534-M534)</f>
        <v/>
      </c>
      <c r="O534" s="14" t="n"/>
    </row>
    <row r="535">
      <c r="A535" s="24" t="n"/>
      <c r="B535" s="15" t="n"/>
      <c r="C535" s="15" t="n"/>
      <c r="D535" s="15" t="n"/>
      <c r="E535" s="25" t="n"/>
      <c r="F535" s="25">
        <f>IF(E535="","",E535*0.065)</f>
        <v/>
      </c>
      <c r="G535" s="25">
        <f>IF(E535="","",E535*0.03+0.25)</f>
        <v/>
      </c>
      <c r="H535" s="25" t="n"/>
      <c r="I535" s="25" t="n"/>
      <c r="J535" s="25" t="n"/>
      <c r="K535" s="25" t="n"/>
      <c r="L535" s="25" t="n"/>
      <c r="M535" s="25">
        <f>IF(E535="","",F535+G535+H535+I535+J535+K535+L535)</f>
        <v/>
      </c>
      <c r="N535" s="25">
        <f>IF(E535="","",E535-M535)</f>
        <v/>
      </c>
      <c r="O535" s="15" t="n"/>
    </row>
    <row r="536">
      <c r="A536" s="26" t="n"/>
      <c r="B536" s="14" t="n"/>
      <c r="C536" s="14" t="n"/>
      <c r="D536" s="14" t="n"/>
      <c r="E536" s="27" t="n"/>
      <c r="F536" s="27">
        <f>IF(E536="","",E536*0.065)</f>
        <v/>
      </c>
      <c r="G536" s="27">
        <f>IF(E536="","",E536*0.03+0.25)</f>
        <v/>
      </c>
      <c r="H536" s="27" t="n"/>
      <c r="I536" s="27" t="n"/>
      <c r="J536" s="27" t="n"/>
      <c r="K536" s="27" t="n"/>
      <c r="L536" s="27" t="n"/>
      <c r="M536" s="27">
        <f>IF(E536="","",F536+G536+H536+I536+J536+K536+L536)</f>
        <v/>
      </c>
      <c r="N536" s="27">
        <f>IF(E536="","",E536-M536)</f>
        <v/>
      </c>
      <c r="O536" s="14" t="n"/>
    </row>
    <row r="537">
      <c r="A537" s="24" t="n"/>
      <c r="B537" s="15" t="n"/>
      <c r="C537" s="15" t="n"/>
      <c r="D537" s="15" t="n"/>
      <c r="E537" s="25" t="n"/>
      <c r="F537" s="25">
        <f>IF(E537="","",E537*0.065)</f>
        <v/>
      </c>
      <c r="G537" s="25">
        <f>IF(E537="","",E537*0.03+0.25)</f>
        <v/>
      </c>
      <c r="H537" s="25" t="n"/>
      <c r="I537" s="25" t="n"/>
      <c r="J537" s="25" t="n"/>
      <c r="K537" s="25" t="n"/>
      <c r="L537" s="25" t="n"/>
      <c r="M537" s="25">
        <f>IF(E537="","",F537+G537+H537+I537+J537+K537+L537)</f>
        <v/>
      </c>
      <c r="N537" s="25">
        <f>IF(E537="","",E537-M537)</f>
        <v/>
      </c>
      <c r="O537" s="15" t="n"/>
    </row>
    <row r="538">
      <c r="A538" s="26" t="n"/>
      <c r="B538" s="14" t="n"/>
      <c r="C538" s="14" t="n"/>
      <c r="D538" s="14" t="n"/>
      <c r="E538" s="27" t="n"/>
      <c r="F538" s="27">
        <f>IF(E538="","",E538*0.065)</f>
        <v/>
      </c>
      <c r="G538" s="27">
        <f>IF(E538="","",E538*0.03+0.25)</f>
        <v/>
      </c>
      <c r="H538" s="27" t="n"/>
      <c r="I538" s="27" t="n"/>
      <c r="J538" s="27" t="n"/>
      <c r="K538" s="27" t="n"/>
      <c r="L538" s="27" t="n"/>
      <c r="M538" s="27">
        <f>IF(E538="","",F538+G538+H538+I538+J538+K538+L538)</f>
        <v/>
      </c>
      <c r="N538" s="27">
        <f>IF(E538="","",E538-M538)</f>
        <v/>
      </c>
      <c r="O538" s="14" t="n"/>
    </row>
    <row r="539">
      <c r="A539" s="24" t="n"/>
      <c r="B539" s="15" t="n"/>
      <c r="C539" s="15" t="n"/>
      <c r="D539" s="15" t="n"/>
      <c r="E539" s="25" t="n"/>
      <c r="F539" s="25">
        <f>IF(E539="","",E539*0.065)</f>
        <v/>
      </c>
      <c r="G539" s="25">
        <f>IF(E539="","",E539*0.03+0.25)</f>
        <v/>
      </c>
      <c r="H539" s="25" t="n"/>
      <c r="I539" s="25" t="n"/>
      <c r="J539" s="25" t="n"/>
      <c r="K539" s="25" t="n"/>
      <c r="L539" s="25" t="n"/>
      <c r="M539" s="25">
        <f>IF(E539="","",F539+G539+H539+I539+J539+K539+L539)</f>
        <v/>
      </c>
      <c r="N539" s="25">
        <f>IF(E539="","",E539-M539)</f>
        <v/>
      </c>
      <c r="O539" s="15" t="n"/>
    </row>
    <row r="540">
      <c r="A540" s="26" t="n"/>
      <c r="B540" s="14" t="n"/>
      <c r="C540" s="14" t="n"/>
      <c r="D540" s="14" t="n"/>
      <c r="E540" s="27" t="n"/>
      <c r="F540" s="27">
        <f>IF(E540="","",E540*0.065)</f>
        <v/>
      </c>
      <c r="G540" s="27">
        <f>IF(E540="","",E540*0.03+0.25)</f>
        <v/>
      </c>
      <c r="H540" s="27" t="n"/>
      <c r="I540" s="27" t="n"/>
      <c r="J540" s="27" t="n"/>
      <c r="K540" s="27" t="n"/>
      <c r="L540" s="27" t="n"/>
      <c r="M540" s="27">
        <f>IF(E540="","",F540+G540+H540+I540+J540+K540+L540)</f>
        <v/>
      </c>
      <c r="N540" s="27">
        <f>IF(E540="","",E540-M540)</f>
        <v/>
      </c>
      <c r="O540" s="14" t="n"/>
    </row>
    <row r="541">
      <c r="A541" s="24" t="n"/>
      <c r="B541" s="15" t="n"/>
      <c r="C541" s="15" t="n"/>
      <c r="D541" s="15" t="n"/>
      <c r="E541" s="25" t="n"/>
      <c r="F541" s="25">
        <f>IF(E541="","",E541*0.065)</f>
        <v/>
      </c>
      <c r="G541" s="25">
        <f>IF(E541="","",E541*0.03+0.25)</f>
        <v/>
      </c>
      <c r="H541" s="25" t="n"/>
      <c r="I541" s="25" t="n"/>
      <c r="J541" s="25" t="n"/>
      <c r="K541" s="25" t="n"/>
      <c r="L541" s="25" t="n"/>
      <c r="M541" s="25">
        <f>IF(E541="","",F541+G541+H541+I541+J541+K541+L541)</f>
        <v/>
      </c>
      <c r="N541" s="25">
        <f>IF(E541="","",E541-M541)</f>
        <v/>
      </c>
      <c r="O541" s="15" t="n"/>
    </row>
    <row r="542">
      <c r="A542" s="26" t="n"/>
      <c r="B542" s="14" t="n"/>
      <c r="C542" s="14" t="n"/>
      <c r="D542" s="14" t="n"/>
      <c r="E542" s="27" t="n"/>
      <c r="F542" s="27">
        <f>IF(E542="","",E542*0.065)</f>
        <v/>
      </c>
      <c r="G542" s="27">
        <f>IF(E542="","",E542*0.03+0.25)</f>
        <v/>
      </c>
      <c r="H542" s="27" t="n"/>
      <c r="I542" s="27" t="n"/>
      <c r="J542" s="27" t="n"/>
      <c r="K542" s="27" t="n"/>
      <c r="L542" s="27" t="n"/>
      <c r="M542" s="27">
        <f>IF(E542="","",F542+G542+H542+I542+J542+K542+L542)</f>
        <v/>
      </c>
      <c r="N542" s="27">
        <f>IF(E542="","",E542-M542)</f>
        <v/>
      </c>
      <c r="O542" s="14" t="n"/>
    </row>
    <row r="543">
      <c r="A543" s="24" t="n"/>
      <c r="B543" s="15" t="n"/>
      <c r="C543" s="15" t="n"/>
      <c r="D543" s="15" t="n"/>
      <c r="E543" s="25" t="n"/>
      <c r="F543" s="25">
        <f>IF(E543="","",E543*0.065)</f>
        <v/>
      </c>
      <c r="G543" s="25">
        <f>IF(E543="","",E543*0.03+0.25)</f>
        <v/>
      </c>
      <c r="H543" s="25" t="n"/>
      <c r="I543" s="25" t="n"/>
      <c r="J543" s="25" t="n"/>
      <c r="K543" s="25" t="n"/>
      <c r="L543" s="25" t="n"/>
      <c r="M543" s="25">
        <f>IF(E543="","",F543+G543+H543+I543+J543+K543+L543)</f>
        <v/>
      </c>
      <c r="N543" s="25">
        <f>IF(E543="","",E543-M543)</f>
        <v/>
      </c>
      <c r="O543" s="15" t="n"/>
    </row>
    <row r="544">
      <c r="A544" s="26" t="n"/>
      <c r="B544" s="14" t="n"/>
      <c r="C544" s="14" t="n"/>
      <c r="D544" s="14" t="n"/>
      <c r="E544" s="27" t="n"/>
      <c r="F544" s="27">
        <f>IF(E544="","",E544*0.065)</f>
        <v/>
      </c>
      <c r="G544" s="27">
        <f>IF(E544="","",E544*0.03+0.25)</f>
        <v/>
      </c>
      <c r="H544" s="27" t="n"/>
      <c r="I544" s="27" t="n"/>
      <c r="J544" s="27" t="n"/>
      <c r="K544" s="27" t="n"/>
      <c r="L544" s="27" t="n"/>
      <c r="M544" s="27">
        <f>IF(E544="","",F544+G544+H544+I544+J544+K544+L544)</f>
        <v/>
      </c>
      <c r="N544" s="27">
        <f>IF(E544="","",E544-M544)</f>
        <v/>
      </c>
      <c r="O544" s="14" t="n"/>
    </row>
    <row r="545">
      <c r="A545" s="24" t="n"/>
      <c r="B545" s="15" t="n"/>
      <c r="C545" s="15" t="n"/>
      <c r="D545" s="15" t="n"/>
      <c r="E545" s="25" t="n"/>
      <c r="F545" s="25">
        <f>IF(E545="","",E545*0.065)</f>
        <v/>
      </c>
      <c r="G545" s="25">
        <f>IF(E545="","",E545*0.03+0.25)</f>
        <v/>
      </c>
      <c r="H545" s="25" t="n"/>
      <c r="I545" s="25" t="n"/>
      <c r="J545" s="25" t="n"/>
      <c r="K545" s="25" t="n"/>
      <c r="L545" s="25" t="n"/>
      <c r="M545" s="25">
        <f>IF(E545="","",F545+G545+H545+I545+J545+K545+L545)</f>
        <v/>
      </c>
      <c r="N545" s="25">
        <f>IF(E545="","",E545-M545)</f>
        <v/>
      </c>
      <c r="O545" s="15" t="n"/>
    </row>
    <row r="546">
      <c r="A546" s="26" t="n"/>
      <c r="B546" s="14" t="n"/>
      <c r="C546" s="14" t="n"/>
      <c r="D546" s="14" t="n"/>
      <c r="E546" s="27" t="n"/>
      <c r="F546" s="27">
        <f>IF(E546="","",E546*0.065)</f>
        <v/>
      </c>
      <c r="G546" s="27">
        <f>IF(E546="","",E546*0.03+0.25)</f>
        <v/>
      </c>
      <c r="H546" s="27" t="n"/>
      <c r="I546" s="27" t="n"/>
      <c r="J546" s="27" t="n"/>
      <c r="K546" s="27" t="n"/>
      <c r="L546" s="27" t="n"/>
      <c r="M546" s="27">
        <f>IF(E546="","",F546+G546+H546+I546+J546+K546+L546)</f>
        <v/>
      </c>
      <c r="N546" s="27">
        <f>IF(E546="","",E546-M546)</f>
        <v/>
      </c>
      <c r="O546" s="14" t="n"/>
    </row>
    <row r="547">
      <c r="A547" s="24" t="n"/>
      <c r="B547" s="15" t="n"/>
      <c r="C547" s="15" t="n"/>
      <c r="D547" s="15" t="n"/>
      <c r="E547" s="25" t="n"/>
      <c r="F547" s="25">
        <f>IF(E547="","",E547*0.065)</f>
        <v/>
      </c>
      <c r="G547" s="25">
        <f>IF(E547="","",E547*0.03+0.25)</f>
        <v/>
      </c>
      <c r="H547" s="25" t="n"/>
      <c r="I547" s="25" t="n"/>
      <c r="J547" s="25" t="n"/>
      <c r="K547" s="25" t="n"/>
      <c r="L547" s="25" t="n"/>
      <c r="M547" s="25">
        <f>IF(E547="","",F547+G547+H547+I547+J547+K547+L547)</f>
        <v/>
      </c>
      <c r="N547" s="25">
        <f>IF(E547="","",E547-M547)</f>
        <v/>
      </c>
      <c r="O547" s="15" t="n"/>
    </row>
    <row r="548">
      <c r="A548" s="26" t="n"/>
      <c r="B548" s="14" t="n"/>
      <c r="C548" s="14" t="n"/>
      <c r="D548" s="14" t="n"/>
      <c r="E548" s="27" t="n"/>
      <c r="F548" s="27">
        <f>IF(E548="","",E548*0.065)</f>
        <v/>
      </c>
      <c r="G548" s="27">
        <f>IF(E548="","",E548*0.03+0.25)</f>
        <v/>
      </c>
      <c r="H548" s="27" t="n"/>
      <c r="I548" s="27" t="n"/>
      <c r="J548" s="27" t="n"/>
      <c r="K548" s="27" t="n"/>
      <c r="L548" s="27" t="n"/>
      <c r="M548" s="27">
        <f>IF(E548="","",F548+G548+H548+I548+J548+K548+L548)</f>
        <v/>
      </c>
      <c r="N548" s="27">
        <f>IF(E548="","",E548-M548)</f>
        <v/>
      </c>
      <c r="O548" s="14" t="n"/>
    </row>
    <row r="549">
      <c r="A549" s="24" t="n"/>
      <c r="B549" s="15" t="n"/>
      <c r="C549" s="15" t="n"/>
      <c r="D549" s="15" t="n"/>
      <c r="E549" s="25" t="n"/>
      <c r="F549" s="25">
        <f>IF(E549="","",E549*0.065)</f>
        <v/>
      </c>
      <c r="G549" s="25">
        <f>IF(E549="","",E549*0.03+0.25)</f>
        <v/>
      </c>
      <c r="H549" s="25" t="n"/>
      <c r="I549" s="25" t="n"/>
      <c r="J549" s="25" t="n"/>
      <c r="K549" s="25" t="n"/>
      <c r="L549" s="25" t="n"/>
      <c r="M549" s="25">
        <f>IF(E549="","",F549+G549+H549+I549+J549+K549+L549)</f>
        <v/>
      </c>
      <c r="N549" s="25">
        <f>IF(E549="","",E549-M549)</f>
        <v/>
      </c>
      <c r="O549" s="15" t="n"/>
    </row>
    <row r="550">
      <c r="A550" s="26" t="n"/>
      <c r="B550" s="14" t="n"/>
      <c r="C550" s="14" t="n"/>
      <c r="D550" s="14" t="n"/>
      <c r="E550" s="27" t="n"/>
      <c r="F550" s="27">
        <f>IF(E550="","",E550*0.065)</f>
        <v/>
      </c>
      <c r="G550" s="27">
        <f>IF(E550="","",E550*0.03+0.25)</f>
        <v/>
      </c>
      <c r="H550" s="27" t="n"/>
      <c r="I550" s="27" t="n"/>
      <c r="J550" s="27" t="n"/>
      <c r="K550" s="27" t="n"/>
      <c r="L550" s="27" t="n"/>
      <c r="M550" s="27">
        <f>IF(E550="","",F550+G550+H550+I550+J550+K550+L550)</f>
        <v/>
      </c>
      <c r="N550" s="27">
        <f>IF(E550="","",E550-M550)</f>
        <v/>
      </c>
      <c r="O550" s="14" t="n"/>
    </row>
    <row r="551">
      <c r="A551" s="24" t="n"/>
      <c r="B551" s="15" t="n"/>
      <c r="C551" s="15" t="n"/>
      <c r="D551" s="15" t="n"/>
      <c r="E551" s="25" t="n"/>
      <c r="F551" s="25">
        <f>IF(E551="","",E551*0.065)</f>
        <v/>
      </c>
      <c r="G551" s="25">
        <f>IF(E551="","",E551*0.03+0.25)</f>
        <v/>
      </c>
      <c r="H551" s="25" t="n"/>
      <c r="I551" s="25" t="n"/>
      <c r="J551" s="25" t="n"/>
      <c r="K551" s="25" t="n"/>
      <c r="L551" s="25" t="n"/>
      <c r="M551" s="25">
        <f>IF(E551="","",F551+G551+H551+I551+J551+K551+L551)</f>
        <v/>
      </c>
      <c r="N551" s="25">
        <f>IF(E551="","",E551-M551)</f>
        <v/>
      </c>
      <c r="O551" s="15" t="n"/>
    </row>
    <row r="552">
      <c r="A552" s="26" t="n"/>
      <c r="B552" s="14" t="n"/>
      <c r="C552" s="14" t="n"/>
      <c r="D552" s="14" t="n"/>
      <c r="E552" s="27" t="n"/>
      <c r="F552" s="27">
        <f>IF(E552="","",E552*0.065)</f>
        <v/>
      </c>
      <c r="G552" s="27">
        <f>IF(E552="","",E552*0.03+0.25)</f>
        <v/>
      </c>
      <c r="H552" s="27" t="n"/>
      <c r="I552" s="27" t="n"/>
      <c r="J552" s="27" t="n"/>
      <c r="K552" s="27" t="n"/>
      <c r="L552" s="27" t="n"/>
      <c r="M552" s="27">
        <f>IF(E552="","",F552+G552+H552+I552+J552+K552+L552)</f>
        <v/>
      </c>
      <c r="N552" s="27">
        <f>IF(E552="","",E552-M552)</f>
        <v/>
      </c>
      <c r="O552" s="14" t="n"/>
    </row>
    <row r="553">
      <c r="A553" s="24" t="n"/>
      <c r="B553" s="15" t="n"/>
      <c r="C553" s="15" t="n"/>
      <c r="D553" s="15" t="n"/>
      <c r="E553" s="25" t="n"/>
      <c r="F553" s="25">
        <f>IF(E553="","",E553*0.065)</f>
        <v/>
      </c>
      <c r="G553" s="25">
        <f>IF(E553="","",E553*0.03+0.25)</f>
        <v/>
      </c>
      <c r="H553" s="25" t="n"/>
      <c r="I553" s="25" t="n"/>
      <c r="J553" s="25" t="n"/>
      <c r="K553" s="25" t="n"/>
      <c r="L553" s="25" t="n"/>
      <c r="M553" s="25">
        <f>IF(E553="","",F553+G553+H553+I553+J553+K553+L553)</f>
        <v/>
      </c>
      <c r="N553" s="25">
        <f>IF(E553="","",E553-M553)</f>
        <v/>
      </c>
      <c r="O553" s="15" t="n"/>
    </row>
    <row r="554">
      <c r="A554" s="26" t="n"/>
      <c r="B554" s="14" t="n"/>
      <c r="C554" s="14" t="n"/>
      <c r="D554" s="14" t="n"/>
      <c r="E554" s="27" t="n"/>
      <c r="F554" s="27">
        <f>IF(E554="","",E554*0.065)</f>
        <v/>
      </c>
      <c r="G554" s="27">
        <f>IF(E554="","",E554*0.03+0.25)</f>
        <v/>
      </c>
      <c r="H554" s="27" t="n"/>
      <c r="I554" s="27" t="n"/>
      <c r="J554" s="27" t="n"/>
      <c r="K554" s="27" t="n"/>
      <c r="L554" s="27" t="n"/>
      <c r="M554" s="27">
        <f>IF(E554="","",F554+G554+H554+I554+J554+K554+L554)</f>
        <v/>
      </c>
      <c r="N554" s="27">
        <f>IF(E554="","",E554-M554)</f>
        <v/>
      </c>
      <c r="O554" s="14" t="n"/>
    </row>
    <row r="555">
      <c r="A555" s="24" t="n"/>
      <c r="B555" s="15" t="n"/>
      <c r="C555" s="15" t="n"/>
      <c r="D555" s="15" t="n"/>
      <c r="E555" s="25" t="n"/>
      <c r="F555" s="25">
        <f>IF(E555="","",E555*0.065)</f>
        <v/>
      </c>
      <c r="G555" s="25">
        <f>IF(E555="","",E555*0.03+0.25)</f>
        <v/>
      </c>
      <c r="H555" s="25" t="n"/>
      <c r="I555" s="25" t="n"/>
      <c r="J555" s="25" t="n"/>
      <c r="K555" s="25" t="n"/>
      <c r="L555" s="25" t="n"/>
      <c r="M555" s="25">
        <f>IF(E555="","",F555+G555+H555+I555+J555+K555+L555)</f>
        <v/>
      </c>
      <c r="N555" s="25">
        <f>IF(E555="","",E555-M555)</f>
        <v/>
      </c>
      <c r="O555" s="15" t="n"/>
    </row>
    <row r="556">
      <c r="A556" s="26" t="n"/>
      <c r="B556" s="14" t="n"/>
      <c r="C556" s="14" t="n"/>
      <c r="D556" s="14" t="n"/>
      <c r="E556" s="27" t="n"/>
      <c r="F556" s="27">
        <f>IF(E556="","",E556*0.065)</f>
        <v/>
      </c>
      <c r="G556" s="27">
        <f>IF(E556="","",E556*0.03+0.25)</f>
        <v/>
      </c>
      <c r="H556" s="27" t="n"/>
      <c r="I556" s="27" t="n"/>
      <c r="J556" s="27" t="n"/>
      <c r="K556" s="27" t="n"/>
      <c r="L556" s="27" t="n"/>
      <c r="M556" s="27">
        <f>IF(E556="","",F556+G556+H556+I556+J556+K556+L556)</f>
        <v/>
      </c>
      <c r="N556" s="27">
        <f>IF(E556="","",E556-M556)</f>
        <v/>
      </c>
      <c r="O556" s="14" t="n"/>
    </row>
    <row r="557">
      <c r="A557" s="24" t="n"/>
      <c r="B557" s="15" t="n"/>
      <c r="C557" s="15" t="n"/>
      <c r="D557" s="15" t="n"/>
      <c r="E557" s="25" t="n"/>
      <c r="F557" s="25">
        <f>IF(E557="","",E557*0.065)</f>
        <v/>
      </c>
      <c r="G557" s="25">
        <f>IF(E557="","",E557*0.03+0.25)</f>
        <v/>
      </c>
      <c r="H557" s="25" t="n"/>
      <c r="I557" s="25" t="n"/>
      <c r="J557" s="25" t="n"/>
      <c r="K557" s="25" t="n"/>
      <c r="L557" s="25" t="n"/>
      <c r="M557" s="25">
        <f>IF(E557="","",F557+G557+H557+I557+J557+K557+L557)</f>
        <v/>
      </c>
      <c r="N557" s="25">
        <f>IF(E557="","",E557-M557)</f>
        <v/>
      </c>
      <c r="O557" s="15" t="n"/>
    </row>
    <row r="558">
      <c r="A558" s="26" t="n"/>
      <c r="B558" s="14" t="n"/>
      <c r="C558" s="14" t="n"/>
      <c r="D558" s="14" t="n"/>
      <c r="E558" s="27" t="n"/>
      <c r="F558" s="27">
        <f>IF(E558="","",E558*0.065)</f>
        <v/>
      </c>
      <c r="G558" s="27">
        <f>IF(E558="","",E558*0.03+0.25)</f>
        <v/>
      </c>
      <c r="H558" s="27" t="n"/>
      <c r="I558" s="27" t="n"/>
      <c r="J558" s="27" t="n"/>
      <c r="K558" s="27" t="n"/>
      <c r="L558" s="27" t="n"/>
      <c r="M558" s="27">
        <f>IF(E558="","",F558+G558+H558+I558+J558+K558+L558)</f>
        <v/>
      </c>
      <c r="N558" s="27">
        <f>IF(E558="","",E558-M558)</f>
        <v/>
      </c>
      <c r="O558" s="14" t="n"/>
    </row>
    <row r="559">
      <c r="A559" s="24" t="n"/>
      <c r="B559" s="15" t="n"/>
      <c r="C559" s="15" t="n"/>
      <c r="D559" s="15" t="n"/>
      <c r="E559" s="25" t="n"/>
      <c r="F559" s="25">
        <f>IF(E559="","",E559*0.065)</f>
        <v/>
      </c>
      <c r="G559" s="25">
        <f>IF(E559="","",E559*0.03+0.25)</f>
        <v/>
      </c>
      <c r="H559" s="25" t="n"/>
      <c r="I559" s="25" t="n"/>
      <c r="J559" s="25" t="n"/>
      <c r="K559" s="25" t="n"/>
      <c r="L559" s="25" t="n"/>
      <c r="M559" s="25">
        <f>IF(E559="","",F559+G559+H559+I559+J559+K559+L559)</f>
        <v/>
      </c>
      <c r="N559" s="25">
        <f>IF(E559="","",E559-M559)</f>
        <v/>
      </c>
      <c r="O559" s="15" t="n"/>
    </row>
    <row r="560">
      <c r="A560" s="26" t="n"/>
      <c r="B560" s="14" t="n"/>
      <c r="C560" s="14" t="n"/>
      <c r="D560" s="14" t="n"/>
      <c r="E560" s="27" t="n"/>
      <c r="F560" s="27">
        <f>IF(E560="","",E560*0.065)</f>
        <v/>
      </c>
      <c r="G560" s="27">
        <f>IF(E560="","",E560*0.03+0.25)</f>
        <v/>
      </c>
      <c r="H560" s="27" t="n"/>
      <c r="I560" s="27" t="n"/>
      <c r="J560" s="27" t="n"/>
      <c r="K560" s="27" t="n"/>
      <c r="L560" s="27" t="n"/>
      <c r="M560" s="27">
        <f>IF(E560="","",F560+G560+H560+I560+J560+K560+L560)</f>
        <v/>
      </c>
      <c r="N560" s="27">
        <f>IF(E560="","",E560-M560)</f>
        <v/>
      </c>
      <c r="O560" s="14" t="n"/>
    </row>
    <row r="561">
      <c r="A561" s="24" t="n"/>
      <c r="B561" s="15" t="n"/>
      <c r="C561" s="15" t="n"/>
      <c r="D561" s="15" t="n"/>
      <c r="E561" s="25" t="n"/>
      <c r="F561" s="25">
        <f>IF(E561="","",E561*0.065)</f>
        <v/>
      </c>
      <c r="G561" s="25">
        <f>IF(E561="","",E561*0.03+0.25)</f>
        <v/>
      </c>
      <c r="H561" s="25" t="n"/>
      <c r="I561" s="25" t="n"/>
      <c r="J561" s="25" t="n"/>
      <c r="K561" s="25" t="n"/>
      <c r="L561" s="25" t="n"/>
      <c r="M561" s="25">
        <f>IF(E561="","",F561+G561+H561+I561+J561+K561+L561)</f>
        <v/>
      </c>
      <c r="N561" s="25">
        <f>IF(E561="","",E561-M561)</f>
        <v/>
      </c>
      <c r="O561" s="15" t="n"/>
    </row>
    <row r="562">
      <c r="A562" s="26" t="n"/>
      <c r="B562" s="14" t="n"/>
      <c r="C562" s="14" t="n"/>
      <c r="D562" s="14" t="n"/>
      <c r="E562" s="27" t="n"/>
      <c r="F562" s="27">
        <f>IF(E562="","",E562*0.065)</f>
        <v/>
      </c>
      <c r="G562" s="27">
        <f>IF(E562="","",E562*0.03+0.25)</f>
        <v/>
      </c>
      <c r="H562" s="27" t="n"/>
      <c r="I562" s="27" t="n"/>
      <c r="J562" s="27" t="n"/>
      <c r="K562" s="27" t="n"/>
      <c r="L562" s="27" t="n"/>
      <c r="M562" s="27">
        <f>IF(E562="","",F562+G562+H562+I562+J562+K562+L562)</f>
        <v/>
      </c>
      <c r="N562" s="27">
        <f>IF(E562="","",E562-M562)</f>
        <v/>
      </c>
      <c r="O562" s="14" t="n"/>
    </row>
    <row r="563">
      <c r="A563" s="24" t="n"/>
      <c r="B563" s="15" t="n"/>
      <c r="C563" s="15" t="n"/>
      <c r="D563" s="15" t="n"/>
      <c r="E563" s="25" t="n"/>
      <c r="F563" s="25">
        <f>IF(E563="","",E563*0.065)</f>
        <v/>
      </c>
      <c r="G563" s="25">
        <f>IF(E563="","",E563*0.03+0.25)</f>
        <v/>
      </c>
      <c r="H563" s="25" t="n"/>
      <c r="I563" s="25" t="n"/>
      <c r="J563" s="25" t="n"/>
      <c r="K563" s="25" t="n"/>
      <c r="L563" s="25" t="n"/>
      <c r="M563" s="25">
        <f>IF(E563="","",F563+G563+H563+I563+J563+K563+L563)</f>
        <v/>
      </c>
      <c r="N563" s="25">
        <f>IF(E563="","",E563-M563)</f>
        <v/>
      </c>
      <c r="O563" s="15" t="n"/>
    </row>
    <row r="564">
      <c r="A564" s="26" t="n"/>
      <c r="B564" s="14" t="n"/>
      <c r="C564" s="14" t="n"/>
      <c r="D564" s="14" t="n"/>
      <c r="E564" s="27" t="n"/>
      <c r="F564" s="27">
        <f>IF(E564="","",E564*0.065)</f>
        <v/>
      </c>
      <c r="G564" s="27">
        <f>IF(E564="","",E564*0.03+0.25)</f>
        <v/>
      </c>
      <c r="H564" s="27" t="n"/>
      <c r="I564" s="27" t="n"/>
      <c r="J564" s="27" t="n"/>
      <c r="K564" s="27" t="n"/>
      <c r="L564" s="27" t="n"/>
      <c r="M564" s="27">
        <f>IF(E564="","",F564+G564+H564+I564+J564+K564+L564)</f>
        <v/>
      </c>
      <c r="N564" s="27">
        <f>IF(E564="","",E564-M564)</f>
        <v/>
      </c>
      <c r="O564" s="14" t="n"/>
    </row>
    <row r="565">
      <c r="A565" s="24" t="n"/>
      <c r="B565" s="15" t="n"/>
      <c r="C565" s="15" t="n"/>
      <c r="D565" s="15" t="n"/>
      <c r="E565" s="25" t="n"/>
      <c r="F565" s="25">
        <f>IF(E565="","",E565*0.065)</f>
        <v/>
      </c>
      <c r="G565" s="25">
        <f>IF(E565="","",E565*0.03+0.25)</f>
        <v/>
      </c>
      <c r="H565" s="25" t="n"/>
      <c r="I565" s="25" t="n"/>
      <c r="J565" s="25" t="n"/>
      <c r="K565" s="25" t="n"/>
      <c r="L565" s="25" t="n"/>
      <c r="M565" s="25">
        <f>IF(E565="","",F565+G565+H565+I565+J565+K565+L565)</f>
        <v/>
      </c>
      <c r="N565" s="25">
        <f>IF(E565="","",E565-M565)</f>
        <v/>
      </c>
      <c r="O565" s="15" t="n"/>
    </row>
    <row r="566">
      <c r="A566" s="26" t="n"/>
      <c r="B566" s="14" t="n"/>
      <c r="C566" s="14" t="n"/>
      <c r="D566" s="14" t="n"/>
      <c r="E566" s="27" t="n"/>
      <c r="F566" s="27">
        <f>IF(E566="","",E566*0.065)</f>
        <v/>
      </c>
      <c r="G566" s="27">
        <f>IF(E566="","",E566*0.03+0.25)</f>
        <v/>
      </c>
      <c r="H566" s="27" t="n"/>
      <c r="I566" s="27" t="n"/>
      <c r="J566" s="27" t="n"/>
      <c r="K566" s="27" t="n"/>
      <c r="L566" s="27" t="n"/>
      <c r="M566" s="27">
        <f>IF(E566="","",F566+G566+H566+I566+J566+K566+L566)</f>
        <v/>
      </c>
      <c r="N566" s="27">
        <f>IF(E566="","",E566-M566)</f>
        <v/>
      </c>
      <c r="O566" s="14" t="n"/>
    </row>
    <row r="567">
      <c r="A567" s="24" t="n"/>
      <c r="B567" s="15" t="n"/>
      <c r="C567" s="15" t="n"/>
      <c r="D567" s="15" t="n"/>
      <c r="E567" s="25" t="n"/>
      <c r="F567" s="25">
        <f>IF(E567="","",E567*0.065)</f>
        <v/>
      </c>
      <c r="G567" s="25">
        <f>IF(E567="","",E567*0.03+0.25)</f>
        <v/>
      </c>
      <c r="H567" s="25" t="n"/>
      <c r="I567" s="25" t="n"/>
      <c r="J567" s="25" t="n"/>
      <c r="K567" s="25" t="n"/>
      <c r="L567" s="25" t="n"/>
      <c r="M567" s="25">
        <f>IF(E567="","",F567+G567+H567+I567+J567+K567+L567)</f>
        <v/>
      </c>
      <c r="N567" s="25">
        <f>IF(E567="","",E567-M567)</f>
        <v/>
      </c>
      <c r="O567" s="15" t="n"/>
    </row>
    <row r="568">
      <c r="A568" s="26" t="n"/>
      <c r="B568" s="14" t="n"/>
      <c r="C568" s="14" t="n"/>
      <c r="D568" s="14" t="n"/>
      <c r="E568" s="27" t="n"/>
      <c r="F568" s="27">
        <f>IF(E568="","",E568*0.065)</f>
        <v/>
      </c>
      <c r="G568" s="27">
        <f>IF(E568="","",E568*0.03+0.25)</f>
        <v/>
      </c>
      <c r="H568" s="27" t="n"/>
      <c r="I568" s="27" t="n"/>
      <c r="J568" s="27" t="n"/>
      <c r="K568" s="27" t="n"/>
      <c r="L568" s="27" t="n"/>
      <c r="M568" s="27">
        <f>IF(E568="","",F568+G568+H568+I568+J568+K568+L568)</f>
        <v/>
      </c>
      <c r="N568" s="27">
        <f>IF(E568="","",E568-M568)</f>
        <v/>
      </c>
      <c r="O568" s="14" t="n"/>
    </row>
    <row r="569">
      <c r="A569" s="24" t="n"/>
      <c r="B569" s="15" t="n"/>
      <c r="C569" s="15" t="n"/>
      <c r="D569" s="15" t="n"/>
      <c r="E569" s="25" t="n"/>
      <c r="F569" s="25">
        <f>IF(E569="","",E569*0.065)</f>
        <v/>
      </c>
      <c r="G569" s="25">
        <f>IF(E569="","",E569*0.03+0.25)</f>
        <v/>
      </c>
      <c r="H569" s="25" t="n"/>
      <c r="I569" s="25" t="n"/>
      <c r="J569" s="25" t="n"/>
      <c r="K569" s="25" t="n"/>
      <c r="L569" s="25" t="n"/>
      <c r="M569" s="25">
        <f>IF(E569="","",F569+G569+H569+I569+J569+K569+L569)</f>
        <v/>
      </c>
      <c r="N569" s="25">
        <f>IF(E569="","",E569-M569)</f>
        <v/>
      </c>
      <c r="O569" s="15" t="n"/>
    </row>
    <row r="570">
      <c r="A570" s="26" t="n"/>
      <c r="B570" s="14" t="n"/>
      <c r="C570" s="14" t="n"/>
      <c r="D570" s="14" t="n"/>
      <c r="E570" s="27" t="n"/>
      <c r="F570" s="27">
        <f>IF(E570="","",E570*0.065)</f>
        <v/>
      </c>
      <c r="G570" s="27">
        <f>IF(E570="","",E570*0.03+0.25)</f>
        <v/>
      </c>
      <c r="H570" s="27" t="n"/>
      <c r="I570" s="27" t="n"/>
      <c r="J570" s="27" t="n"/>
      <c r="K570" s="27" t="n"/>
      <c r="L570" s="27" t="n"/>
      <c r="M570" s="27">
        <f>IF(E570="","",F570+G570+H570+I570+J570+K570+L570)</f>
        <v/>
      </c>
      <c r="N570" s="27">
        <f>IF(E570="","",E570-M570)</f>
        <v/>
      </c>
      <c r="O570" s="14" t="n"/>
    </row>
    <row r="571">
      <c r="A571" s="24" t="n"/>
      <c r="B571" s="15" t="n"/>
      <c r="C571" s="15" t="n"/>
      <c r="D571" s="15" t="n"/>
      <c r="E571" s="25" t="n"/>
      <c r="F571" s="25">
        <f>IF(E571="","",E571*0.065)</f>
        <v/>
      </c>
      <c r="G571" s="25">
        <f>IF(E571="","",E571*0.03+0.25)</f>
        <v/>
      </c>
      <c r="H571" s="25" t="n"/>
      <c r="I571" s="25" t="n"/>
      <c r="J571" s="25" t="n"/>
      <c r="K571" s="25" t="n"/>
      <c r="L571" s="25" t="n"/>
      <c r="M571" s="25">
        <f>IF(E571="","",F571+G571+H571+I571+J571+K571+L571)</f>
        <v/>
      </c>
      <c r="N571" s="25">
        <f>IF(E571="","",E571-M571)</f>
        <v/>
      </c>
      <c r="O571" s="15" t="n"/>
    </row>
    <row r="572">
      <c r="A572" s="26" t="n"/>
      <c r="B572" s="14" t="n"/>
      <c r="C572" s="14" t="n"/>
      <c r="D572" s="14" t="n"/>
      <c r="E572" s="27" t="n"/>
      <c r="F572" s="27">
        <f>IF(E572="","",E572*0.065)</f>
        <v/>
      </c>
      <c r="G572" s="27">
        <f>IF(E572="","",E572*0.03+0.25)</f>
        <v/>
      </c>
      <c r="H572" s="27" t="n"/>
      <c r="I572" s="27" t="n"/>
      <c r="J572" s="27" t="n"/>
      <c r="K572" s="27" t="n"/>
      <c r="L572" s="27" t="n"/>
      <c r="M572" s="27">
        <f>IF(E572="","",F572+G572+H572+I572+J572+K572+L572)</f>
        <v/>
      </c>
      <c r="N572" s="27">
        <f>IF(E572="","",E572-M572)</f>
        <v/>
      </c>
      <c r="O572" s="14" t="n"/>
    </row>
    <row r="573">
      <c r="A573" s="24" t="n"/>
      <c r="B573" s="15" t="n"/>
      <c r="C573" s="15" t="n"/>
      <c r="D573" s="15" t="n"/>
      <c r="E573" s="25" t="n"/>
      <c r="F573" s="25">
        <f>IF(E573="","",E573*0.065)</f>
        <v/>
      </c>
      <c r="G573" s="25">
        <f>IF(E573="","",E573*0.03+0.25)</f>
        <v/>
      </c>
      <c r="H573" s="25" t="n"/>
      <c r="I573" s="25" t="n"/>
      <c r="J573" s="25" t="n"/>
      <c r="K573" s="25" t="n"/>
      <c r="L573" s="25" t="n"/>
      <c r="M573" s="25">
        <f>IF(E573="","",F573+G573+H573+I573+J573+K573+L573)</f>
        <v/>
      </c>
      <c r="N573" s="25">
        <f>IF(E573="","",E573-M573)</f>
        <v/>
      </c>
      <c r="O573" s="15" t="n"/>
    </row>
    <row r="574">
      <c r="A574" s="26" t="n"/>
      <c r="B574" s="14" t="n"/>
      <c r="C574" s="14" t="n"/>
      <c r="D574" s="14" t="n"/>
      <c r="E574" s="27" t="n"/>
      <c r="F574" s="27">
        <f>IF(E574="","",E574*0.065)</f>
        <v/>
      </c>
      <c r="G574" s="27">
        <f>IF(E574="","",E574*0.03+0.25)</f>
        <v/>
      </c>
      <c r="H574" s="27" t="n"/>
      <c r="I574" s="27" t="n"/>
      <c r="J574" s="27" t="n"/>
      <c r="K574" s="27" t="n"/>
      <c r="L574" s="27" t="n"/>
      <c r="M574" s="27">
        <f>IF(E574="","",F574+G574+H574+I574+J574+K574+L574)</f>
        <v/>
      </c>
      <c r="N574" s="27">
        <f>IF(E574="","",E574-M574)</f>
        <v/>
      </c>
      <c r="O574" s="14" t="n"/>
    </row>
    <row r="575">
      <c r="A575" s="24" t="n"/>
      <c r="B575" s="15" t="n"/>
      <c r="C575" s="15" t="n"/>
      <c r="D575" s="15" t="n"/>
      <c r="E575" s="25" t="n"/>
      <c r="F575" s="25">
        <f>IF(E575="","",E575*0.065)</f>
        <v/>
      </c>
      <c r="G575" s="25">
        <f>IF(E575="","",E575*0.03+0.25)</f>
        <v/>
      </c>
      <c r="H575" s="25" t="n"/>
      <c r="I575" s="25" t="n"/>
      <c r="J575" s="25" t="n"/>
      <c r="K575" s="25" t="n"/>
      <c r="L575" s="25" t="n"/>
      <c r="M575" s="25">
        <f>IF(E575="","",F575+G575+H575+I575+J575+K575+L575)</f>
        <v/>
      </c>
      <c r="N575" s="25">
        <f>IF(E575="","",E575-M575)</f>
        <v/>
      </c>
      <c r="O575" s="15" t="n"/>
    </row>
    <row r="576">
      <c r="A576" s="26" t="n"/>
      <c r="B576" s="14" t="n"/>
      <c r="C576" s="14" t="n"/>
      <c r="D576" s="14" t="n"/>
      <c r="E576" s="27" t="n"/>
      <c r="F576" s="27">
        <f>IF(E576="","",E576*0.065)</f>
        <v/>
      </c>
      <c r="G576" s="27">
        <f>IF(E576="","",E576*0.03+0.25)</f>
        <v/>
      </c>
      <c r="H576" s="27" t="n"/>
      <c r="I576" s="27" t="n"/>
      <c r="J576" s="27" t="n"/>
      <c r="K576" s="27" t="n"/>
      <c r="L576" s="27" t="n"/>
      <c r="M576" s="27">
        <f>IF(E576="","",F576+G576+H576+I576+J576+K576+L576)</f>
        <v/>
      </c>
      <c r="N576" s="27">
        <f>IF(E576="","",E576-M576)</f>
        <v/>
      </c>
      <c r="O576" s="14" t="n"/>
    </row>
    <row r="577">
      <c r="A577" s="24" t="n"/>
      <c r="B577" s="15" t="n"/>
      <c r="C577" s="15" t="n"/>
      <c r="D577" s="15" t="n"/>
      <c r="E577" s="25" t="n"/>
      <c r="F577" s="25">
        <f>IF(E577="","",E577*0.065)</f>
        <v/>
      </c>
      <c r="G577" s="25">
        <f>IF(E577="","",E577*0.03+0.25)</f>
        <v/>
      </c>
      <c r="H577" s="25" t="n"/>
      <c r="I577" s="25" t="n"/>
      <c r="J577" s="25" t="n"/>
      <c r="K577" s="25" t="n"/>
      <c r="L577" s="25" t="n"/>
      <c r="M577" s="25">
        <f>IF(E577="","",F577+G577+H577+I577+J577+K577+L577)</f>
        <v/>
      </c>
      <c r="N577" s="25">
        <f>IF(E577="","",E577-M577)</f>
        <v/>
      </c>
      <c r="O577" s="15" t="n"/>
    </row>
    <row r="578">
      <c r="A578" s="26" t="n"/>
      <c r="B578" s="14" t="n"/>
      <c r="C578" s="14" t="n"/>
      <c r="D578" s="14" t="n"/>
      <c r="E578" s="27" t="n"/>
      <c r="F578" s="27">
        <f>IF(E578="","",E578*0.065)</f>
        <v/>
      </c>
      <c r="G578" s="27">
        <f>IF(E578="","",E578*0.03+0.25)</f>
        <v/>
      </c>
      <c r="H578" s="27" t="n"/>
      <c r="I578" s="27" t="n"/>
      <c r="J578" s="27" t="n"/>
      <c r="K578" s="27" t="n"/>
      <c r="L578" s="27" t="n"/>
      <c r="M578" s="27">
        <f>IF(E578="","",F578+G578+H578+I578+J578+K578+L578)</f>
        <v/>
      </c>
      <c r="N578" s="27">
        <f>IF(E578="","",E578-M578)</f>
        <v/>
      </c>
      <c r="O578" s="14" t="n"/>
    </row>
    <row r="579">
      <c r="A579" s="24" t="n"/>
      <c r="B579" s="15" t="n"/>
      <c r="C579" s="15" t="n"/>
      <c r="D579" s="15" t="n"/>
      <c r="E579" s="25" t="n"/>
      <c r="F579" s="25">
        <f>IF(E579="","",E579*0.065)</f>
        <v/>
      </c>
      <c r="G579" s="25">
        <f>IF(E579="","",E579*0.03+0.25)</f>
        <v/>
      </c>
      <c r="H579" s="25" t="n"/>
      <c r="I579" s="25" t="n"/>
      <c r="J579" s="25" t="n"/>
      <c r="K579" s="25" t="n"/>
      <c r="L579" s="25" t="n"/>
      <c r="M579" s="25">
        <f>IF(E579="","",F579+G579+H579+I579+J579+K579+L579)</f>
        <v/>
      </c>
      <c r="N579" s="25">
        <f>IF(E579="","",E579-M579)</f>
        <v/>
      </c>
      <c r="O579" s="15" t="n"/>
    </row>
    <row r="580">
      <c r="A580" s="26" t="n"/>
      <c r="B580" s="14" t="n"/>
      <c r="C580" s="14" t="n"/>
      <c r="D580" s="14" t="n"/>
      <c r="E580" s="27" t="n"/>
      <c r="F580" s="27">
        <f>IF(E580="","",E580*0.065)</f>
        <v/>
      </c>
      <c r="G580" s="27">
        <f>IF(E580="","",E580*0.03+0.25)</f>
        <v/>
      </c>
      <c r="H580" s="27" t="n"/>
      <c r="I580" s="27" t="n"/>
      <c r="J580" s="27" t="n"/>
      <c r="K580" s="27" t="n"/>
      <c r="L580" s="27" t="n"/>
      <c r="M580" s="27">
        <f>IF(E580="","",F580+G580+H580+I580+J580+K580+L580)</f>
        <v/>
      </c>
      <c r="N580" s="27">
        <f>IF(E580="","",E580-M580)</f>
        <v/>
      </c>
      <c r="O580" s="14" t="n"/>
    </row>
    <row r="581">
      <c r="A581" s="24" t="n"/>
      <c r="B581" s="15" t="n"/>
      <c r="C581" s="15" t="n"/>
      <c r="D581" s="15" t="n"/>
      <c r="E581" s="25" t="n"/>
      <c r="F581" s="25">
        <f>IF(E581="","",E581*0.065)</f>
        <v/>
      </c>
      <c r="G581" s="25">
        <f>IF(E581="","",E581*0.03+0.25)</f>
        <v/>
      </c>
      <c r="H581" s="25" t="n"/>
      <c r="I581" s="25" t="n"/>
      <c r="J581" s="25" t="n"/>
      <c r="K581" s="25" t="n"/>
      <c r="L581" s="25" t="n"/>
      <c r="M581" s="25">
        <f>IF(E581="","",F581+G581+H581+I581+J581+K581+L581)</f>
        <v/>
      </c>
      <c r="N581" s="25">
        <f>IF(E581="","",E581-M581)</f>
        <v/>
      </c>
      <c r="O581" s="15" t="n"/>
    </row>
    <row r="582">
      <c r="A582" s="26" t="n"/>
      <c r="B582" s="14" t="n"/>
      <c r="C582" s="14" t="n"/>
      <c r="D582" s="14" t="n"/>
      <c r="E582" s="27" t="n"/>
      <c r="F582" s="27">
        <f>IF(E582="","",E582*0.065)</f>
        <v/>
      </c>
      <c r="G582" s="27">
        <f>IF(E582="","",E582*0.03+0.25)</f>
        <v/>
      </c>
      <c r="H582" s="27" t="n"/>
      <c r="I582" s="27" t="n"/>
      <c r="J582" s="27" t="n"/>
      <c r="K582" s="27" t="n"/>
      <c r="L582" s="27" t="n"/>
      <c r="M582" s="27">
        <f>IF(E582="","",F582+G582+H582+I582+J582+K582+L582)</f>
        <v/>
      </c>
      <c r="N582" s="27">
        <f>IF(E582="","",E582-M582)</f>
        <v/>
      </c>
      <c r="O582" s="14" t="n"/>
    </row>
    <row r="583">
      <c r="A583" s="24" t="n"/>
      <c r="B583" s="15" t="n"/>
      <c r="C583" s="15" t="n"/>
      <c r="D583" s="15" t="n"/>
      <c r="E583" s="25" t="n"/>
      <c r="F583" s="25">
        <f>IF(E583="","",E583*0.065)</f>
        <v/>
      </c>
      <c r="G583" s="25">
        <f>IF(E583="","",E583*0.03+0.25)</f>
        <v/>
      </c>
      <c r="H583" s="25" t="n"/>
      <c r="I583" s="25" t="n"/>
      <c r="J583" s="25" t="n"/>
      <c r="K583" s="25" t="n"/>
      <c r="L583" s="25" t="n"/>
      <c r="M583" s="25">
        <f>IF(E583="","",F583+G583+H583+I583+J583+K583+L583)</f>
        <v/>
      </c>
      <c r="N583" s="25">
        <f>IF(E583="","",E583-M583)</f>
        <v/>
      </c>
      <c r="O583" s="15" t="n"/>
    </row>
    <row r="584">
      <c r="A584" s="26" t="n"/>
      <c r="B584" s="14" t="n"/>
      <c r="C584" s="14" t="n"/>
      <c r="D584" s="14" t="n"/>
      <c r="E584" s="27" t="n"/>
      <c r="F584" s="27">
        <f>IF(E584="","",E584*0.065)</f>
        <v/>
      </c>
      <c r="G584" s="27">
        <f>IF(E584="","",E584*0.03+0.25)</f>
        <v/>
      </c>
      <c r="H584" s="27" t="n"/>
      <c r="I584" s="27" t="n"/>
      <c r="J584" s="27" t="n"/>
      <c r="K584" s="27" t="n"/>
      <c r="L584" s="27" t="n"/>
      <c r="M584" s="27">
        <f>IF(E584="","",F584+G584+H584+I584+J584+K584+L584)</f>
        <v/>
      </c>
      <c r="N584" s="27">
        <f>IF(E584="","",E584-M584)</f>
        <v/>
      </c>
      <c r="O584" s="14" t="n"/>
    </row>
    <row r="585">
      <c r="A585" s="24" t="n"/>
      <c r="B585" s="15" t="n"/>
      <c r="C585" s="15" t="n"/>
      <c r="D585" s="15" t="n"/>
      <c r="E585" s="25" t="n"/>
      <c r="F585" s="25">
        <f>IF(E585="","",E585*0.065)</f>
        <v/>
      </c>
      <c r="G585" s="25">
        <f>IF(E585="","",E585*0.03+0.25)</f>
        <v/>
      </c>
      <c r="H585" s="25" t="n"/>
      <c r="I585" s="25" t="n"/>
      <c r="J585" s="25" t="n"/>
      <c r="K585" s="25" t="n"/>
      <c r="L585" s="25" t="n"/>
      <c r="M585" s="25">
        <f>IF(E585="","",F585+G585+H585+I585+J585+K585+L585)</f>
        <v/>
      </c>
      <c r="N585" s="25">
        <f>IF(E585="","",E585-M585)</f>
        <v/>
      </c>
      <c r="O585" s="15" t="n"/>
    </row>
    <row r="586">
      <c r="A586" s="26" t="n"/>
      <c r="B586" s="14" t="n"/>
      <c r="C586" s="14" t="n"/>
      <c r="D586" s="14" t="n"/>
      <c r="E586" s="27" t="n"/>
      <c r="F586" s="27">
        <f>IF(E586="","",E586*0.065)</f>
        <v/>
      </c>
      <c r="G586" s="27">
        <f>IF(E586="","",E586*0.03+0.25)</f>
        <v/>
      </c>
      <c r="H586" s="27" t="n"/>
      <c r="I586" s="27" t="n"/>
      <c r="J586" s="27" t="n"/>
      <c r="K586" s="27" t="n"/>
      <c r="L586" s="27" t="n"/>
      <c r="M586" s="27">
        <f>IF(E586="","",F586+G586+H586+I586+J586+K586+L586)</f>
        <v/>
      </c>
      <c r="N586" s="27">
        <f>IF(E586="","",E586-M586)</f>
        <v/>
      </c>
      <c r="O586" s="14" t="n"/>
    </row>
    <row r="587">
      <c r="A587" s="24" t="n"/>
      <c r="B587" s="15" t="n"/>
      <c r="C587" s="15" t="n"/>
      <c r="D587" s="15" t="n"/>
      <c r="E587" s="25" t="n"/>
      <c r="F587" s="25">
        <f>IF(E587="","",E587*0.065)</f>
        <v/>
      </c>
      <c r="G587" s="25">
        <f>IF(E587="","",E587*0.03+0.25)</f>
        <v/>
      </c>
      <c r="H587" s="25" t="n"/>
      <c r="I587" s="25" t="n"/>
      <c r="J587" s="25" t="n"/>
      <c r="K587" s="25" t="n"/>
      <c r="L587" s="25" t="n"/>
      <c r="M587" s="25">
        <f>IF(E587="","",F587+G587+H587+I587+J587+K587+L587)</f>
        <v/>
      </c>
      <c r="N587" s="25">
        <f>IF(E587="","",E587-M587)</f>
        <v/>
      </c>
      <c r="O587" s="15" t="n"/>
    </row>
    <row r="588">
      <c r="A588" s="26" t="n"/>
      <c r="B588" s="14" t="n"/>
      <c r="C588" s="14" t="n"/>
      <c r="D588" s="14" t="n"/>
      <c r="E588" s="27" t="n"/>
      <c r="F588" s="27">
        <f>IF(E588="","",E588*0.065)</f>
        <v/>
      </c>
      <c r="G588" s="27">
        <f>IF(E588="","",E588*0.03+0.25)</f>
        <v/>
      </c>
      <c r="H588" s="27" t="n"/>
      <c r="I588" s="27" t="n"/>
      <c r="J588" s="27" t="n"/>
      <c r="K588" s="27" t="n"/>
      <c r="L588" s="27" t="n"/>
      <c r="M588" s="27">
        <f>IF(E588="","",F588+G588+H588+I588+J588+K588+L588)</f>
        <v/>
      </c>
      <c r="N588" s="27">
        <f>IF(E588="","",E588-M588)</f>
        <v/>
      </c>
      <c r="O588" s="14" t="n"/>
    </row>
    <row r="589">
      <c r="A589" s="24" t="n"/>
      <c r="B589" s="15" t="n"/>
      <c r="C589" s="15" t="n"/>
      <c r="D589" s="15" t="n"/>
      <c r="E589" s="25" t="n"/>
      <c r="F589" s="25">
        <f>IF(E589="","",E589*0.065)</f>
        <v/>
      </c>
      <c r="G589" s="25">
        <f>IF(E589="","",E589*0.03+0.25)</f>
        <v/>
      </c>
      <c r="H589" s="25" t="n"/>
      <c r="I589" s="25" t="n"/>
      <c r="J589" s="25" t="n"/>
      <c r="K589" s="25" t="n"/>
      <c r="L589" s="25" t="n"/>
      <c r="M589" s="25">
        <f>IF(E589="","",F589+G589+H589+I589+J589+K589+L589)</f>
        <v/>
      </c>
      <c r="N589" s="25">
        <f>IF(E589="","",E589-M589)</f>
        <v/>
      </c>
      <c r="O589" s="15" t="n"/>
    </row>
    <row r="590">
      <c r="A590" s="26" t="n"/>
      <c r="B590" s="14" t="n"/>
      <c r="C590" s="14" t="n"/>
      <c r="D590" s="14" t="n"/>
      <c r="E590" s="27" t="n"/>
      <c r="F590" s="27">
        <f>IF(E590="","",E590*0.065)</f>
        <v/>
      </c>
      <c r="G590" s="27">
        <f>IF(E590="","",E590*0.03+0.25)</f>
        <v/>
      </c>
      <c r="H590" s="27" t="n"/>
      <c r="I590" s="27" t="n"/>
      <c r="J590" s="27" t="n"/>
      <c r="K590" s="27" t="n"/>
      <c r="L590" s="27" t="n"/>
      <c r="M590" s="27">
        <f>IF(E590="","",F590+G590+H590+I590+J590+K590+L590)</f>
        <v/>
      </c>
      <c r="N590" s="27">
        <f>IF(E590="","",E590-M590)</f>
        <v/>
      </c>
      <c r="O590" s="14" t="n"/>
    </row>
    <row r="591">
      <c r="A591" s="24" t="n"/>
      <c r="B591" s="15" t="n"/>
      <c r="C591" s="15" t="n"/>
      <c r="D591" s="15" t="n"/>
      <c r="E591" s="25" t="n"/>
      <c r="F591" s="25">
        <f>IF(E591="","",E591*0.065)</f>
        <v/>
      </c>
      <c r="G591" s="25">
        <f>IF(E591="","",E591*0.03+0.25)</f>
        <v/>
      </c>
      <c r="H591" s="25" t="n"/>
      <c r="I591" s="25" t="n"/>
      <c r="J591" s="25" t="n"/>
      <c r="K591" s="25" t="n"/>
      <c r="L591" s="25" t="n"/>
      <c r="M591" s="25">
        <f>IF(E591="","",F591+G591+H591+I591+J591+K591+L591)</f>
        <v/>
      </c>
      <c r="N591" s="25">
        <f>IF(E591="","",E591-M591)</f>
        <v/>
      </c>
      <c r="O591" s="15" t="n"/>
    </row>
    <row r="592">
      <c r="A592" s="26" t="n"/>
      <c r="B592" s="14" t="n"/>
      <c r="C592" s="14" t="n"/>
      <c r="D592" s="14" t="n"/>
      <c r="E592" s="27" t="n"/>
      <c r="F592" s="27">
        <f>IF(E592="","",E592*0.065)</f>
        <v/>
      </c>
      <c r="G592" s="27">
        <f>IF(E592="","",E592*0.03+0.25)</f>
        <v/>
      </c>
      <c r="H592" s="27" t="n"/>
      <c r="I592" s="27" t="n"/>
      <c r="J592" s="27" t="n"/>
      <c r="K592" s="27" t="n"/>
      <c r="L592" s="27" t="n"/>
      <c r="M592" s="27">
        <f>IF(E592="","",F592+G592+H592+I592+J592+K592+L592)</f>
        <v/>
      </c>
      <c r="N592" s="27">
        <f>IF(E592="","",E592-M592)</f>
        <v/>
      </c>
      <c r="O592" s="14" t="n"/>
    </row>
    <row r="593">
      <c r="A593" s="24" t="n"/>
      <c r="B593" s="15" t="n"/>
      <c r="C593" s="15" t="n"/>
      <c r="D593" s="15" t="n"/>
      <c r="E593" s="25" t="n"/>
      <c r="F593" s="25">
        <f>IF(E593="","",E593*0.065)</f>
        <v/>
      </c>
      <c r="G593" s="25">
        <f>IF(E593="","",E593*0.03+0.25)</f>
        <v/>
      </c>
      <c r="H593" s="25" t="n"/>
      <c r="I593" s="25" t="n"/>
      <c r="J593" s="25" t="n"/>
      <c r="K593" s="25" t="n"/>
      <c r="L593" s="25" t="n"/>
      <c r="M593" s="25">
        <f>IF(E593="","",F593+G593+H593+I593+J593+K593+L593)</f>
        <v/>
      </c>
      <c r="N593" s="25">
        <f>IF(E593="","",E593-M593)</f>
        <v/>
      </c>
      <c r="O593" s="15" t="n"/>
    </row>
    <row r="594">
      <c r="A594" s="26" t="n"/>
      <c r="B594" s="14" t="n"/>
      <c r="C594" s="14" t="n"/>
      <c r="D594" s="14" t="n"/>
      <c r="E594" s="27" t="n"/>
      <c r="F594" s="27">
        <f>IF(E594="","",E594*0.065)</f>
        <v/>
      </c>
      <c r="G594" s="27">
        <f>IF(E594="","",E594*0.03+0.25)</f>
        <v/>
      </c>
      <c r="H594" s="27" t="n"/>
      <c r="I594" s="27" t="n"/>
      <c r="J594" s="27" t="n"/>
      <c r="K594" s="27" t="n"/>
      <c r="L594" s="27" t="n"/>
      <c r="M594" s="27">
        <f>IF(E594="","",F594+G594+H594+I594+J594+K594+L594)</f>
        <v/>
      </c>
      <c r="N594" s="27">
        <f>IF(E594="","",E594-M594)</f>
        <v/>
      </c>
      <c r="O594" s="14" t="n"/>
    </row>
    <row r="595">
      <c r="A595" s="24" t="n"/>
      <c r="B595" s="15" t="n"/>
      <c r="C595" s="15" t="n"/>
      <c r="D595" s="15" t="n"/>
      <c r="E595" s="25" t="n"/>
      <c r="F595" s="25">
        <f>IF(E595="","",E595*0.065)</f>
        <v/>
      </c>
      <c r="G595" s="25">
        <f>IF(E595="","",E595*0.03+0.25)</f>
        <v/>
      </c>
      <c r="H595" s="25" t="n"/>
      <c r="I595" s="25" t="n"/>
      <c r="J595" s="25" t="n"/>
      <c r="K595" s="25" t="n"/>
      <c r="L595" s="25" t="n"/>
      <c r="M595" s="25">
        <f>IF(E595="","",F595+G595+H595+I595+J595+K595+L595)</f>
        <v/>
      </c>
      <c r="N595" s="25">
        <f>IF(E595="","",E595-M595)</f>
        <v/>
      </c>
      <c r="O595" s="15" t="n"/>
    </row>
    <row r="596">
      <c r="A596" s="26" t="n"/>
      <c r="B596" s="14" t="n"/>
      <c r="C596" s="14" t="n"/>
      <c r="D596" s="14" t="n"/>
      <c r="E596" s="27" t="n"/>
      <c r="F596" s="27">
        <f>IF(E596="","",E596*0.065)</f>
        <v/>
      </c>
      <c r="G596" s="27">
        <f>IF(E596="","",E596*0.03+0.25)</f>
        <v/>
      </c>
      <c r="H596" s="27" t="n"/>
      <c r="I596" s="27" t="n"/>
      <c r="J596" s="27" t="n"/>
      <c r="K596" s="27" t="n"/>
      <c r="L596" s="27" t="n"/>
      <c r="M596" s="27">
        <f>IF(E596="","",F596+G596+H596+I596+J596+K596+L596)</f>
        <v/>
      </c>
      <c r="N596" s="27">
        <f>IF(E596="","",E596-M596)</f>
        <v/>
      </c>
      <c r="O596" s="14" t="n"/>
    </row>
    <row r="597">
      <c r="A597" s="24" t="n"/>
      <c r="B597" s="15" t="n"/>
      <c r="C597" s="15" t="n"/>
      <c r="D597" s="15" t="n"/>
      <c r="E597" s="25" t="n"/>
      <c r="F597" s="25">
        <f>IF(E597="","",E597*0.065)</f>
        <v/>
      </c>
      <c r="G597" s="25">
        <f>IF(E597="","",E597*0.03+0.25)</f>
        <v/>
      </c>
      <c r="H597" s="25" t="n"/>
      <c r="I597" s="25" t="n"/>
      <c r="J597" s="25" t="n"/>
      <c r="K597" s="25" t="n"/>
      <c r="L597" s="25" t="n"/>
      <c r="M597" s="25">
        <f>IF(E597="","",F597+G597+H597+I597+J597+K597+L597)</f>
        <v/>
      </c>
      <c r="N597" s="25">
        <f>IF(E597="","",E597-M597)</f>
        <v/>
      </c>
      <c r="O597" s="15" t="n"/>
    </row>
    <row r="598">
      <c r="A598" s="26" t="n"/>
      <c r="B598" s="14" t="n"/>
      <c r="C598" s="14" t="n"/>
      <c r="D598" s="14" t="n"/>
      <c r="E598" s="27" t="n"/>
      <c r="F598" s="27">
        <f>IF(E598="","",E598*0.065)</f>
        <v/>
      </c>
      <c r="G598" s="27">
        <f>IF(E598="","",E598*0.03+0.25)</f>
        <v/>
      </c>
      <c r="H598" s="27" t="n"/>
      <c r="I598" s="27" t="n"/>
      <c r="J598" s="27" t="n"/>
      <c r="K598" s="27" t="n"/>
      <c r="L598" s="27" t="n"/>
      <c r="M598" s="27">
        <f>IF(E598="","",F598+G598+H598+I598+J598+K598+L598)</f>
        <v/>
      </c>
      <c r="N598" s="27">
        <f>IF(E598="","",E598-M598)</f>
        <v/>
      </c>
      <c r="O598" s="14" t="n"/>
    </row>
    <row r="599">
      <c r="A599" s="24" t="n"/>
      <c r="B599" s="15" t="n"/>
      <c r="C599" s="15" t="n"/>
      <c r="D599" s="15" t="n"/>
      <c r="E599" s="25" t="n"/>
      <c r="F599" s="25">
        <f>IF(E599="","",E599*0.065)</f>
        <v/>
      </c>
      <c r="G599" s="25">
        <f>IF(E599="","",E599*0.03+0.25)</f>
        <v/>
      </c>
      <c r="H599" s="25" t="n"/>
      <c r="I599" s="25" t="n"/>
      <c r="J599" s="25" t="n"/>
      <c r="K599" s="25" t="n"/>
      <c r="L599" s="25" t="n"/>
      <c r="M599" s="25">
        <f>IF(E599="","",F599+G599+H599+I599+J599+K599+L599)</f>
        <v/>
      </c>
      <c r="N599" s="25">
        <f>IF(E599="","",E599-M599)</f>
        <v/>
      </c>
      <c r="O599" s="15" t="n"/>
    </row>
    <row r="600">
      <c r="A600" s="26" t="n"/>
      <c r="B600" s="14" t="n"/>
      <c r="C600" s="14" t="n"/>
      <c r="D600" s="14" t="n"/>
      <c r="E600" s="27" t="n"/>
      <c r="F600" s="27">
        <f>IF(E600="","",E600*0.065)</f>
        <v/>
      </c>
      <c r="G600" s="27">
        <f>IF(E600="","",E600*0.03+0.25)</f>
        <v/>
      </c>
      <c r="H600" s="27" t="n"/>
      <c r="I600" s="27" t="n"/>
      <c r="J600" s="27" t="n"/>
      <c r="K600" s="27" t="n"/>
      <c r="L600" s="27" t="n"/>
      <c r="M600" s="27">
        <f>IF(E600="","",F600+G600+H600+I600+J600+K600+L600)</f>
        <v/>
      </c>
      <c r="N600" s="27">
        <f>IF(E600="","",E600-M600)</f>
        <v/>
      </c>
      <c r="O600" s="14" t="n"/>
    </row>
    <row r="601">
      <c r="A601" s="24" t="n"/>
      <c r="B601" s="15" t="n"/>
      <c r="C601" s="15" t="n"/>
      <c r="D601" s="15" t="n"/>
      <c r="E601" s="25" t="n"/>
      <c r="F601" s="25">
        <f>IF(E601="","",E601*0.065)</f>
        <v/>
      </c>
      <c r="G601" s="25">
        <f>IF(E601="","",E601*0.03+0.25)</f>
        <v/>
      </c>
      <c r="H601" s="25" t="n"/>
      <c r="I601" s="25" t="n"/>
      <c r="J601" s="25" t="n"/>
      <c r="K601" s="25" t="n"/>
      <c r="L601" s="25" t="n"/>
      <c r="M601" s="25">
        <f>IF(E601="","",F601+G601+H601+I601+J601+K601+L601)</f>
        <v/>
      </c>
      <c r="N601" s="25">
        <f>IF(E601="","",E601-M601)</f>
        <v/>
      </c>
      <c r="O601" s="15" t="n"/>
    </row>
    <row r="602">
      <c r="A602" s="26" t="n"/>
      <c r="B602" s="14" t="n"/>
      <c r="C602" s="14" t="n"/>
      <c r="D602" s="14" t="n"/>
      <c r="E602" s="27" t="n"/>
      <c r="F602" s="27">
        <f>IF(E602="","",E602*0.065)</f>
        <v/>
      </c>
      <c r="G602" s="27">
        <f>IF(E602="","",E602*0.03+0.25)</f>
        <v/>
      </c>
      <c r="H602" s="27" t="n"/>
      <c r="I602" s="27" t="n"/>
      <c r="J602" s="27" t="n"/>
      <c r="K602" s="27" t="n"/>
      <c r="L602" s="27" t="n"/>
      <c r="M602" s="27">
        <f>IF(E602="","",F602+G602+H602+I602+J602+K602+L602)</f>
        <v/>
      </c>
      <c r="N602" s="27">
        <f>IF(E602="","",E602-M602)</f>
        <v/>
      </c>
      <c r="O602" s="14" t="n"/>
    </row>
    <row r="603">
      <c r="A603" s="24" t="n"/>
      <c r="B603" s="15" t="n"/>
      <c r="C603" s="15" t="n"/>
      <c r="D603" s="15" t="n"/>
      <c r="E603" s="25" t="n"/>
      <c r="F603" s="25">
        <f>IF(E603="","",E603*0.065)</f>
        <v/>
      </c>
      <c r="G603" s="25">
        <f>IF(E603="","",E603*0.03+0.25)</f>
        <v/>
      </c>
      <c r="H603" s="25" t="n"/>
      <c r="I603" s="25" t="n"/>
      <c r="J603" s="25" t="n"/>
      <c r="K603" s="25" t="n"/>
      <c r="L603" s="25" t="n"/>
      <c r="M603" s="25">
        <f>IF(E603="","",F603+G603+H603+I603+J603+K603+L603)</f>
        <v/>
      </c>
      <c r="N603" s="25">
        <f>IF(E603="","",E603-M603)</f>
        <v/>
      </c>
      <c r="O603" s="15" t="n"/>
    </row>
    <row r="604">
      <c r="A604" s="26" t="n"/>
      <c r="B604" s="14" t="n"/>
      <c r="C604" s="14" t="n"/>
      <c r="D604" s="14" t="n"/>
      <c r="E604" s="27" t="n"/>
      <c r="F604" s="27">
        <f>IF(E604="","",E604*0.065)</f>
        <v/>
      </c>
      <c r="G604" s="27">
        <f>IF(E604="","",E604*0.03+0.25)</f>
        <v/>
      </c>
      <c r="H604" s="27" t="n"/>
      <c r="I604" s="27" t="n"/>
      <c r="J604" s="27" t="n"/>
      <c r="K604" s="27" t="n"/>
      <c r="L604" s="27" t="n"/>
      <c r="M604" s="27">
        <f>IF(E604="","",F604+G604+H604+I604+J604+K604+L604)</f>
        <v/>
      </c>
      <c r="N604" s="27">
        <f>IF(E604="","",E604-M604)</f>
        <v/>
      </c>
      <c r="O604" s="14" t="n"/>
    </row>
    <row r="605">
      <c r="A605" s="24" t="n"/>
      <c r="B605" s="15" t="n"/>
      <c r="C605" s="15" t="n"/>
      <c r="D605" s="15" t="n"/>
      <c r="E605" s="25" t="n"/>
      <c r="F605" s="25">
        <f>IF(E605="","",E605*0.065)</f>
        <v/>
      </c>
      <c r="G605" s="25">
        <f>IF(E605="","",E605*0.03+0.25)</f>
        <v/>
      </c>
      <c r="H605" s="25" t="n"/>
      <c r="I605" s="25" t="n"/>
      <c r="J605" s="25" t="n"/>
      <c r="K605" s="25" t="n"/>
      <c r="L605" s="25" t="n"/>
      <c r="M605" s="25">
        <f>IF(E605="","",F605+G605+H605+I605+J605+K605+L605)</f>
        <v/>
      </c>
      <c r="N605" s="25">
        <f>IF(E605="","",E605-M605)</f>
        <v/>
      </c>
      <c r="O605" s="15" t="n"/>
    </row>
    <row r="606">
      <c r="A606" s="26" t="n"/>
      <c r="B606" s="14" t="n"/>
      <c r="C606" s="14" t="n"/>
      <c r="D606" s="14" t="n"/>
      <c r="E606" s="27" t="n"/>
      <c r="F606" s="27">
        <f>IF(E606="","",E606*0.065)</f>
        <v/>
      </c>
      <c r="G606" s="27">
        <f>IF(E606="","",E606*0.03+0.25)</f>
        <v/>
      </c>
      <c r="H606" s="27" t="n"/>
      <c r="I606" s="27" t="n"/>
      <c r="J606" s="27" t="n"/>
      <c r="K606" s="27" t="n"/>
      <c r="L606" s="27" t="n"/>
      <c r="M606" s="27">
        <f>IF(E606="","",F606+G606+H606+I606+J606+K606+L606)</f>
        <v/>
      </c>
      <c r="N606" s="27">
        <f>IF(E606="","",E606-M606)</f>
        <v/>
      </c>
      <c r="O606" s="14" t="n"/>
    </row>
    <row r="607">
      <c r="A607" s="24" t="n"/>
      <c r="B607" s="15" t="n"/>
      <c r="C607" s="15" t="n"/>
      <c r="D607" s="15" t="n"/>
      <c r="E607" s="25" t="n"/>
      <c r="F607" s="25">
        <f>IF(E607="","",E607*0.065)</f>
        <v/>
      </c>
      <c r="G607" s="25">
        <f>IF(E607="","",E607*0.03+0.25)</f>
        <v/>
      </c>
      <c r="H607" s="25" t="n"/>
      <c r="I607" s="25" t="n"/>
      <c r="J607" s="25" t="n"/>
      <c r="K607" s="25" t="n"/>
      <c r="L607" s="25" t="n"/>
      <c r="M607" s="25">
        <f>IF(E607="","",F607+G607+H607+I607+J607+K607+L607)</f>
        <v/>
      </c>
      <c r="N607" s="25">
        <f>IF(E607="","",E607-M607)</f>
        <v/>
      </c>
      <c r="O607" s="15" t="n"/>
    </row>
    <row r="608">
      <c r="A608" s="26" t="n"/>
      <c r="B608" s="14" t="n"/>
      <c r="C608" s="14" t="n"/>
      <c r="D608" s="14" t="n"/>
      <c r="E608" s="27" t="n"/>
      <c r="F608" s="27">
        <f>IF(E608="","",E608*0.065)</f>
        <v/>
      </c>
      <c r="G608" s="27">
        <f>IF(E608="","",E608*0.03+0.25)</f>
        <v/>
      </c>
      <c r="H608" s="27" t="n"/>
      <c r="I608" s="27" t="n"/>
      <c r="J608" s="27" t="n"/>
      <c r="K608" s="27" t="n"/>
      <c r="L608" s="27" t="n"/>
      <c r="M608" s="27">
        <f>IF(E608="","",F608+G608+H608+I608+J608+K608+L608)</f>
        <v/>
      </c>
      <c r="N608" s="27">
        <f>IF(E608="","",E608-M608)</f>
        <v/>
      </c>
      <c r="O608" s="14" t="n"/>
    </row>
    <row r="609">
      <c r="A609" s="24" t="n"/>
      <c r="B609" s="15" t="n"/>
      <c r="C609" s="15" t="n"/>
      <c r="D609" s="15" t="n"/>
      <c r="E609" s="25" t="n"/>
      <c r="F609" s="25">
        <f>IF(E609="","",E609*0.065)</f>
        <v/>
      </c>
      <c r="G609" s="25">
        <f>IF(E609="","",E609*0.03+0.25)</f>
        <v/>
      </c>
      <c r="H609" s="25" t="n"/>
      <c r="I609" s="25" t="n"/>
      <c r="J609" s="25" t="n"/>
      <c r="K609" s="25" t="n"/>
      <c r="L609" s="25" t="n"/>
      <c r="M609" s="25">
        <f>IF(E609="","",F609+G609+H609+I609+J609+K609+L609)</f>
        <v/>
      </c>
      <c r="N609" s="25">
        <f>IF(E609="","",E609-M609)</f>
        <v/>
      </c>
      <c r="O609" s="15" t="n"/>
    </row>
    <row r="610">
      <c r="A610" s="26" t="n"/>
      <c r="B610" s="14" t="n"/>
      <c r="C610" s="14" t="n"/>
      <c r="D610" s="14" t="n"/>
      <c r="E610" s="27" t="n"/>
      <c r="F610" s="27">
        <f>IF(E610="","",E610*0.065)</f>
        <v/>
      </c>
      <c r="G610" s="27">
        <f>IF(E610="","",E610*0.03+0.25)</f>
        <v/>
      </c>
      <c r="H610" s="27" t="n"/>
      <c r="I610" s="27" t="n"/>
      <c r="J610" s="27" t="n"/>
      <c r="K610" s="27" t="n"/>
      <c r="L610" s="27" t="n"/>
      <c r="M610" s="27">
        <f>IF(E610="","",F610+G610+H610+I610+J610+K610+L610)</f>
        <v/>
      </c>
      <c r="N610" s="27">
        <f>IF(E610="","",E610-M610)</f>
        <v/>
      </c>
      <c r="O610" s="14" t="n"/>
    </row>
    <row r="611">
      <c r="A611" s="24" t="n"/>
      <c r="B611" s="15" t="n"/>
      <c r="C611" s="15" t="n"/>
      <c r="D611" s="15" t="n"/>
      <c r="E611" s="25" t="n"/>
      <c r="F611" s="25">
        <f>IF(E611="","",E611*0.065)</f>
        <v/>
      </c>
      <c r="G611" s="25">
        <f>IF(E611="","",E611*0.03+0.25)</f>
        <v/>
      </c>
      <c r="H611" s="25" t="n"/>
      <c r="I611" s="25" t="n"/>
      <c r="J611" s="25" t="n"/>
      <c r="K611" s="25" t="n"/>
      <c r="L611" s="25" t="n"/>
      <c r="M611" s="25">
        <f>IF(E611="","",F611+G611+H611+I611+J611+K611+L611)</f>
        <v/>
      </c>
      <c r="N611" s="25">
        <f>IF(E611="","",E611-M611)</f>
        <v/>
      </c>
      <c r="O611" s="15" t="n"/>
    </row>
    <row r="612">
      <c r="A612" s="26" t="n"/>
      <c r="B612" s="14" t="n"/>
      <c r="C612" s="14" t="n"/>
      <c r="D612" s="14" t="n"/>
      <c r="E612" s="27" t="n"/>
      <c r="F612" s="27">
        <f>IF(E612="","",E612*0.065)</f>
        <v/>
      </c>
      <c r="G612" s="27">
        <f>IF(E612="","",E612*0.03+0.25)</f>
        <v/>
      </c>
      <c r="H612" s="27" t="n"/>
      <c r="I612" s="27" t="n"/>
      <c r="J612" s="27" t="n"/>
      <c r="K612" s="27" t="n"/>
      <c r="L612" s="27" t="n"/>
      <c r="M612" s="27">
        <f>IF(E612="","",F612+G612+H612+I612+J612+K612+L612)</f>
        <v/>
      </c>
      <c r="N612" s="27">
        <f>IF(E612="","",E612-M612)</f>
        <v/>
      </c>
      <c r="O612" s="14" t="n"/>
    </row>
    <row r="613">
      <c r="A613" s="24" t="n"/>
      <c r="B613" s="15" t="n"/>
      <c r="C613" s="15" t="n"/>
      <c r="D613" s="15" t="n"/>
      <c r="E613" s="25" t="n"/>
      <c r="F613" s="25">
        <f>IF(E613="","",E613*0.065)</f>
        <v/>
      </c>
      <c r="G613" s="25">
        <f>IF(E613="","",E613*0.03+0.25)</f>
        <v/>
      </c>
      <c r="H613" s="25" t="n"/>
      <c r="I613" s="25" t="n"/>
      <c r="J613" s="25" t="n"/>
      <c r="K613" s="25" t="n"/>
      <c r="L613" s="25" t="n"/>
      <c r="M613" s="25">
        <f>IF(E613="","",F613+G613+H613+I613+J613+K613+L613)</f>
        <v/>
      </c>
      <c r="N613" s="25">
        <f>IF(E613="","",E613-M613)</f>
        <v/>
      </c>
      <c r="O613" s="15" t="n"/>
    </row>
    <row r="614">
      <c r="A614" s="26" t="n"/>
      <c r="B614" s="14" t="n"/>
      <c r="C614" s="14" t="n"/>
      <c r="D614" s="14" t="n"/>
      <c r="E614" s="27" t="n"/>
      <c r="F614" s="27">
        <f>IF(E614="","",E614*0.065)</f>
        <v/>
      </c>
      <c r="G614" s="27">
        <f>IF(E614="","",E614*0.03+0.25)</f>
        <v/>
      </c>
      <c r="H614" s="27" t="n"/>
      <c r="I614" s="27" t="n"/>
      <c r="J614" s="27" t="n"/>
      <c r="K614" s="27" t="n"/>
      <c r="L614" s="27" t="n"/>
      <c r="M614" s="27">
        <f>IF(E614="","",F614+G614+H614+I614+J614+K614+L614)</f>
        <v/>
      </c>
      <c r="N614" s="27">
        <f>IF(E614="","",E614-M614)</f>
        <v/>
      </c>
      <c r="O614" s="14" t="n"/>
    </row>
    <row r="615">
      <c r="A615" s="24" t="n"/>
      <c r="B615" s="15" t="n"/>
      <c r="C615" s="15" t="n"/>
      <c r="D615" s="15" t="n"/>
      <c r="E615" s="25" t="n"/>
      <c r="F615" s="25">
        <f>IF(E615="","",E615*0.065)</f>
        <v/>
      </c>
      <c r="G615" s="25">
        <f>IF(E615="","",E615*0.03+0.25)</f>
        <v/>
      </c>
      <c r="H615" s="25" t="n"/>
      <c r="I615" s="25" t="n"/>
      <c r="J615" s="25" t="n"/>
      <c r="K615" s="25" t="n"/>
      <c r="L615" s="25" t="n"/>
      <c r="M615" s="25">
        <f>IF(E615="","",F615+G615+H615+I615+J615+K615+L615)</f>
        <v/>
      </c>
      <c r="N615" s="25">
        <f>IF(E615="","",E615-M615)</f>
        <v/>
      </c>
      <c r="O615" s="15" t="n"/>
    </row>
    <row r="616">
      <c r="A616" s="26" t="n"/>
      <c r="B616" s="14" t="n"/>
      <c r="C616" s="14" t="n"/>
      <c r="D616" s="14" t="n"/>
      <c r="E616" s="27" t="n"/>
      <c r="F616" s="27">
        <f>IF(E616="","",E616*0.065)</f>
        <v/>
      </c>
      <c r="G616" s="27">
        <f>IF(E616="","",E616*0.03+0.25)</f>
        <v/>
      </c>
      <c r="H616" s="27" t="n"/>
      <c r="I616" s="27" t="n"/>
      <c r="J616" s="27" t="n"/>
      <c r="K616" s="27" t="n"/>
      <c r="L616" s="27" t="n"/>
      <c r="M616" s="27">
        <f>IF(E616="","",F616+G616+H616+I616+J616+K616+L616)</f>
        <v/>
      </c>
      <c r="N616" s="27">
        <f>IF(E616="","",E616-M616)</f>
        <v/>
      </c>
      <c r="O616" s="14" t="n"/>
    </row>
    <row r="617">
      <c r="A617" s="24" t="n"/>
      <c r="B617" s="15" t="n"/>
      <c r="C617" s="15" t="n"/>
      <c r="D617" s="15" t="n"/>
      <c r="E617" s="25" t="n"/>
      <c r="F617" s="25">
        <f>IF(E617="","",E617*0.065)</f>
        <v/>
      </c>
      <c r="G617" s="25">
        <f>IF(E617="","",E617*0.03+0.25)</f>
        <v/>
      </c>
      <c r="H617" s="25" t="n"/>
      <c r="I617" s="25" t="n"/>
      <c r="J617" s="25" t="n"/>
      <c r="K617" s="25" t="n"/>
      <c r="L617" s="25" t="n"/>
      <c r="M617" s="25">
        <f>IF(E617="","",F617+G617+H617+I617+J617+K617+L617)</f>
        <v/>
      </c>
      <c r="N617" s="25">
        <f>IF(E617="","",E617-M617)</f>
        <v/>
      </c>
      <c r="O617" s="15" t="n"/>
    </row>
    <row r="618">
      <c r="A618" s="26" t="n"/>
      <c r="B618" s="14" t="n"/>
      <c r="C618" s="14" t="n"/>
      <c r="D618" s="14" t="n"/>
      <c r="E618" s="27" t="n"/>
      <c r="F618" s="27">
        <f>IF(E618="","",E618*0.065)</f>
        <v/>
      </c>
      <c r="G618" s="27">
        <f>IF(E618="","",E618*0.03+0.25)</f>
        <v/>
      </c>
      <c r="H618" s="27" t="n"/>
      <c r="I618" s="27" t="n"/>
      <c r="J618" s="27" t="n"/>
      <c r="K618" s="27" t="n"/>
      <c r="L618" s="27" t="n"/>
      <c r="M618" s="27">
        <f>IF(E618="","",F618+G618+H618+I618+J618+K618+L618)</f>
        <v/>
      </c>
      <c r="N618" s="27">
        <f>IF(E618="","",E618-M618)</f>
        <v/>
      </c>
      <c r="O618" s="14" t="n"/>
    </row>
    <row r="619">
      <c r="A619" s="24" t="n"/>
      <c r="B619" s="15" t="n"/>
      <c r="C619" s="15" t="n"/>
      <c r="D619" s="15" t="n"/>
      <c r="E619" s="25" t="n"/>
      <c r="F619" s="25">
        <f>IF(E619="","",E619*0.065)</f>
        <v/>
      </c>
      <c r="G619" s="25">
        <f>IF(E619="","",E619*0.03+0.25)</f>
        <v/>
      </c>
      <c r="H619" s="25" t="n"/>
      <c r="I619" s="25" t="n"/>
      <c r="J619" s="25" t="n"/>
      <c r="K619" s="25" t="n"/>
      <c r="L619" s="25" t="n"/>
      <c r="M619" s="25">
        <f>IF(E619="","",F619+G619+H619+I619+J619+K619+L619)</f>
        <v/>
      </c>
      <c r="N619" s="25">
        <f>IF(E619="","",E619-M619)</f>
        <v/>
      </c>
      <c r="O619" s="15" t="n"/>
    </row>
    <row r="620">
      <c r="A620" s="26" t="n"/>
      <c r="B620" s="14" t="n"/>
      <c r="C620" s="14" t="n"/>
      <c r="D620" s="14" t="n"/>
      <c r="E620" s="27" t="n"/>
      <c r="F620" s="27">
        <f>IF(E620="","",E620*0.065)</f>
        <v/>
      </c>
      <c r="G620" s="27">
        <f>IF(E620="","",E620*0.03+0.25)</f>
        <v/>
      </c>
      <c r="H620" s="27" t="n"/>
      <c r="I620" s="27" t="n"/>
      <c r="J620" s="27" t="n"/>
      <c r="K620" s="27" t="n"/>
      <c r="L620" s="27" t="n"/>
      <c r="M620" s="27">
        <f>IF(E620="","",F620+G620+H620+I620+J620+K620+L620)</f>
        <v/>
      </c>
      <c r="N620" s="27">
        <f>IF(E620="","",E620-M620)</f>
        <v/>
      </c>
      <c r="O620" s="14" t="n"/>
    </row>
    <row r="621">
      <c r="A621" s="24" t="n"/>
      <c r="B621" s="15" t="n"/>
      <c r="C621" s="15" t="n"/>
      <c r="D621" s="15" t="n"/>
      <c r="E621" s="25" t="n"/>
      <c r="F621" s="25">
        <f>IF(E621="","",E621*0.065)</f>
        <v/>
      </c>
      <c r="G621" s="25">
        <f>IF(E621="","",E621*0.03+0.25)</f>
        <v/>
      </c>
      <c r="H621" s="25" t="n"/>
      <c r="I621" s="25" t="n"/>
      <c r="J621" s="25" t="n"/>
      <c r="K621" s="25" t="n"/>
      <c r="L621" s="25" t="n"/>
      <c r="M621" s="25">
        <f>IF(E621="","",F621+G621+H621+I621+J621+K621+L621)</f>
        <v/>
      </c>
      <c r="N621" s="25">
        <f>IF(E621="","",E621-M621)</f>
        <v/>
      </c>
      <c r="O621" s="15" t="n"/>
    </row>
    <row r="622">
      <c r="A622" s="26" t="n"/>
      <c r="B622" s="14" t="n"/>
      <c r="C622" s="14" t="n"/>
      <c r="D622" s="14" t="n"/>
      <c r="E622" s="27" t="n"/>
      <c r="F622" s="27">
        <f>IF(E622="","",E622*0.065)</f>
        <v/>
      </c>
      <c r="G622" s="27">
        <f>IF(E622="","",E622*0.03+0.25)</f>
        <v/>
      </c>
      <c r="H622" s="27" t="n"/>
      <c r="I622" s="27" t="n"/>
      <c r="J622" s="27" t="n"/>
      <c r="K622" s="27" t="n"/>
      <c r="L622" s="27" t="n"/>
      <c r="M622" s="27">
        <f>IF(E622="","",F622+G622+H622+I622+J622+K622+L622)</f>
        <v/>
      </c>
      <c r="N622" s="27">
        <f>IF(E622="","",E622-M622)</f>
        <v/>
      </c>
      <c r="O622" s="14" t="n"/>
    </row>
    <row r="623">
      <c r="A623" s="24" t="n"/>
      <c r="B623" s="15" t="n"/>
      <c r="C623" s="15" t="n"/>
      <c r="D623" s="15" t="n"/>
      <c r="E623" s="25" t="n"/>
      <c r="F623" s="25">
        <f>IF(E623="","",E623*0.065)</f>
        <v/>
      </c>
      <c r="G623" s="25">
        <f>IF(E623="","",E623*0.03+0.25)</f>
        <v/>
      </c>
      <c r="H623" s="25" t="n"/>
      <c r="I623" s="25" t="n"/>
      <c r="J623" s="25" t="n"/>
      <c r="K623" s="25" t="n"/>
      <c r="L623" s="25" t="n"/>
      <c r="M623" s="25">
        <f>IF(E623="","",F623+G623+H623+I623+J623+K623+L623)</f>
        <v/>
      </c>
      <c r="N623" s="25">
        <f>IF(E623="","",E623-M623)</f>
        <v/>
      </c>
      <c r="O623" s="15" t="n"/>
    </row>
    <row r="624">
      <c r="A624" s="26" t="n"/>
      <c r="B624" s="14" t="n"/>
      <c r="C624" s="14" t="n"/>
      <c r="D624" s="14" t="n"/>
      <c r="E624" s="27" t="n"/>
      <c r="F624" s="27">
        <f>IF(E624="","",E624*0.065)</f>
        <v/>
      </c>
      <c r="G624" s="27">
        <f>IF(E624="","",E624*0.03+0.25)</f>
        <v/>
      </c>
      <c r="H624" s="27" t="n"/>
      <c r="I624" s="27" t="n"/>
      <c r="J624" s="27" t="n"/>
      <c r="K624" s="27" t="n"/>
      <c r="L624" s="27" t="n"/>
      <c r="M624" s="27">
        <f>IF(E624="","",F624+G624+H624+I624+J624+K624+L624)</f>
        <v/>
      </c>
      <c r="N624" s="27">
        <f>IF(E624="","",E624-M624)</f>
        <v/>
      </c>
      <c r="O624" s="14" t="n"/>
    </row>
    <row r="625">
      <c r="A625" s="24" t="n"/>
      <c r="B625" s="15" t="n"/>
      <c r="C625" s="15" t="n"/>
      <c r="D625" s="15" t="n"/>
      <c r="E625" s="25" t="n"/>
      <c r="F625" s="25">
        <f>IF(E625="","",E625*0.065)</f>
        <v/>
      </c>
      <c r="G625" s="25">
        <f>IF(E625="","",E625*0.03+0.25)</f>
        <v/>
      </c>
      <c r="H625" s="25" t="n"/>
      <c r="I625" s="25" t="n"/>
      <c r="J625" s="25" t="n"/>
      <c r="K625" s="25" t="n"/>
      <c r="L625" s="25" t="n"/>
      <c r="M625" s="25">
        <f>IF(E625="","",F625+G625+H625+I625+J625+K625+L625)</f>
        <v/>
      </c>
      <c r="N625" s="25">
        <f>IF(E625="","",E625-M625)</f>
        <v/>
      </c>
      <c r="O625" s="15" t="n"/>
    </row>
    <row r="626">
      <c r="A626" s="26" t="n"/>
      <c r="B626" s="14" t="n"/>
      <c r="C626" s="14" t="n"/>
      <c r="D626" s="14" t="n"/>
      <c r="E626" s="27" t="n"/>
      <c r="F626" s="27">
        <f>IF(E626="","",E626*0.065)</f>
        <v/>
      </c>
      <c r="G626" s="27">
        <f>IF(E626="","",E626*0.03+0.25)</f>
        <v/>
      </c>
      <c r="H626" s="27" t="n"/>
      <c r="I626" s="27" t="n"/>
      <c r="J626" s="27" t="n"/>
      <c r="K626" s="27" t="n"/>
      <c r="L626" s="27" t="n"/>
      <c r="M626" s="27">
        <f>IF(E626="","",F626+G626+H626+I626+J626+K626+L626)</f>
        <v/>
      </c>
      <c r="N626" s="27">
        <f>IF(E626="","",E626-M626)</f>
        <v/>
      </c>
      <c r="O626" s="14" t="n"/>
    </row>
    <row r="627">
      <c r="A627" s="24" t="n"/>
      <c r="B627" s="15" t="n"/>
      <c r="C627" s="15" t="n"/>
      <c r="D627" s="15" t="n"/>
      <c r="E627" s="25" t="n"/>
      <c r="F627" s="25">
        <f>IF(E627="","",E627*0.065)</f>
        <v/>
      </c>
      <c r="G627" s="25">
        <f>IF(E627="","",E627*0.03+0.25)</f>
        <v/>
      </c>
      <c r="H627" s="25" t="n"/>
      <c r="I627" s="25" t="n"/>
      <c r="J627" s="25" t="n"/>
      <c r="K627" s="25" t="n"/>
      <c r="L627" s="25" t="n"/>
      <c r="M627" s="25">
        <f>IF(E627="","",F627+G627+H627+I627+J627+K627+L627)</f>
        <v/>
      </c>
      <c r="N627" s="25">
        <f>IF(E627="","",E627-M627)</f>
        <v/>
      </c>
      <c r="O627" s="15" t="n"/>
    </row>
    <row r="628">
      <c r="A628" s="26" t="n"/>
      <c r="B628" s="14" t="n"/>
      <c r="C628" s="14" t="n"/>
      <c r="D628" s="14" t="n"/>
      <c r="E628" s="27" t="n"/>
      <c r="F628" s="27">
        <f>IF(E628="","",E628*0.065)</f>
        <v/>
      </c>
      <c r="G628" s="27">
        <f>IF(E628="","",E628*0.03+0.25)</f>
        <v/>
      </c>
      <c r="H628" s="27" t="n"/>
      <c r="I628" s="27" t="n"/>
      <c r="J628" s="27" t="n"/>
      <c r="K628" s="27" t="n"/>
      <c r="L628" s="27" t="n"/>
      <c r="M628" s="27">
        <f>IF(E628="","",F628+G628+H628+I628+J628+K628+L628)</f>
        <v/>
      </c>
      <c r="N628" s="27">
        <f>IF(E628="","",E628-M628)</f>
        <v/>
      </c>
      <c r="O628" s="14" t="n"/>
    </row>
    <row r="629">
      <c r="A629" s="24" t="n"/>
      <c r="B629" s="15" t="n"/>
      <c r="C629" s="15" t="n"/>
      <c r="D629" s="15" t="n"/>
      <c r="E629" s="25" t="n"/>
      <c r="F629" s="25">
        <f>IF(E629="","",E629*0.065)</f>
        <v/>
      </c>
      <c r="G629" s="25">
        <f>IF(E629="","",E629*0.03+0.25)</f>
        <v/>
      </c>
      <c r="H629" s="25" t="n"/>
      <c r="I629" s="25" t="n"/>
      <c r="J629" s="25" t="n"/>
      <c r="K629" s="25" t="n"/>
      <c r="L629" s="25" t="n"/>
      <c r="M629" s="25">
        <f>IF(E629="","",F629+G629+H629+I629+J629+K629+L629)</f>
        <v/>
      </c>
      <c r="N629" s="25">
        <f>IF(E629="","",E629-M629)</f>
        <v/>
      </c>
      <c r="O629" s="15" t="n"/>
    </row>
    <row r="630">
      <c r="A630" s="26" t="n"/>
      <c r="B630" s="14" t="n"/>
      <c r="C630" s="14" t="n"/>
      <c r="D630" s="14" t="n"/>
      <c r="E630" s="27" t="n"/>
      <c r="F630" s="27">
        <f>IF(E630="","",E630*0.065)</f>
        <v/>
      </c>
      <c r="G630" s="27">
        <f>IF(E630="","",E630*0.03+0.25)</f>
        <v/>
      </c>
      <c r="H630" s="27" t="n"/>
      <c r="I630" s="27" t="n"/>
      <c r="J630" s="27" t="n"/>
      <c r="K630" s="27" t="n"/>
      <c r="L630" s="27" t="n"/>
      <c r="M630" s="27">
        <f>IF(E630="","",F630+G630+H630+I630+J630+K630+L630)</f>
        <v/>
      </c>
      <c r="N630" s="27">
        <f>IF(E630="","",E630-M630)</f>
        <v/>
      </c>
      <c r="O630" s="14" t="n"/>
    </row>
    <row r="631">
      <c r="A631" s="24" t="n"/>
      <c r="B631" s="15" t="n"/>
      <c r="C631" s="15" t="n"/>
      <c r="D631" s="15" t="n"/>
      <c r="E631" s="25" t="n"/>
      <c r="F631" s="25">
        <f>IF(E631="","",E631*0.065)</f>
        <v/>
      </c>
      <c r="G631" s="25">
        <f>IF(E631="","",E631*0.03+0.25)</f>
        <v/>
      </c>
      <c r="H631" s="25" t="n"/>
      <c r="I631" s="25" t="n"/>
      <c r="J631" s="25" t="n"/>
      <c r="K631" s="25" t="n"/>
      <c r="L631" s="25" t="n"/>
      <c r="M631" s="25">
        <f>IF(E631="","",F631+G631+H631+I631+J631+K631+L631)</f>
        <v/>
      </c>
      <c r="N631" s="25">
        <f>IF(E631="","",E631-M631)</f>
        <v/>
      </c>
      <c r="O631" s="15" t="n"/>
    </row>
    <row r="632">
      <c r="A632" s="26" t="n"/>
      <c r="B632" s="14" t="n"/>
      <c r="C632" s="14" t="n"/>
      <c r="D632" s="14" t="n"/>
      <c r="E632" s="27" t="n"/>
      <c r="F632" s="27">
        <f>IF(E632="","",E632*0.065)</f>
        <v/>
      </c>
      <c r="G632" s="27">
        <f>IF(E632="","",E632*0.03+0.25)</f>
        <v/>
      </c>
      <c r="H632" s="27" t="n"/>
      <c r="I632" s="27" t="n"/>
      <c r="J632" s="27" t="n"/>
      <c r="K632" s="27" t="n"/>
      <c r="L632" s="27" t="n"/>
      <c r="M632" s="27">
        <f>IF(E632="","",F632+G632+H632+I632+J632+K632+L632)</f>
        <v/>
      </c>
      <c r="N632" s="27">
        <f>IF(E632="","",E632-M632)</f>
        <v/>
      </c>
      <c r="O632" s="14" t="n"/>
    </row>
    <row r="633">
      <c r="A633" s="24" t="n"/>
      <c r="B633" s="15" t="n"/>
      <c r="C633" s="15" t="n"/>
      <c r="D633" s="15" t="n"/>
      <c r="E633" s="25" t="n"/>
      <c r="F633" s="25">
        <f>IF(E633="","",E633*0.065)</f>
        <v/>
      </c>
      <c r="G633" s="25">
        <f>IF(E633="","",E633*0.03+0.25)</f>
        <v/>
      </c>
      <c r="H633" s="25" t="n"/>
      <c r="I633" s="25" t="n"/>
      <c r="J633" s="25" t="n"/>
      <c r="K633" s="25" t="n"/>
      <c r="L633" s="25" t="n"/>
      <c r="M633" s="25">
        <f>IF(E633="","",F633+G633+H633+I633+J633+K633+L633)</f>
        <v/>
      </c>
      <c r="N633" s="25">
        <f>IF(E633="","",E633-M633)</f>
        <v/>
      </c>
      <c r="O633" s="15" t="n"/>
    </row>
    <row r="634">
      <c r="A634" s="26" t="n"/>
      <c r="B634" s="14" t="n"/>
      <c r="C634" s="14" t="n"/>
      <c r="D634" s="14" t="n"/>
      <c r="E634" s="27" t="n"/>
      <c r="F634" s="27">
        <f>IF(E634="","",E634*0.065)</f>
        <v/>
      </c>
      <c r="G634" s="27">
        <f>IF(E634="","",E634*0.03+0.25)</f>
        <v/>
      </c>
      <c r="H634" s="27" t="n"/>
      <c r="I634" s="27" t="n"/>
      <c r="J634" s="27" t="n"/>
      <c r="K634" s="27" t="n"/>
      <c r="L634" s="27" t="n"/>
      <c r="M634" s="27">
        <f>IF(E634="","",F634+G634+H634+I634+J634+K634+L634)</f>
        <v/>
      </c>
      <c r="N634" s="27">
        <f>IF(E634="","",E634-M634)</f>
        <v/>
      </c>
      <c r="O634" s="14" t="n"/>
    </row>
    <row r="635">
      <c r="A635" s="24" t="n"/>
      <c r="B635" s="15" t="n"/>
      <c r="C635" s="15" t="n"/>
      <c r="D635" s="15" t="n"/>
      <c r="E635" s="25" t="n"/>
      <c r="F635" s="25">
        <f>IF(E635="","",E635*0.065)</f>
        <v/>
      </c>
      <c r="G635" s="25">
        <f>IF(E635="","",E635*0.03+0.25)</f>
        <v/>
      </c>
      <c r="H635" s="25" t="n"/>
      <c r="I635" s="25" t="n"/>
      <c r="J635" s="25" t="n"/>
      <c r="K635" s="25" t="n"/>
      <c r="L635" s="25" t="n"/>
      <c r="M635" s="25">
        <f>IF(E635="","",F635+G635+H635+I635+J635+K635+L635)</f>
        <v/>
      </c>
      <c r="N635" s="25">
        <f>IF(E635="","",E635-M635)</f>
        <v/>
      </c>
      <c r="O635" s="15" t="n"/>
    </row>
    <row r="636">
      <c r="A636" s="26" t="n"/>
      <c r="B636" s="14" t="n"/>
      <c r="C636" s="14" t="n"/>
      <c r="D636" s="14" t="n"/>
      <c r="E636" s="27" t="n"/>
      <c r="F636" s="27">
        <f>IF(E636="","",E636*0.065)</f>
        <v/>
      </c>
      <c r="G636" s="27">
        <f>IF(E636="","",E636*0.03+0.25)</f>
        <v/>
      </c>
      <c r="H636" s="27" t="n"/>
      <c r="I636" s="27" t="n"/>
      <c r="J636" s="27" t="n"/>
      <c r="K636" s="27" t="n"/>
      <c r="L636" s="27" t="n"/>
      <c r="M636" s="27">
        <f>IF(E636="","",F636+G636+H636+I636+J636+K636+L636)</f>
        <v/>
      </c>
      <c r="N636" s="27">
        <f>IF(E636="","",E636-M636)</f>
        <v/>
      </c>
      <c r="O636" s="14" t="n"/>
    </row>
    <row r="637">
      <c r="A637" s="24" t="n"/>
      <c r="B637" s="15" t="n"/>
      <c r="C637" s="15" t="n"/>
      <c r="D637" s="15" t="n"/>
      <c r="E637" s="25" t="n"/>
      <c r="F637" s="25">
        <f>IF(E637="","",E637*0.065)</f>
        <v/>
      </c>
      <c r="G637" s="25">
        <f>IF(E637="","",E637*0.03+0.25)</f>
        <v/>
      </c>
      <c r="H637" s="25" t="n"/>
      <c r="I637" s="25" t="n"/>
      <c r="J637" s="25" t="n"/>
      <c r="K637" s="25" t="n"/>
      <c r="L637" s="25" t="n"/>
      <c r="M637" s="25">
        <f>IF(E637="","",F637+G637+H637+I637+J637+K637+L637)</f>
        <v/>
      </c>
      <c r="N637" s="25">
        <f>IF(E637="","",E637-M637)</f>
        <v/>
      </c>
      <c r="O637" s="15" t="n"/>
    </row>
    <row r="638">
      <c r="A638" s="26" t="n"/>
      <c r="B638" s="14" t="n"/>
      <c r="C638" s="14" t="n"/>
      <c r="D638" s="14" t="n"/>
      <c r="E638" s="27" t="n"/>
      <c r="F638" s="27">
        <f>IF(E638="","",E638*0.065)</f>
        <v/>
      </c>
      <c r="G638" s="27">
        <f>IF(E638="","",E638*0.03+0.25)</f>
        <v/>
      </c>
      <c r="H638" s="27" t="n"/>
      <c r="I638" s="27" t="n"/>
      <c r="J638" s="27" t="n"/>
      <c r="K638" s="27" t="n"/>
      <c r="L638" s="27" t="n"/>
      <c r="M638" s="27">
        <f>IF(E638="","",F638+G638+H638+I638+J638+K638+L638)</f>
        <v/>
      </c>
      <c r="N638" s="27">
        <f>IF(E638="","",E638-M638)</f>
        <v/>
      </c>
      <c r="O638" s="14" t="n"/>
    </row>
    <row r="639">
      <c r="A639" s="24" t="n"/>
      <c r="B639" s="15" t="n"/>
      <c r="C639" s="15" t="n"/>
      <c r="D639" s="15" t="n"/>
      <c r="E639" s="25" t="n"/>
      <c r="F639" s="25">
        <f>IF(E639="","",E639*0.065)</f>
        <v/>
      </c>
      <c r="G639" s="25">
        <f>IF(E639="","",E639*0.03+0.25)</f>
        <v/>
      </c>
      <c r="H639" s="25" t="n"/>
      <c r="I639" s="25" t="n"/>
      <c r="J639" s="25" t="n"/>
      <c r="K639" s="25" t="n"/>
      <c r="L639" s="25" t="n"/>
      <c r="M639" s="25">
        <f>IF(E639="","",F639+G639+H639+I639+J639+K639+L639)</f>
        <v/>
      </c>
      <c r="N639" s="25">
        <f>IF(E639="","",E639-M639)</f>
        <v/>
      </c>
      <c r="O639" s="15" t="n"/>
    </row>
    <row r="640">
      <c r="A640" s="26" t="n"/>
      <c r="B640" s="14" t="n"/>
      <c r="C640" s="14" t="n"/>
      <c r="D640" s="14" t="n"/>
      <c r="E640" s="27" t="n"/>
      <c r="F640" s="27">
        <f>IF(E640="","",E640*0.065)</f>
        <v/>
      </c>
      <c r="G640" s="27">
        <f>IF(E640="","",E640*0.03+0.25)</f>
        <v/>
      </c>
      <c r="H640" s="27" t="n"/>
      <c r="I640" s="27" t="n"/>
      <c r="J640" s="27" t="n"/>
      <c r="K640" s="27" t="n"/>
      <c r="L640" s="27" t="n"/>
      <c r="M640" s="27">
        <f>IF(E640="","",F640+G640+H640+I640+J640+K640+L640)</f>
        <v/>
      </c>
      <c r="N640" s="27">
        <f>IF(E640="","",E640-M640)</f>
        <v/>
      </c>
      <c r="O640" s="14" t="n"/>
    </row>
    <row r="641">
      <c r="A641" s="24" t="n"/>
      <c r="B641" s="15" t="n"/>
      <c r="C641" s="15" t="n"/>
      <c r="D641" s="15" t="n"/>
      <c r="E641" s="25" t="n"/>
      <c r="F641" s="25">
        <f>IF(E641="","",E641*0.065)</f>
        <v/>
      </c>
      <c r="G641" s="25">
        <f>IF(E641="","",E641*0.03+0.25)</f>
        <v/>
      </c>
      <c r="H641" s="25" t="n"/>
      <c r="I641" s="25" t="n"/>
      <c r="J641" s="25" t="n"/>
      <c r="K641" s="25" t="n"/>
      <c r="L641" s="25" t="n"/>
      <c r="M641" s="25">
        <f>IF(E641="","",F641+G641+H641+I641+J641+K641+L641)</f>
        <v/>
      </c>
      <c r="N641" s="25">
        <f>IF(E641="","",E641-M641)</f>
        <v/>
      </c>
      <c r="O641" s="15" t="n"/>
    </row>
    <row r="642">
      <c r="A642" s="26" t="n"/>
      <c r="B642" s="14" t="n"/>
      <c r="C642" s="14" t="n"/>
      <c r="D642" s="14" t="n"/>
      <c r="E642" s="27" t="n"/>
      <c r="F642" s="27">
        <f>IF(E642="","",E642*0.065)</f>
        <v/>
      </c>
      <c r="G642" s="27">
        <f>IF(E642="","",E642*0.03+0.25)</f>
        <v/>
      </c>
      <c r="H642" s="27" t="n"/>
      <c r="I642" s="27" t="n"/>
      <c r="J642" s="27" t="n"/>
      <c r="K642" s="27" t="n"/>
      <c r="L642" s="27" t="n"/>
      <c r="M642" s="27">
        <f>IF(E642="","",F642+G642+H642+I642+J642+K642+L642)</f>
        <v/>
      </c>
      <c r="N642" s="27">
        <f>IF(E642="","",E642-M642)</f>
        <v/>
      </c>
      <c r="O642" s="14" t="n"/>
    </row>
    <row r="643">
      <c r="A643" s="24" t="n"/>
      <c r="B643" s="15" t="n"/>
      <c r="C643" s="15" t="n"/>
      <c r="D643" s="15" t="n"/>
      <c r="E643" s="25" t="n"/>
      <c r="F643" s="25">
        <f>IF(E643="","",E643*0.065)</f>
        <v/>
      </c>
      <c r="G643" s="25">
        <f>IF(E643="","",E643*0.03+0.25)</f>
        <v/>
      </c>
      <c r="H643" s="25" t="n"/>
      <c r="I643" s="25" t="n"/>
      <c r="J643" s="25" t="n"/>
      <c r="K643" s="25" t="n"/>
      <c r="L643" s="25" t="n"/>
      <c r="M643" s="25">
        <f>IF(E643="","",F643+G643+H643+I643+J643+K643+L643)</f>
        <v/>
      </c>
      <c r="N643" s="25">
        <f>IF(E643="","",E643-M643)</f>
        <v/>
      </c>
      <c r="O643" s="15" t="n"/>
    </row>
    <row r="644">
      <c r="A644" s="26" t="n"/>
      <c r="B644" s="14" t="n"/>
      <c r="C644" s="14" t="n"/>
      <c r="D644" s="14" t="n"/>
      <c r="E644" s="27" t="n"/>
      <c r="F644" s="27">
        <f>IF(E644="","",E644*0.065)</f>
        <v/>
      </c>
      <c r="G644" s="27">
        <f>IF(E644="","",E644*0.03+0.25)</f>
        <v/>
      </c>
      <c r="H644" s="27" t="n"/>
      <c r="I644" s="27" t="n"/>
      <c r="J644" s="27" t="n"/>
      <c r="K644" s="27" t="n"/>
      <c r="L644" s="27" t="n"/>
      <c r="M644" s="27">
        <f>IF(E644="","",F644+G644+H644+I644+J644+K644+L644)</f>
        <v/>
      </c>
      <c r="N644" s="27">
        <f>IF(E644="","",E644-M644)</f>
        <v/>
      </c>
      <c r="O644" s="14" t="n"/>
    </row>
    <row r="645">
      <c r="A645" s="24" t="n"/>
      <c r="B645" s="15" t="n"/>
      <c r="C645" s="15" t="n"/>
      <c r="D645" s="15" t="n"/>
      <c r="E645" s="25" t="n"/>
      <c r="F645" s="25">
        <f>IF(E645="","",E645*0.065)</f>
        <v/>
      </c>
      <c r="G645" s="25">
        <f>IF(E645="","",E645*0.03+0.25)</f>
        <v/>
      </c>
      <c r="H645" s="25" t="n"/>
      <c r="I645" s="25" t="n"/>
      <c r="J645" s="25" t="n"/>
      <c r="K645" s="25" t="n"/>
      <c r="L645" s="25" t="n"/>
      <c r="M645" s="25">
        <f>IF(E645="","",F645+G645+H645+I645+J645+K645+L645)</f>
        <v/>
      </c>
      <c r="N645" s="25">
        <f>IF(E645="","",E645-M645)</f>
        <v/>
      </c>
      <c r="O645" s="15" t="n"/>
    </row>
    <row r="646">
      <c r="A646" s="26" t="n"/>
      <c r="B646" s="14" t="n"/>
      <c r="C646" s="14" t="n"/>
      <c r="D646" s="14" t="n"/>
      <c r="E646" s="27" t="n"/>
      <c r="F646" s="27">
        <f>IF(E646="","",E646*0.065)</f>
        <v/>
      </c>
      <c r="G646" s="27">
        <f>IF(E646="","",E646*0.03+0.25)</f>
        <v/>
      </c>
      <c r="H646" s="27" t="n"/>
      <c r="I646" s="27" t="n"/>
      <c r="J646" s="27" t="n"/>
      <c r="K646" s="27" t="n"/>
      <c r="L646" s="27" t="n"/>
      <c r="M646" s="27">
        <f>IF(E646="","",F646+G646+H646+I646+J646+K646+L646)</f>
        <v/>
      </c>
      <c r="N646" s="27">
        <f>IF(E646="","",E646-M646)</f>
        <v/>
      </c>
      <c r="O646" s="14" t="n"/>
    </row>
    <row r="647">
      <c r="A647" s="24" t="n"/>
      <c r="B647" s="15" t="n"/>
      <c r="C647" s="15" t="n"/>
      <c r="D647" s="15" t="n"/>
      <c r="E647" s="25" t="n"/>
      <c r="F647" s="25">
        <f>IF(E647="","",E647*0.065)</f>
        <v/>
      </c>
      <c r="G647" s="25">
        <f>IF(E647="","",E647*0.03+0.25)</f>
        <v/>
      </c>
      <c r="H647" s="25" t="n"/>
      <c r="I647" s="25" t="n"/>
      <c r="J647" s="25" t="n"/>
      <c r="K647" s="25" t="n"/>
      <c r="L647" s="25" t="n"/>
      <c r="M647" s="25">
        <f>IF(E647="","",F647+G647+H647+I647+J647+K647+L647)</f>
        <v/>
      </c>
      <c r="N647" s="25">
        <f>IF(E647="","",E647-M647)</f>
        <v/>
      </c>
      <c r="O647" s="15" t="n"/>
    </row>
    <row r="648">
      <c r="A648" s="26" t="n"/>
      <c r="B648" s="14" t="n"/>
      <c r="C648" s="14" t="n"/>
      <c r="D648" s="14" t="n"/>
      <c r="E648" s="27" t="n"/>
      <c r="F648" s="27">
        <f>IF(E648="","",E648*0.065)</f>
        <v/>
      </c>
      <c r="G648" s="27">
        <f>IF(E648="","",E648*0.03+0.25)</f>
        <v/>
      </c>
      <c r="H648" s="27" t="n"/>
      <c r="I648" s="27" t="n"/>
      <c r="J648" s="27" t="n"/>
      <c r="K648" s="27" t="n"/>
      <c r="L648" s="27" t="n"/>
      <c r="M648" s="27">
        <f>IF(E648="","",F648+G648+H648+I648+J648+K648+L648)</f>
        <v/>
      </c>
      <c r="N648" s="27">
        <f>IF(E648="","",E648-M648)</f>
        <v/>
      </c>
      <c r="O648" s="14" t="n"/>
    </row>
    <row r="649">
      <c r="A649" s="24" t="n"/>
      <c r="B649" s="15" t="n"/>
      <c r="C649" s="15" t="n"/>
      <c r="D649" s="15" t="n"/>
      <c r="E649" s="25" t="n"/>
      <c r="F649" s="25">
        <f>IF(E649="","",E649*0.065)</f>
        <v/>
      </c>
      <c r="G649" s="25">
        <f>IF(E649="","",E649*0.03+0.25)</f>
        <v/>
      </c>
      <c r="H649" s="25" t="n"/>
      <c r="I649" s="25" t="n"/>
      <c r="J649" s="25" t="n"/>
      <c r="K649" s="25" t="n"/>
      <c r="L649" s="25" t="n"/>
      <c r="M649" s="25">
        <f>IF(E649="","",F649+G649+H649+I649+J649+K649+L649)</f>
        <v/>
      </c>
      <c r="N649" s="25">
        <f>IF(E649="","",E649-M649)</f>
        <v/>
      </c>
      <c r="O649" s="15" t="n"/>
    </row>
    <row r="650">
      <c r="A650" s="26" t="n"/>
      <c r="B650" s="14" t="n"/>
      <c r="C650" s="14" t="n"/>
      <c r="D650" s="14" t="n"/>
      <c r="E650" s="27" t="n"/>
      <c r="F650" s="27">
        <f>IF(E650="","",E650*0.065)</f>
        <v/>
      </c>
      <c r="G650" s="27">
        <f>IF(E650="","",E650*0.03+0.25)</f>
        <v/>
      </c>
      <c r="H650" s="27" t="n"/>
      <c r="I650" s="27" t="n"/>
      <c r="J650" s="27" t="n"/>
      <c r="K650" s="27" t="n"/>
      <c r="L650" s="27" t="n"/>
      <c r="M650" s="27">
        <f>IF(E650="","",F650+G650+H650+I650+J650+K650+L650)</f>
        <v/>
      </c>
      <c r="N650" s="27">
        <f>IF(E650="","",E650-M650)</f>
        <v/>
      </c>
      <c r="O650" s="14" t="n"/>
    </row>
    <row r="651">
      <c r="A651" s="24" t="n"/>
      <c r="B651" s="15" t="n"/>
      <c r="C651" s="15" t="n"/>
      <c r="D651" s="15" t="n"/>
      <c r="E651" s="25" t="n"/>
      <c r="F651" s="25">
        <f>IF(E651="","",E651*0.065)</f>
        <v/>
      </c>
      <c r="G651" s="25">
        <f>IF(E651="","",E651*0.03+0.25)</f>
        <v/>
      </c>
      <c r="H651" s="25" t="n"/>
      <c r="I651" s="25" t="n"/>
      <c r="J651" s="25" t="n"/>
      <c r="K651" s="25" t="n"/>
      <c r="L651" s="25" t="n"/>
      <c r="M651" s="25">
        <f>IF(E651="","",F651+G651+H651+I651+J651+K651+L651)</f>
        <v/>
      </c>
      <c r="N651" s="25">
        <f>IF(E651="","",E651-M651)</f>
        <v/>
      </c>
      <c r="O651" s="15" t="n"/>
    </row>
    <row r="652">
      <c r="A652" s="26" t="n"/>
      <c r="B652" s="14" t="n"/>
      <c r="C652" s="14" t="n"/>
      <c r="D652" s="14" t="n"/>
      <c r="E652" s="27" t="n"/>
      <c r="F652" s="27">
        <f>IF(E652="","",E652*0.065)</f>
        <v/>
      </c>
      <c r="G652" s="27">
        <f>IF(E652="","",E652*0.03+0.25)</f>
        <v/>
      </c>
      <c r="H652" s="27" t="n"/>
      <c r="I652" s="27" t="n"/>
      <c r="J652" s="27" t="n"/>
      <c r="K652" s="27" t="n"/>
      <c r="L652" s="27" t="n"/>
      <c r="M652" s="27">
        <f>IF(E652="","",F652+G652+H652+I652+J652+K652+L652)</f>
        <v/>
      </c>
      <c r="N652" s="27">
        <f>IF(E652="","",E652-M652)</f>
        <v/>
      </c>
      <c r="O652" s="14" t="n"/>
    </row>
    <row r="653">
      <c r="A653" s="24" t="n"/>
      <c r="B653" s="15" t="n"/>
      <c r="C653" s="15" t="n"/>
      <c r="D653" s="15" t="n"/>
      <c r="E653" s="25" t="n"/>
      <c r="F653" s="25">
        <f>IF(E653="","",E653*0.065)</f>
        <v/>
      </c>
      <c r="G653" s="25">
        <f>IF(E653="","",E653*0.03+0.25)</f>
        <v/>
      </c>
      <c r="H653" s="25" t="n"/>
      <c r="I653" s="25" t="n"/>
      <c r="J653" s="25" t="n"/>
      <c r="K653" s="25" t="n"/>
      <c r="L653" s="25" t="n"/>
      <c r="M653" s="25">
        <f>IF(E653="","",F653+G653+H653+I653+J653+K653+L653)</f>
        <v/>
      </c>
      <c r="N653" s="25">
        <f>IF(E653="","",E653-M653)</f>
        <v/>
      </c>
      <c r="O653" s="15" t="n"/>
    </row>
    <row r="654">
      <c r="A654" s="26" t="n"/>
      <c r="B654" s="14" t="n"/>
      <c r="C654" s="14" t="n"/>
      <c r="D654" s="14" t="n"/>
      <c r="E654" s="27" t="n"/>
      <c r="F654" s="27">
        <f>IF(E654="","",E654*0.065)</f>
        <v/>
      </c>
      <c r="G654" s="27">
        <f>IF(E654="","",E654*0.03+0.25)</f>
        <v/>
      </c>
      <c r="H654" s="27" t="n"/>
      <c r="I654" s="27" t="n"/>
      <c r="J654" s="27" t="n"/>
      <c r="K654" s="27" t="n"/>
      <c r="L654" s="27" t="n"/>
      <c r="M654" s="27">
        <f>IF(E654="","",F654+G654+H654+I654+J654+K654+L654)</f>
        <v/>
      </c>
      <c r="N654" s="27">
        <f>IF(E654="","",E654-M654)</f>
        <v/>
      </c>
      <c r="O654" s="14" t="n"/>
    </row>
    <row r="655">
      <c r="A655" s="24" t="n"/>
      <c r="B655" s="15" t="n"/>
      <c r="C655" s="15" t="n"/>
      <c r="D655" s="15" t="n"/>
      <c r="E655" s="25" t="n"/>
      <c r="F655" s="25">
        <f>IF(E655="","",E655*0.065)</f>
        <v/>
      </c>
      <c r="G655" s="25">
        <f>IF(E655="","",E655*0.03+0.25)</f>
        <v/>
      </c>
      <c r="H655" s="25" t="n"/>
      <c r="I655" s="25" t="n"/>
      <c r="J655" s="25" t="n"/>
      <c r="K655" s="25" t="n"/>
      <c r="L655" s="25" t="n"/>
      <c r="M655" s="25">
        <f>IF(E655="","",F655+G655+H655+I655+J655+K655+L655)</f>
        <v/>
      </c>
      <c r="N655" s="25">
        <f>IF(E655="","",E655-M655)</f>
        <v/>
      </c>
      <c r="O655" s="15" t="n"/>
    </row>
    <row r="656">
      <c r="A656" s="26" t="n"/>
      <c r="B656" s="14" t="n"/>
      <c r="C656" s="14" t="n"/>
      <c r="D656" s="14" t="n"/>
      <c r="E656" s="27" t="n"/>
      <c r="F656" s="27">
        <f>IF(E656="","",E656*0.065)</f>
        <v/>
      </c>
      <c r="G656" s="27">
        <f>IF(E656="","",E656*0.03+0.25)</f>
        <v/>
      </c>
      <c r="H656" s="27" t="n"/>
      <c r="I656" s="27" t="n"/>
      <c r="J656" s="27" t="n"/>
      <c r="K656" s="27" t="n"/>
      <c r="L656" s="27" t="n"/>
      <c r="M656" s="27">
        <f>IF(E656="","",F656+G656+H656+I656+J656+K656+L656)</f>
        <v/>
      </c>
      <c r="N656" s="27">
        <f>IF(E656="","",E656-M656)</f>
        <v/>
      </c>
      <c r="O656" s="14" t="n"/>
    </row>
    <row r="657">
      <c r="A657" s="24" t="n"/>
      <c r="B657" s="15" t="n"/>
      <c r="C657" s="15" t="n"/>
      <c r="D657" s="15" t="n"/>
      <c r="E657" s="25" t="n"/>
      <c r="F657" s="25">
        <f>IF(E657="","",E657*0.065)</f>
        <v/>
      </c>
      <c r="G657" s="25">
        <f>IF(E657="","",E657*0.03+0.25)</f>
        <v/>
      </c>
      <c r="H657" s="25" t="n"/>
      <c r="I657" s="25" t="n"/>
      <c r="J657" s="25" t="n"/>
      <c r="K657" s="25" t="n"/>
      <c r="L657" s="25" t="n"/>
      <c r="M657" s="25">
        <f>IF(E657="","",F657+G657+H657+I657+J657+K657+L657)</f>
        <v/>
      </c>
      <c r="N657" s="25">
        <f>IF(E657="","",E657-M657)</f>
        <v/>
      </c>
      <c r="O657" s="15" t="n"/>
    </row>
    <row r="658">
      <c r="A658" s="26" t="n"/>
      <c r="B658" s="14" t="n"/>
      <c r="C658" s="14" t="n"/>
      <c r="D658" s="14" t="n"/>
      <c r="E658" s="27" t="n"/>
      <c r="F658" s="27">
        <f>IF(E658="","",E658*0.065)</f>
        <v/>
      </c>
      <c r="G658" s="27">
        <f>IF(E658="","",E658*0.03+0.25)</f>
        <v/>
      </c>
      <c r="H658" s="27" t="n"/>
      <c r="I658" s="27" t="n"/>
      <c r="J658" s="27" t="n"/>
      <c r="K658" s="27" t="n"/>
      <c r="L658" s="27" t="n"/>
      <c r="M658" s="27">
        <f>IF(E658="","",F658+G658+H658+I658+J658+K658+L658)</f>
        <v/>
      </c>
      <c r="N658" s="27">
        <f>IF(E658="","",E658-M658)</f>
        <v/>
      </c>
      <c r="O658" s="14" t="n"/>
    </row>
    <row r="659">
      <c r="A659" s="24" t="n"/>
      <c r="B659" s="15" t="n"/>
      <c r="C659" s="15" t="n"/>
      <c r="D659" s="15" t="n"/>
      <c r="E659" s="25" t="n"/>
      <c r="F659" s="25">
        <f>IF(E659="","",E659*0.065)</f>
        <v/>
      </c>
      <c r="G659" s="25">
        <f>IF(E659="","",E659*0.03+0.25)</f>
        <v/>
      </c>
      <c r="H659" s="25" t="n"/>
      <c r="I659" s="25" t="n"/>
      <c r="J659" s="25" t="n"/>
      <c r="K659" s="25" t="n"/>
      <c r="L659" s="25" t="n"/>
      <c r="M659" s="25">
        <f>IF(E659="","",F659+G659+H659+I659+J659+K659+L659)</f>
        <v/>
      </c>
      <c r="N659" s="25">
        <f>IF(E659="","",E659-M659)</f>
        <v/>
      </c>
      <c r="O659" s="15" t="n"/>
    </row>
    <row r="660">
      <c r="A660" s="26" t="n"/>
      <c r="B660" s="14" t="n"/>
      <c r="C660" s="14" t="n"/>
      <c r="D660" s="14" t="n"/>
      <c r="E660" s="27" t="n"/>
      <c r="F660" s="27">
        <f>IF(E660="","",E660*0.065)</f>
        <v/>
      </c>
      <c r="G660" s="27">
        <f>IF(E660="","",E660*0.03+0.25)</f>
        <v/>
      </c>
      <c r="H660" s="27" t="n"/>
      <c r="I660" s="27" t="n"/>
      <c r="J660" s="27" t="n"/>
      <c r="K660" s="27" t="n"/>
      <c r="L660" s="27" t="n"/>
      <c r="M660" s="27">
        <f>IF(E660="","",F660+G660+H660+I660+J660+K660+L660)</f>
        <v/>
      </c>
      <c r="N660" s="27">
        <f>IF(E660="","",E660-M660)</f>
        <v/>
      </c>
      <c r="O660" s="14" t="n"/>
    </row>
    <row r="661">
      <c r="A661" s="24" t="n"/>
      <c r="B661" s="15" t="n"/>
      <c r="C661" s="15" t="n"/>
      <c r="D661" s="15" t="n"/>
      <c r="E661" s="25" t="n"/>
      <c r="F661" s="25">
        <f>IF(E661="","",E661*0.065)</f>
        <v/>
      </c>
      <c r="G661" s="25">
        <f>IF(E661="","",E661*0.03+0.25)</f>
        <v/>
      </c>
      <c r="H661" s="25" t="n"/>
      <c r="I661" s="25" t="n"/>
      <c r="J661" s="25" t="n"/>
      <c r="K661" s="25" t="n"/>
      <c r="L661" s="25" t="n"/>
      <c r="M661" s="25">
        <f>IF(E661="","",F661+G661+H661+I661+J661+K661+L661)</f>
        <v/>
      </c>
      <c r="N661" s="25">
        <f>IF(E661="","",E661-M661)</f>
        <v/>
      </c>
      <c r="O661" s="15" t="n"/>
    </row>
    <row r="662">
      <c r="A662" s="26" t="n"/>
      <c r="B662" s="14" t="n"/>
      <c r="C662" s="14" t="n"/>
      <c r="D662" s="14" t="n"/>
      <c r="E662" s="27" t="n"/>
      <c r="F662" s="27">
        <f>IF(E662="","",E662*0.065)</f>
        <v/>
      </c>
      <c r="G662" s="27">
        <f>IF(E662="","",E662*0.03+0.25)</f>
        <v/>
      </c>
      <c r="H662" s="27" t="n"/>
      <c r="I662" s="27" t="n"/>
      <c r="J662" s="27" t="n"/>
      <c r="K662" s="27" t="n"/>
      <c r="L662" s="27" t="n"/>
      <c r="M662" s="27">
        <f>IF(E662="","",F662+G662+H662+I662+J662+K662+L662)</f>
        <v/>
      </c>
      <c r="N662" s="27">
        <f>IF(E662="","",E662-M662)</f>
        <v/>
      </c>
      <c r="O662" s="14" t="n"/>
    </row>
    <row r="663">
      <c r="A663" s="24" t="n"/>
      <c r="B663" s="15" t="n"/>
      <c r="C663" s="15" t="n"/>
      <c r="D663" s="15" t="n"/>
      <c r="E663" s="25" t="n"/>
      <c r="F663" s="25">
        <f>IF(E663="","",E663*0.065)</f>
        <v/>
      </c>
      <c r="G663" s="25">
        <f>IF(E663="","",E663*0.03+0.25)</f>
        <v/>
      </c>
      <c r="H663" s="25" t="n"/>
      <c r="I663" s="25" t="n"/>
      <c r="J663" s="25" t="n"/>
      <c r="K663" s="25" t="n"/>
      <c r="L663" s="25" t="n"/>
      <c r="M663" s="25">
        <f>IF(E663="","",F663+G663+H663+I663+J663+K663+L663)</f>
        <v/>
      </c>
      <c r="N663" s="25">
        <f>IF(E663="","",E663-M663)</f>
        <v/>
      </c>
      <c r="O663" s="15" t="n"/>
    </row>
    <row r="664">
      <c r="A664" s="26" t="n"/>
      <c r="B664" s="14" t="n"/>
      <c r="C664" s="14" t="n"/>
      <c r="D664" s="14" t="n"/>
      <c r="E664" s="27" t="n"/>
      <c r="F664" s="27">
        <f>IF(E664="","",E664*0.065)</f>
        <v/>
      </c>
      <c r="G664" s="27">
        <f>IF(E664="","",E664*0.03+0.25)</f>
        <v/>
      </c>
      <c r="H664" s="27" t="n"/>
      <c r="I664" s="27" t="n"/>
      <c r="J664" s="27" t="n"/>
      <c r="K664" s="27" t="n"/>
      <c r="L664" s="27" t="n"/>
      <c r="M664" s="27">
        <f>IF(E664="","",F664+G664+H664+I664+J664+K664+L664)</f>
        <v/>
      </c>
      <c r="N664" s="27">
        <f>IF(E664="","",E664-M664)</f>
        <v/>
      </c>
      <c r="O664" s="14" t="n"/>
    </row>
    <row r="665">
      <c r="A665" s="24" t="n"/>
      <c r="B665" s="15" t="n"/>
      <c r="C665" s="15" t="n"/>
      <c r="D665" s="15" t="n"/>
      <c r="E665" s="25" t="n"/>
      <c r="F665" s="25">
        <f>IF(E665="","",E665*0.065)</f>
        <v/>
      </c>
      <c r="G665" s="25">
        <f>IF(E665="","",E665*0.03+0.25)</f>
        <v/>
      </c>
      <c r="H665" s="25" t="n"/>
      <c r="I665" s="25" t="n"/>
      <c r="J665" s="25" t="n"/>
      <c r="K665" s="25" t="n"/>
      <c r="L665" s="25" t="n"/>
      <c r="M665" s="25">
        <f>IF(E665="","",F665+G665+H665+I665+J665+K665+L665)</f>
        <v/>
      </c>
      <c r="N665" s="25">
        <f>IF(E665="","",E665-M665)</f>
        <v/>
      </c>
      <c r="O665" s="15" t="n"/>
    </row>
    <row r="666">
      <c r="A666" s="26" t="n"/>
      <c r="B666" s="14" t="n"/>
      <c r="C666" s="14" t="n"/>
      <c r="D666" s="14" t="n"/>
      <c r="E666" s="27" t="n"/>
      <c r="F666" s="27">
        <f>IF(E666="","",E666*0.065)</f>
        <v/>
      </c>
      <c r="G666" s="27">
        <f>IF(E666="","",E666*0.03+0.25)</f>
        <v/>
      </c>
      <c r="H666" s="27" t="n"/>
      <c r="I666" s="27" t="n"/>
      <c r="J666" s="27" t="n"/>
      <c r="K666" s="27" t="n"/>
      <c r="L666" s="27" t="n"/>
      <c r="M666" s="27">
        <f>IF(E666="","",F666+G666+H666+I666+J666+K666+L666)</f>
        <v/>
      </c>
      <c r="N666" s="27">
        <f>IF(E666="","",E666-M666)</f>
        <v/>
      </c>
      <c r="O666" s="14" t="n"/>
    </row>
    <row r="667">
      <c r="A667" s="24" t="n"/>
      <c r="B667" s="15" t="n"/>
      <c r="C667" s="15" t="n"/>
      <c r="D667" s="15" t="n"/>
      <c r="E667" s="25" t="n"/>
      <c r="F667" s="25">
        <f>IF(E667="","",E667*0.065)</f>
        <v/>
      </c>
      <c r="G667" s="25">
        <f>IF(E667="","",E667*0.03+0.25)</f>
        <v/>
      </c>
      <c r="H667" s="25" t="n"/>
      <c r="I667" s="25" t="n"/>
      <c r="J667" s="25" t="n"/>
      <c r="K667" s="25" t="n"/>
      <c r="L667" s="25" t="n"/>
      <c r="M667" s="25">
        <f>IF(E667="","",F667+G667+H667+I667+J667+K667+L667)</f>
        <v/>
      </c>
      <c r="N667" s="25">
        <f>IF(E667="","",E667-M667)</f>
        <v/>
      </c>
      <c r="O667" s="15" t="n"/>
    </row>
    <row r="668">
      <c r="A668" s="26" t="n"/>
      <c r="B668" s="14" t="n"/>
      <c r="C668" s="14" t="n"/>
      <c r="D668" s="14" t="n"/>
      <c r="E668" s="27" t="n"/>
      <c r="F668" s="27">
        <f>IF(E668="","",E668*0.065)</f>
        <v/>
      </c>
      <c r="G668" s="27">
        <f>IF(E668="","",E668*0.03+0.25)</f>
        <v/>
      </c>
      <c r="H668" s="27" t="n"/>
      <c r="I668" s="27" t="n"/>
      <c r="J668" s="27" t="n"/>
      <c r="K668" s="27" t="n"/>
      <c r="L668" s="27" t="n"/>
      <c r="M668" s="27">
        <f>IF(E668="","",F668+G668+H668+I668+J668+K668+L668)</f>
        <v/>
      </c>
      <c r="N668" s="27">
        <f>IF(E668="","",E668-M668)</f>
        <v/>
      </c>
      <c r="O668" s="14" t="n"/>
    </row>
    <row r="669">
      <c r="A669" s="24" t="n"/>
      <c r="B669" s="15" t="n"/>
      <c r="C669" s="15" t="n"/>
      <c r="D669" s="15" t="n"/>
      <c r="E669" s="25" t="n"/>
      <c r="F669" s="25">
        <f>IF(E669="","",E669*0.065)</f>
        <v/>
      </c>
      <c r="G669" s="25">
        <f>IF(E669="","",E669*0.03+0.25)</f>
        <v/>
      </c>
      <c r="H669" s="25" t="n"/>
      <c r="I669" s="25" t="n"/>
      <c r="J669" s="25" t="n"/>
      <c r="K669" s="25" t="n"/>
      <c r="L669" s="25" t="n"/>
      <c r="M669" s="25">
        <f>IF(E669="","",F669+G669+H669+I669+J669+K669+L669)</f>
        <v/>
      </c>
      <c r="N669" s="25">
        <f>IF(E669="","",E669-M669)</f>
        <v/>
      </c>
      <c r="O669" s="15" t="n"/>
    </row>
    <row r="670">
      <c r="A670" s="26" t="n"/>
      <c r="B670" s="14" t="n"/>
      <c r="C670" s="14" t="n"/>
      <c r="D670" s="14" t="n"/>
      <c r="E670" s="27" t="n"/>
      <c r="F670" s="27">
        <f>IF(E670="","",E670*0.065)</f>
        <v/>
      </c>
      <c r="G670" s="27">
        <f>IF(E670="","",E670*0.03+0.25)</f>
        <v/>
      </c>
      <c r="H670" s="27" t="n"/>
      <c r="I670" s="27" t="n"/>
      <c r="J670" s="27" t="n"/>
      <c r="K670" s="27" t="n"/>
      <c r="L670" s="27" t="n"/>
      <c r="M670" s="27">
        <f>IF(E670="","",F670+G670+H670+I670+J670+K670+L670)</f>
        <v/>
      </c>
      <c r="N670" s="27">
        <f>IF(E670="","",E670-M670)</f>
        <v/>
      </c>
      <c r="O670" s="14" t="n"/>
    </row>
    <row r="671">
      <c r="A671" s="24" t="n"/>
      <c r="B671" s="15" t="n"/>
      <c r="C671" s="15" t="n"/>
      <c r="D671" s="15" t="n"/>
      <c r="E671" s="25" t="n"/>
      <c r="F671" s="25">
        <f>IF(E671="","",E671*0.065)</f>
        <v/>
      </c>
      <c r="G671" s="25">
        <f>IF(E671="","",E671*0.03+0.25)</f>
        <v/>
      </c>
      <c r="H671" s="25" t="n"/>
      <c r="I671" s="25" t="n"/>
      <c r="J671" s="25" t="n"/>
      <c r="K671" s="25" t="n"/>
      <c r="L671" s="25" t="n"/>
      <c r="M671" s="25">
        <f>IF(E671="","",F671+G671+H671+I671+J671+K671+L671)</f>
        <v/>
      </c>
      <c r="N671" s="25">
        <f>IF(E671="","",E671-M671)</f>
        <v/>
      </c>
      <c r="O671" s="15" t="n"/>
    </row>
    <row r="672">
      <c r="A672" s="26" t="n"/>
      <c r="B672" s="14" t="n"/>
      <c r="C672" s="14" t="n"/>
      <c r="D672" s="14" t="n"/>
      <c r="E672" s="27" t="n"/>
      <c r="F672" s="27">
        <f>IF(E672="","",E672*0.065)</f>
        <v/>
      </c>
      <c r="G672" s="27">
        <f>IF(E672="","",E672*0.03+0.25)</f>
        <v/>
      </c>
      <c r="H672" s="27" t="n"/>
      <c r="I672" s="27" t="n"/>
      <c r="J672" s="27" t="n"/>
      <c r="K672" s="27" t="n"/>
      <c r="L672" s="27" t="n"/>
      <c r="M672" s="27">
        <f>IF(E672="","",F672+G672+H672+I672+J672+K672+L672)</f>
        <v/>
      </c>
      <c r="N672" s="27">
        <f>IF(E672="","",E672-M672)</f>
        <v/>
      </c>
      <c r="O672" s="14" t="n"/>
    </row>
    <row r="673">
      <c r="A673" s="24" t="n"/>
      <c r="B673" s="15" t="n"/>
      <c r="C673" s="15" t="n"/>
      <c r="D673" s="15" t="n"/>
      <c r="E673" s="25" t="n"/>
      <c r="F673" s="25">
        <f>IF(E673="","",E673*0.065)</f>
        <v/>
      </c>
      <c r="G673" s="25">
        <f>IF(E673="","",E673*0.03+0.25)</f>
        <v/>
      </c>
      <c r="H673" s="25" t="n"/>
      <c r="I673" s="25" t="n"/>
      <c r="J673" s="25" t="n"/>
      <c r="K673" s="25" t="n"/>
      <c r="L673" s="25" t="n"/>
      <c r="M673" s="25">
        <f>IF(E673="","",F673+G673+H673+I673+J673+K673+L673)</f>
        <v/>
      </c>
      <c r="N673" s="25">
        <f>IF(E673="","",E673-M673)</f>
        <v/>
      </c>
      <c r="O673" s="15" t="n"/>
    </row>
    <row r="674">
      <c r="A674" s="26" t="n"/>
      <c r="B674" s="14" t="n"/>
      <c r="C674" s="14" t="n"/>
      <c r="D674" s="14" t="n"/>
      <c r="E674" s="27" t="n"/>
      <c r="F674" s="27">
        <f>IF(E674="","",E674*0.065)</f>
        <v/>
      </c>
      <c r="G674" s="27">
        <f>IF(E674="","",E674*0.03+0.25)</f>
        <v/>
      </c>
      <c r="H674" s="27" t="n"/>
      <c r="I674" s="27" t="n"/>
      <c r="J674" s="27" t="n"/>
      <c r="K674" s="27" t="n"/>
      <c r="L674" s="27" t="n"/>
      <c r="M674" s="27">
        <f>IF(E674="","",F674+G674+H674+I674+J674+K674+L674)</f>
        <v/>
      </c>
      <c r="N674" s="27">
        <f>IF(E674="","",E674-M674)</f>
        <v/>
      </c>
      <c r="O674" s="14" t="n"/>
    </row>
    <row r="675">
      <c r="A675" s="24" t="n"/>
      <c r="B675" s="15" t="n"/>
      <c r="C675" s="15" t="n"/>
      <c r="D675" s="15" t="n"/>
      <c r="E675" s="25" t="n"/>
      <c r="F675" s="25">
        <f>IF(E675="","",E675*0.065)</f>
        <v/>
      </c>
      <c r="G675" s="25">
        <f>IF(E675="","",E675*0.03+0.25)</f>
        <v/>
      </c>
      <c r="H675" s="25" t="n"/>
      <c r="I675" s="25" t="n"/>
      <c r="J675" s="25" t="n"/>
      <c r="K675" s="25" t="n"/>
      <c r="L675" s="25" t="n"/>
      <c r="M675" s="25">
        <f>IF(E675="","",F675+G675+H675+I675+J675+K675+L675)</f>
        <v/>
      </c>
      <c r="N675" s="25">
        <f>IF(E675="","",E675-M675)</f>
        <v/>
      </c>
      <c r="O675" s="15" t="n"/>
    </row>
    <row r="676">
      <c r="A676" s="26" t="n"/>
      <c r="B676" s="14" t="n"/>
      <c r="C676" s="14" t="n"/>
      <c r="D676" s="14" t="n"/>
      <c r="E676" s="27" t="n"/>
      <c r="F676" s="27">
        <f>IF(E676="","",E676*0.065)</f>
        <v/>
      </c>
      <c r="G676" s="27">
        <f>IF(E676="","",E676*0.03+0.25)</f>
        <v/>
      </c>
      <c r="H676" s="27" t="n"/>
      <c r="I676" s="27" t="n"/>
      <c r="J676" s="27" t="n"/>
      <c r="K676" s="27" t="n"/>
      <c r="L676" s="27" t="n"/>
      <c r="M676" s="27">
        <f>IF(E676="","",F676+G676+H676+I676+J676+K676+L676)</f>
        <v/>
      </c>
      <c r="N676" s="27">
        <f>IF(E676="","",E676-M676)</f>
        <v/>
      </c>
      <c r="O676" s="14" t="n"/>
    </row>
    <row r="677">
      <c r="A677" s="24" t="n"/>
      <c r="B677" s="15" t="n"/>
      <c r="C677" s="15" t="n"/>
      <c r="D677" s="15" t="n"/>
      <c r="E677" s="25" t="n"/>
      <c r="F677" s="25">
        <f>IF(E677="","",E677*0.065)</f>
        <v/>
      </c>
      <c r="G677" s="25">
        <f>IF(E677="","",E677*0.03+0.25)</f>
        <v/>
      </c>
      <c r="H677" s="25" t="n"/>
      <c r="I677" s="25" t="n"/>
      <c r="J677" s="25" t="n"/>
      <c r="K677" s="25" t="n"/>
      <c r="L677" s="25" t="n"/>
      <c r="M677" s="25">
        <f>IF(E677="","",F677+G677+H677+I677+J677+K677+L677)</f>
        <v/>
      </c>
      <c r="N677" s="25">
        <f>IF(E677="","",E677-M677)</f>
        <v/>
      </c>
      <c r="O677" s="15" t="n"/>
    </row>
    <row r="678">
      <c r="A678" s="26" t="n"/>
      <c r="B678" s="14" t="n"/>
      <c r="C678" s="14" t="n"/>
      <c r="D678" s="14" t="n"/>
      <c r="E678" s="27" t="n"/>
      <c r="F678" s="27">
        <f>IF(E678="","",E678*0.065)</f>
        <v/>
      </c>
      <c r="G678" s="27">
        <f>IF(E678="","",E678*0.03+0.25)</f>
        <v/>
      </c>
      <c r="H678" s="27" t="n"/>
      <c r="I678" s="27" t="n"/>
      <c r="J678" s="27" t="n"/>
      <c r="K678" s="27" t="n"/>
      <c r="L678" s="27" t="n"/>
      <c r="M678" s="27">
        <f>IF(E678="","",F678+G678+H678+I678+J678+K678+L678)</f>
        <v/>
      </c>
      <c r="N678" s="27">
        <f>IF(E678="","",E678-M678)</f>
        <v/>
      </c>
      <c r="O678" s="14" t="n"/>
    </row>
    <row r="679">
      <c r="A679" s="24" t="n"/>
      <c r="B679" s="15" t="n"/>
      <c r="C679" s="15" t="n"/>
      <c r="D679" s="15" t="n"/>
      <c r="E679" s="25" t="n"/>
      <c r="F679" s="25">
        <f>IF(E679="","",E679*0.065)</f>
        <v/>
      </c>
      <c r="G679" s="25">
        <f>IF(E679="","",E679*0.03+0.25)</f>
        <v/>
      </c>
      <c r="H679" s="25" t="n"/>
      <c r="I679" s="25" t="n"/>
      <c r="J679" s="25" t="n"/>
      <c r="K679" s="25" t="n"/>
      <c r="L679" s="25" t="n"/>
      <c r="M679" s="25">
        <f>IF(E679="","",F679+G679+H679+I679+J679+K679+L679)</f>
        <v/>
      </c>
      <c r="N679" s="25">
        <f>IF(E679="","",E679-M679)</f>
        <v/>
      </c>
      <c r="O679" s="15" t="n"/>
    </row>
    <row r="680">
      <c r="A680" s="26" t="n"/>
      <c r="B680" s="14" t="n"/>
      <c r="C680" s="14" t="n"/>
      <c r="D680" s="14" t="n"/>
      <c r="E680" s="27" t="n"/>
      <c r="F680" s="27">
        <f>IF(E680="","",E680*0.065)</f>
        <v/>
      </c>
      <c r="G680" s="27">
        <f>IF(E680="","",E680*0.03+0.25)</f>
        <v/>
      </c>
      <c r="H680" s="27" t="n"/>
      <c r="I680" s="27" t="n"/>
      <c r="J680" s="27" t="n"/>
      <c r="K680" s="27" t="n"/>
      <c r="L680" s="27" t="n"/>
      <c r="M680" s="27">
        <f>IF(E680="","",F680+G680+H680+I680+J680+K680+L680)</f>
        <v/>
      </c>
      <c r="N680" s="27">
        <f>IF(E680="","",E680-M680)</f>
        <v/>
      </c>
      <c r="O680" s="14" t="n"/>
    </row>
    <row r="681">
      <c r="A681" s="24" t="n"/>
      <c r="B681" s="15" t="n"/>
      <c r="C681" s="15" t="n"/>
      <c r="D681" s="15" t="n"/>
      <c r="E681" s="25" t="n"/>
      <c r="F681" s="25">
        <f>IF(E681="","",E681*0.065)</f>
        <v/>
      </c>
      <c r="G681" s="25">
        <f>IF(E681="","",E681*0.03+0.25)</f>
        <v/>
      </c>
      <c r="H681" s="25" t="n"/>
      <c r="I681" s="25" t="n"/>
      <c r="J681" s="25" t="n"/>
      <c r="K681" s="25" t="n"/>
      <c r="L681" s="25" t="n"/>
      <c r="M681" s="25">
        <f>IF(E681="","",F681+G681+H681+I681+J681+K681+L681)</f>
        <v/>
      </c>
      <c r="N681" s="25">
        <f>IF(E681="","",E681-M681)</f>
        <v/>
      </c>
      <c r="O681" s="15" t="n"/>
    </row>
    <row r="682">
      <c r="A682" s="26" t="n"/>
      <c r="B682" s="14" t="n"/>
      <c r="C682" s="14" t="n"/>
      <c r="D682" s="14" t="n"/>
      <c r="E682" s="27" t="n"/>
      <c r="F682" s="27">
        <f>IF(E682="","",E682*0.065)</f>
        <v/>
      </c>
      <c r="G682" s="27">
        <f>IF(E682="","",E682*0.03+0.25)</f>
        <v/>
      </c>
      <c r="H682" s="27" t="n"/>
      <c r="I682" s="27" t="n"/>
      <c r="J682" s="27" t="n"/>
      <c r="K682" s="27" t="n"/>
      <c r="L682" s="27" t="n"/>
      <c r="M682" s="27">
        <f>IF(E682="","",F682+G682+H682+I682+J682+K682+L682)</f>
        <v/>
      </c>
      <c r="N682" s="27">
        <f>IF(E682="","",E682-M682)</f>
        <v/>
      </c>
      <c r="O682" s="14" t="n"/>
    </row>
    <row r="683">
      <c r="A683" s="24" t="n"/>
      <c r="B683" s="15" t="n"/>
      <c r="C683" s="15" t="n"/>
      <c r="D683" s="15" t="n"/>
      <c r="E683" s="25" t="n"/>
      <c r="F683" s="25">
        <f>IF(E683="","",E683*0.065)</f>
        <v/>
      </c>
      <c r="G683" s="25">
        <f>IF(E683="","",E683*0.03+0.25)</f>
        <v/>
      </c>
      <c r="H683" s="25" t="n"/>
      <c r="I683" s="25" t="n"/>
      <c r="J683" s="25" t="n"/>
      <c r="K683" s="25" t="n"/>
      <c r="L683" s="25" t="n"/>
      <c r="M683" s="25">
        <f>IF(E683="","",F683+G683+H683+I683+J683+K683+L683)</f>
        <v/>
      </c>
      <c r="N683" s="25">
        <f>IF(E683="","",E683-M683)</f>
        <v/>
      </c>
      <c r="O683" s="15" t="n"/>
    </row>
    <row r="684">
      <c r="A684" s="26" t="n"/>
      <c r="B684" s="14" t="n"/>
      <c r="C684" s="14" t="n"/>
      <c r="D684" s="14" t="n"/>
      <c r="E684" s="27" t="n"/>
      <c r="F684" s="27">
        <f>IF(E684="","",E684*0.065)</f>
        <v/>
      </c>
      <c r="G684" s="27">
        <f>IF(E684="","",E684*0.03+0.25)</f>
        <v/>
      </c>
      <c r="H684" s="27" t="n"/>
      <c r="I684" s="27" t="n"/>
      <c r="J684" s="27" t="n"/>
      <c r="K684" s="27" t="n"/>
      <c r="L684" s="27" t="n"/>
      <c r="M684" s="27">
        <f>IF(E684="","",F684+G684+H684+I684+J684+K684+L684)</f>
        <v/>
      </c>
      <c r="N684" s="27">
        <f>IF(E684="","",E684-M684)</f>
        <v/>
      </c>
      <c r="O684" s="14" t="n"/>
    </row>
    <row r="685">
      <c r="A685" s="24" t="n"/>
      <c r="B685" s="15" t="n"/>
      <c r="C685" s="15" t="n"/>
      <c r="D685" s="15" t="n"/>
      <c r="E685" s="25" t="n"/>
      <c r="F685" s="25">
        <f>IF(E685="","",E685*0.065)</f>
        <v/>
      </c>
      <c r="G685" s="25">
        <f>IF(E685="","",E685*0.03+0.25)</f>
        <v/>
      </c>
      <c r="H685" s="25" t="n"/>
      <c r="I685" s="25" t="n"/>
      <c r="J685" s="25" t="n"/>
      <c r="K685" s="25" t="n"/>
      <c r="L685" s="25" t="n"/>
      <c r="M685" s="25">
        <f>IF(E685="","",F685+G685+H685+I685+J685+K685+L685)</f>
        <v/>
      </c>
      <c r="N685" s="25">
        <f>IF(E685="","",E685-M685)</f>
        <v/>
      </c>
      <c r="O685" s="15" t="n"/>
    </row>
    <row r="686">
      <c r="A686" s="26" t="n"/>
      <c r="B686" s="14" t="n"/>
      <c r="C686" s="14" t="n"/>
      <c r="D686" s="14" t="n"/>
      <c r="E686" s="27" t="n"/>
      <c r="F686" s="27">
        <f>IF(E686="","",E686*0.065)</f>
        <v/>
      </c>
      <c r="G686" s="27">
        <f>IF(E686="","",E686*0.03+0.25)</f>
        <v/>
      </c>
      <c r="H686" s="27" t="n"/>
      <c r="I686" s="27" t="n"/>
      <c r="J686" s="27" t="n"/>
      <c r="K686" s="27" t="n"/>
      <c r="L686" s="27" t="n"/>
      <c r="M686" s="27">
        <f>IF(E686="","",F686+G686+H686+I686+J686+K686+L686)</f>
        <v/>
      </c>
      <c r="N686" s="27">
        <f>IF(E686="","",E686-M686)</f>
        <v/>
      </c>
      <c r="O686" s="14" t="n"/>
    </row>
    <row r="687">
      <c r="A687" s="24" t="n"/>
      <c r="B687" s="15" t="n"/>
      <c r="C687" s="15" t="n"/>
      <c r="D687" s="15" t="n"/>
      <c r="E687" s="25" t="n"/>
      <c r="F687" s="25">
        <f>IF(E687="","",E687*0.065)</f>
        <v/>
      </c>
      <c r="G687" s="25">
        <f>IF(E687="","",E687*0.03+0.25)</f>
        <v/>
      </c>
      <c r="H687" s="25" t="n"/>
      <c r="I687" s="25" t="n"/>
      <c r="J687" s="25" t="n"/>
      <c r="K687" s="25" t="n"/>
      <c r="L687" s="25" t="n"/>
      <c r="M687" s="25">
        <f>IF(E687="","",F687+G687+H687+I687+J687+K687+L687)</f>
        <v/>
      </c>
      <c r="N687" s="25">
        <f>IF(E687="","",E687-M687)</f>
        <v/>
      </c>
      <c r="O687" s="15" t="n"/>
    </row>
    <row r="688">
      <c r="A688" s="26" t="n"/>
      <c r="B688" s="14" t="n"/>
      <c r="C688" s="14" t="n"/>
      <c r="D688" s="14" t="n"/>
      <c r="E688" s="27" t="n"/>
      <c r="F688" s="27">
        <f>IF(E688="","",E688*0.065)</f>
        <v/>
      </c>
      <c r="G688" s="27">
        <f>IF(E688="","",E688*0.03+0.25)</f>
        <v/>
      </c>
      <c r="H688" s="27" t="n"/>
      <c r="I688" s="27" t="n"/>
      <c r="J688" s="27" t="n"/>
      <c r="K688" s="27" t="n"/>
      <c r="L688" s="27" t="n"/>
      <c r="M688" s="27">
        <f>IF(E688="","",F688+G688+H688+I688+J688+K688+L688)</f>
        <v/>
      </c>
      <c r="N688" s="27">
        <f>IF(E688="","",E688-M688)</f>
        <v/>
      </c>
      <c r="O688" s="14" t="n"/>
    </row>
    <row r="689">
      <c r="A689" s="24" t="n"/>
      <c r="B689" s="15" t="n"/>
      <c r="C689" s="15" t="n"/>
      <c r="D689" s="15" t="n"/>
      <c r="E689" s="25" t="n"/>
      <c r="F689" s="25">
        <f>IF(E689="","",E689*0.065)</f>
        <v/>
      </c>
      <c r="G689" s="25">
        <f>IF(E689="","",E689*0.03+0.25)</f>
        <v/>
      </c>
      <c r="H689" s="25" t="n"/>
      <c r="I689" s="25" t="n"/>
      <c r="J689" s="25" t="n"/>
      <c r="K689" s="25" t="n"/>
      <c r="L689" s="25" t="n"/>
      <c r="M689" s="25">
        <f>IF(E689="","",F689+G689+H689+I689+J689+K689+L689)</f>
        <v/>
      </c>
      <c r="N689" s="25">
        <f>IF(E689="","",E689-M689)</f>
        <v/>
      </c>
      <c r="O689" s="15" t="n"/>
    </row>
    <row r="690">
      <c r="A690" s="26" t="n"/>
      <c r="B690" s="14" t="n"/>
      <c r="C690" s="14" t="n"/>
      <c r="D690" s="14" t="n"/>
      <c r="E690" s="27" t="n"/>
      <c r="F690" s="27">
        <f>IF(E690="","",E690*0.065)</f>
        <v/>
      </c>
      <c r="G690" s="27">
        <f>IF(E690="","",E690*0.03+0.25)</f>
        <v/>
      </c>
      <c r="H690" s="27" t="n"/>
      <c r="I690" s="27" t="n"/>
      <c r="J690" s="27" t="n"/>
      <c r="K690" s="27" t="n"/>
      <c r="L690" s="27" t="n"/>
      <c r="M690" s="27">
        <f>IF(E690="","",F690+G690+H690+I690+J690+K690+L690)</f>
        <v/>
      </c>
      <c r="N690" s="27">
        <f>IF(E690="","",E690-M690)</f>
        <v/>
      </c>
      <c r="O690" s="14" t="n"/>
    </row>
    <row r="691">
      <c r="A691" s="24" t="n"/>
      <c r="B691" s="15" t="n"/>
      <c r="C691" s="15" t="n"/>
      <c r="D691" s="15" t="n"/>
      <c r="E691" s="25" t="n"/>
      <c r="F691" s="25">
        <f>IF(E691="","",E691*0.065)</f>
        <v/>
      </c>
      <c r="G691" s="25">
        <f>IF(E691="","",E691*0.03+0.25)</f>
        <v/>
      </c>
      <c r="H691" s="25" t="n"/>
      <c r="I691" s="25" t="n"/>
      <c r="J691" s="25" t="n"/>
      <c r="K691" s="25" t="n"/>
      <c r="L691" s="25" t="n"/>
      <c r="M691" s="25">
        <f>IF(E691="","",F691+G691+H691+I691+J691+K691+L691)</f>
        <v/>
      </c>
      <c r="N691" s="25">
        <f>IF(E691="","",E691-M691)</f>
        <v/>
      </c>
      <c r="O691" s="15" t="n"/>
    </row>
    <row r="692">
      <c r="A692" s="26" t="n"/>
      <c r="B692" s="14" t="n"/>
      <c r="C692" s="14" t="n"/>
      <c r="D692" s="14" t="n"/>
      <c r="E692" s="27" t="n"/>
      <c r="F692" s="27">
        <f>IF(E692="","",E692*0.065)</f>
        <v/>
      </c>
      <c r="G692" s="27">
        <f>IF(E692="","",E692*0.03+0.25)</f>
        <v/>
      </c>
      <c r="H692" s="27" t="n"/>
      <c r="I692" s="27" t="n"/>
      <c r="J692" s="27" t="n"/>
      <c r="K692" s="27" t="n"/>
      <c r="L692" s="27" t="n"/>
      <c r="M692" s="27">
        <f>IF(E692="","",F692+G692+H692+I692+J692+K692+L692)</f>
        <v/>
      </c>
      <c r="N692" s="27">
        <f>IF(E692="","",E692-M692)</f>
        <v/>
      </c>
      <c r="O692" s="14" t="n"/>
    </row>
    <row r="693">
      <c r="A693" s="24" t="n"/>
      <c r="B693" s="15" t="n"/>
      <c r="C693" s="15" t="n"/>
      <c r="D693" s="15" t="n"/>
      <c r="E693" s="25" t="n"/>
      <c r="F693" s="25">
        <f>IF(E693="","",E693*0.065)</f>
        <v/>
      </c>
      <c r="G693" s="25">
        <f>IF(E693="","",E693*0.03+0.25)</f>
        <v/>
      </c>
      <c r="H693" s="25" t="n"/>
      <c r="I693" s="25" t="n"/>
      <c r="J693" s="25" t="n"/>
      <c r="K693" s="25" t="n"/>
      <c r="L693" s="25" t="n"/>
      <c r="M693" s="25">
        <f>IF(E693="","",F693+G693+H693+I693+J693+K693+L693)</f>
        <v/>
      </c>
      <c r="N693" s="25">
        <f>IF(E693="","",E693-M693)</f>
        <v/>
      </c>
      <c r="O693" s="15" t="n"/>
    </row>
    <row r="694">
      <c r="A694" s="26" t="n"/>
      <c r="B694" s="14" t="n"/>
      <c r="C694" s="14" t="n"/>
      <c r="D694" s="14" t="n"/>
      <c r="E694" s="27" t="n"/>
      <c r="F694" s="27">
        <f>IF(E694="","",E694*0.065)</f>
        <v/>
      </c>
      <c r="G694" s="27">
        <f>IF(E694="","",E694*0.03+0.25)</f>
        <v/>
      </c>
      <c r="H694" s="27" t="n"/>
      <c r="I694" s="27" t="n"/>
      <c r="J694" s="27" t="n"/>
      <c r="K694" s="27" t="n"/>
      <c r="L694" s="27" t="n"/>
      <c r="M694" s="27">
        <f>IF(E694="","",F694+G694+H694+I694+J694+K694+L694)</f>
        <v/>
      </c>
      <c r="N694" s="27">
        <f>IF(E694="","",E694-M694)</f>
        <v/>
      </c>
      <c r="O694" s="14" t="n"/>
    </row>
    <row r="695">
      <c r="A695" s="24" t="n"/>
      <c r="B695" s="15" t="n"/>
      <c r="C695" s="15" t="n"/>
      <c r="D695" s="15" t="n"/>
      <c r="E695" s="25" t="n"/>
      <c r="F695" s="25">
        <f>IF(E695="","",E695*0.065)</f>
        <v/>
      </c>
      <c r="G695" s="25">
        <f>IF(E695="","",E695*0.03+0.25)</f>
        <v/>
      </c>
      <c r="H695" s="25" t="n"/>
      <c r="I695" s="25" t="n"/>
      <c r="J695" s="25" t="n"/>
      <c r="K695" s="25" t="n"/>
      <c r="L695" s="25" t="n"/>
      <c r="M695" s="25">
        <f>IF(E695="","",F695+G695+H695+I695+J695+K695+L695)</f>
        <v/>
      </c>
      <c r="N695" s="25">
        <f>IF(E695="","",E695-M695)</f>
        <v/>
      </c>
      <c r="O695" s="15" t="n"/>
    </row>
    <row r="696">
      <c r="A696" s="26" t="n"/>
      <c r="B696" s="14" t="n"/>
      <c r="C696" s="14" t="n"/>
      <c r="D696" s="14" t="n"/>
      <c r="E696" s="27" t="n"/>
      <c r="F696" s="27">
        <f>IF(E696="","",E696*0.065)</f>
        <v/>
      </c>
      <c r="G696" s="27">
        <f>IF(E696="","",E696*0.03+0.25)</f>
        <v/>
      </c>
      <c r="H696" s="27" t="n"/>
      <c r="I696" s="27" t="n"/>
      <c r="J696" s="27" t="n"/>
      <c r="K696" s="27" t="n"/>
      <c r="L696" s="27" t="n"/>
      <c r="M696" s="27">
        <f>IF(E696="","",F696+G696+H696+I696+J696+K696+L696)</f>
        <v/>
      </c>
      <c r="N696" s="27">
        <f>IF(E696="","",E696-M696)</f>
        <v/>
      </c>
      <c r="O696" s="14" t="n"/>
    </row>
    <row r="697">
      <c r="A697" s="24" t="n"/>
      <c r="B697" s="15" t="n"/>
      <c r="C697" s="15" t="n"/>
      <c r="D697" s="15" t="n"/>
      <c r="E697" s="25" t="n"/>
      <c r="F697" s="25">
        <f>IF(E697="","",E697*0.065)</f>
        <v/>
      </c>
      <c r="G697" s="25">
        <f>IF(E697="","",E697*0.03+0.25)</f>
        <v/>
      </c>
      <c r="H697" s="25" t="n"/>
      <c r="I697" s="25" t="n"/>
      <c r="J697" s="25" t="n"/>
      <c r="K697" s="25" t="n"/>
      <c r="L697" s="25" t="n"/>
      <c r="M697" s="25">
        <f>IF(E697="","",F697+G697+H697+I697+J697+K697+L697)</f>
        <v/>
      </c>
      <c r="N697" s="25">
        <f>IF(E697="","",E697-M697)</f>
        <v/>
      </c>
      <c r="O697" s="15" t="n"/>
    </row>
    <row r="698">
      <c r="A698" s="26" t="n"/>
      <c r="B698" s="14" t="n"/>
      <c r="C698" s="14" t="n"/>
      <c r="D698" s="14" t="n"/>
      <c r="E698" s="27" t="n"/>
      <c r="F698" s="27">
        <f>IF(E698="","",E698*0.065)</f>
        <v/>
      </c>
      <c r="G698" s="27">
        <f>IF(E698="","",E698*0.03+0.25)</f>
        <v/>
      </c>
      <c r="H698" s="27" t="n"/>
      <c r="I698" s="27" t="n"/>
      <c r="J698" s="27" t="n"/>
      <c r="K698" s="27" t="n"/>
      <c r="L698" s="27" t="n"/>
      <c r="M698" s="27">
        <f>IF(E698="","",F698+G698+H698+I698+J698+K698+L698)</f>
        <v/>
      </c>
      <c r="N698" s="27">
        <f>IF(E698="","",E698-M698)</f>
        <v/>
      </c>
      <c r="O698" s="14" t="n"/>
    </row>
    <row r="699">
      <c r="A699" s="24" t="n"/>
      <c r="B699" s="15" t="n"/>
      <c r="C699" s="15" t="n"/>
      <c r="D699" s="15" t="n"/>
      <c r="E699" s="25" t="n"/>
      <c r="F699" s="25">
        <f>IF(E699="","",E699*0.065)</f>
        <v/>
      </c>
      <c r="G699" s="25">
        <f>IF(E699="","",E699*0.03+0.25)</f>
        <v/>
      </c>
      <c r="H699" s="25" t="n"/>
      <c r="I699" s="25" t="n"/>
      <c r="J699" s="25" t="n"/>
      <c r="K699" s="25" t="n"/>
      <c r="L699" s="25" t="n"/>
      <c r="M699" s="25">
        <f>IF(E699="","",F699+G699+H699+I699+J699+K699+L699)</f>
        <v/>
      </c>
      <c r="N699" s="25">
        <f>IF(E699="","",E699-M699)</f>
        <v/>
      </c>
      <c r="O699" s="15" t="n"/>
    </row>
    <row r="700">
      <c r="A700" s="26" t="n"/>
      <c r="B700" s="14" t="n"/>
      <c r="C700" s="14" t="n"/>
      <c r="D700" s="14" t="n"/>
      <c r="E700" s="27" t="n"/>
      <c r="F700" s="27">
        <f>IF(E700="","",E700*0.065)</f>
        <v/>
      </c>
      <c r="G700" s="27">
        <f>IF(E700="","",E700*0.03+0.25)</f>
        <v/>
      </c>
      <c r="H700" s="27" t="n"/>
      <c r="I700" s="27" t="n"/>
      <c r="J700" s="27" t="n"/>
      <c r="K700" s="27" t="n"/>
      <c r="L700" s="27" t="n"/>
      <c r="M700" s="27">
        <f>IF(E700="","",F700+G700+H700+I700+J700+K700+L700)</f>
        <v/>
      </c>
      <c r="N700" s="27">
        <f>IF(E700="","",E700-M700)</f>
        <v/>
      </c>
      <c r="O700" s="14" t="n"/>
    </row>
    <row r="701">
      <c r="A701" s="24" t="n"/>
      <c r="B701" s="15" t="n"/>
      <c r="C701" s="15" t="n"/>
      <c r="D701" s="15" t="n"/>
      <c r="E701" s="25" t="n"/>
      <c r="F701" s="25">
        <f>IF(E701="","",E701*0.065)</f>
        <v/>
      </c>
      <c r="G701" s="25">
        <f>IF(E701="","",E701*0.03+0.25)</f>
        <v/>
      </c>
      <c r="H701" s="25" t="n"/>
      <c r="I701" s="25" t="n"/>
      <c r="J701" s="25" t="n"/>
      <c r="K701" s="25" t="n"/>
      <c r="L701" s="25" t="n"/>
      <c r="M701" s="25">
        <f>IF(E701="","",F701+G701+H701+I701+J701+K701+L701)</f>
        <v/>
      </c>
      <c r="N701" s="25">
        <f>IF(E701="","",E701-M701)</f>
        <v/>
      </c>
      <c r="O701" s="15" t="n"/>
    </row>
    <row r="702">
      <c r="A702" s="26" t="n"/>
      <c r="B702" s="14" t="n"/>
      <c r="C702" s="14" t="n"/>
      <c r="D702" s="14" t="n"/>
      <c r="E702" s="27" t="n"/>
      <c r="F702" s="27">
        <f>IF(E702="","",E702*0.065)</f>
        <v/>
      </c>
      <c r="G702" s="27">
        <f>IF(E702="","",E702*0.03+0.25)</f>
        <v/>
      </c>
      <c r="H702" s="27" t="n"/>
      <c r="I702" s="27" t="n"/>
      <c r="J702" s="27" t="n"/>
      <c r="K702" s="27" t="n"/>
      <c r="L702" s="27" t="n"/>
      <c r="M702" s="27">
        <f>IF(E702="","",F702+G702+H702+I702+J702+K702+L702)</f>
        <v/>
      </c>
      <c r="N702" s="27">
        <f>IF(E702="","",E702-M702)</f>
        <v/>
      </c>
      <c r="O702" s="14" t="n"/>
    </row>
    <row r="703">
      <c r="A703" s="24" t="n"/>
      <c r="B703" s="15" t="n"/>
      <c r="C703" s="15" t="n"/>
      <c r="D703" s="15" t="n"/>
      <c r="E703" s="25" t="n"/>
      <c r="F703" s="25">
        <f>IF(E703="","",E703*0.065)</f>
        <v/>
      </c>
      <c r="G703" s="25">
        <f>IF(E703="","",E703*0.03+0.25)</f>
        <v/>
      </c>
      <c r="H703" s="25" t="n"/>
      <c r="I703" s="25" t="n"/>
      <c r="J703" s="25" t="n"/>
      <c r="K703" s="25" t="n"/>
      <c r="L703" s="25" t="n"/>
      <c r="M703" s="25">
        <f>IF(E703="","",F703+G703+H703+I703+J703+K703+L703)</f>
        <v/>
      </c>
      <c r="N703" s="25">
        <f>IF(E703="","",E703-M703)</f>
        <v/>
      </c>
      <c r="O703" s="15" t="n"/>
    </row>
    <row r="704">
      <c r="A704" s="26" t="n"/>
      <c r="B704" s="14" t="n"/>
      <c r="C704" s="14" t="n"/>
      <c r="D704" s="14" t="n"/>
      <c r="E704" s="27" t="n"/>
      <c r="F704" s="27">
        <f>IF(E704="","",E704*0.065)</f>
        <v/>
      </c>
      <c r="G704" s="27">
        <f>IF(E704="","",E704*0.03+0.25)</f>
        <v/>
      </c>
      <c r="H704" s="27" t="n"/>
      <c r="I704" s="27" t="n"/>
      <c r="J704" s="27" t="n"/>
      <c r="K704" s="27" t="n"/>
      <c r="L704" s="27" t="n"/>
      <c r="M704" s="27">
        <f>IF(E704="","",F704+G704+H704+I704+J704+K704+L704)</f>
        <v/>
      </c>
      <c r="N704" s="27">
        <f>IF(E704="","",E704-M704)</f>
        <v/>
      </c>
      <c r="O704" s="14" t="n"/>
    </row>
    <row r="705">
      <c r="A705" s="24" t="n"/>
      <c r="B705" s="15" t="n"/>
      <c r="C705" s="15" t="n"/>
      <c r="D705" s="15" t="n"/>
      <c r="E705" s="25" t="n"/>
      <c r="F705" s="25">
        <f>IF(E705="","",E705*0.065)</f>
        <v/>
      </c>
      <c r="G705" s="25">
        <f>IF(E705="","",E705*0.03+0.25)</f>
        <v/>
      </c>
      <c r="H705" s="25" t="n"/>
      <c r="I705" s="25" t="n"/>
      <c r="J705" s="25" t="n"/>
      <c r="K705" s="25" t="n"/>
      <c r="L705" s="25" t="n"/>
      <c r="M705" s="25">
        <f>IF(E705="","",F705+G705+H705+I705+J705+K705+L705)</f>
        <v/>
      </c>
      <c r="N705" s="25">
        <f>IF(E705="","",E705-M705)</f>
        <v/>
      </c>
      <c r="O705" s="15" t="n"/>
    </row>
    <row r="706">
      <c r="A706" s="26" t="n"/>
      <c r="B706" s="14" t="n"/>
      <c r="C706" s="14" t="n"/>
      <c r="D706" s="14" t="n"/>
      <c r="E706" s="27" t="n"/>
      <c r="F706" s="27">
        <f>IF(E706="","",E706*0.065)</f>
        <v/>
      </c>
      <c r="G706" s="27">
        <f>IF(E706="","",E706*0.03+0.25)</f>
        <v/>
      </c>
      <c r="H706" s="27" t="n"/>
      <c r="I706" s="27" t="n"/>
      <c r="J706" s="27" t="n"/>
      <c r="K706" s="27" t="n"/>
      <c r="L706" s="27" t="n"/>
      <c r="M706" s="27">
        <f>IF(E706="","",F706+G706+H706+I706+J706+K706+L706)</f>
        <v/>
      </c>
      <c r="N706" s="27">
        <f>IF(E706="","",E706-M706)</f>
        <v/>
      </c>
      <c r="O706" s="14" t="n"/>
    </row>
    <row r="707">
      <c r="A707" s="24" t="n"/>
      <c r="B707" s="15" t="n"/>
      <c r="C707" s="15" t="n"/>
      <c r="D707" s="15" t="n"/>
      <c r="E707" s="25" t="n"/>
      <c r="F707" s="25">
        <f>IF(E707="","",E707*0.065)</f>
        <v/>
      </c>
      <c r="G707" s="25">
        <f>IF(E707="","",E707*0.03+0.25)</f>
        <v/>
      </c>
      <c r="H707" s="25" t="n"/>
      <c r="I707" s="25" t="n"/>
      <c r="J707" s="25" t="n"/>
      <c r="K707" s="25" t="n"/>
      <c r="L707" s="25" t="n"/>
      <c r="M707" s="25">
        <f>IF(E707="","",F707+G707+H707+I707+J707+K707+L707)</f>
        <v/>
      </c>
      <c r="N707" s="25">
        <f>IF(E707="","",E707-M707)</f>
        <v/>
      </c>
      <c r="O707" s="15" t="n"/>
    </row>
    <row r="708">
      <c r="A708" s="26" t="n"/>
      <c r="B708" s="14" t="n"/>
      <c r="C708" s="14" t="n"/>
      <c r="D708" s="14" t="n"/>
      <c r="E708" s="27" t="n"/>
      <c r="F708" s="27">
        <f>IF(E708="","",E708*0.065)</f>
        <v/>
      </c>
      <c r="G708" s="27">
        <f>IF(E708="","",E708*0.03+0.25)</f>
        <v/>
      </c>
      <c r="H708" s="27" t="n"/>
      <c r="I708" s="27" t="n"/>
      <c r="J708" s="27" t="n"/>
      <c r="K708" s="27" t="n"/>
      <c r="L708" s="27" t="n"/>
      <c r="M708" s="27">
        <f>IF(E708="","",F708+G708+H708+I708+J708+K708+L708)</f>
        <v/>
      </c>
      <c r="N708" s="27">
        <f>IF(E708="","",E708-M708)</f>
        <v/>
      </c>
      <c r="O708" s="14" t="n"/>
    </row>
    <row r="709">
      <c r="A709" s="24" t="n"/>
      <c r="B709" s="15" t="n"/>
      <c r="C709" s="15" t="n"/>
      <c r="D709" s="15" t="n"/>
      <c r="E709" s="25" t="n"/>
      <c r="F709" s="25">
        <f>IF(E709="","",E709*0.065)</f>
        <v/>
      </c>
      <c r="G709" s="25">
        <f>IF(E709="","",E709*0.03+0.25)</f>
        <v/>
      </c>
      <c r="H709" s="25" t="n"/>
      <c r="I709" s="25" t="n"/>
      <c r="J709" s="25" t="n"/>
      <c r="K709" s="25" t="n"/>
      <c r="L709" s="25" t="n"/>
      <c r="M709" s="25">
        <f>IF(E709="","",F709+G709+H709+I709+J709+K709+L709)</f>
        <v/>
      </c>
      <c r="N709" s="25">
        <f>IF(E709="","",E709-M709)</f>
        <v/>
      </c>
      <c r="O709" s="15" t="n"/>
    </row>
    <row r="710">
      <c r="A710" s="26" t="n"/>
      <c r="B710" s="14" t="n"/>
      <c r="C710" s="14" t="n"/>
      <c r="D710" s="14" t="n"/>
      <c r="E710" s="27" t="n"/>
      <c r="F710" s="27">
        <f>IF(E710="","",E710*0.065)</f>
        <v/>
      </c>
      <c r="G710" s="27">
        <f>IF(E710="","",E710*0.03+0.25)</f>
        <v/>
      </c>
      <c r="H710" s="27" t="n"/>
      <c r="I710" s="27" t="n"/>
      <c r="J710" s="27" t="n"/>
      <c r="K710" s="27" t="n"/>
      <c r="L710" s="27" t="n"/>
      <c r="M710" s="27">
        <f>IF(E710="","",F710+G710+H710+I710+J710+K710+L710)</f>
        <v/>
      </c>
      <c r="N710" s="27">
        <f>IF(E710="","",E710-M710)</f>
        <v/>
      </c>
      <c r="O710" s="14" t="n"/>
    </row>
    <row r="711">
      <c r="A711" s="24" t="n"/>
      <c r="B711" s="15" t="n"/>
      <c r="C711" s="15" t="n"/>
      <c r="D711" s="15" t="n"/>
      <c r="E711" s="25" t="n"/>
      <c r="F711" s="25">
        <f>IF(E711="","",E711*0.065)</f>
        <v/>
      </c>
      <c r="G711" s="25">
        <f>IF(E711="","",E711*0.03+0.25)</f>
        <v/>
      </c>
      <c r="H711" s="25" t="n"/>
      <c r="I711" s="25" t="n"/>
      <c r="J711" s="25" t="n"/>
      <c r="K711" s="25" t="n"/>
      <c r="L711" s="25" t="n"/>
      <c r="M711" s="25">
        <f>IF(E711="","",F711+G711+H711+I711+J711+K711+L711)</f>
        <v/>
      </c>
      <c r="N711" s="25">
        <f>IF(E711="","",E711-M711)</f>
        <v/>
      </c>
      <c r="O711" s="15" t="n"/>
    </row>
    <row r="712">
      <c r="A712" s="26" t="n"/>
      <c r="B712" s="14" t="n"/>
      <c r="C712" s="14" t="n"/>
      <c r="D712" s="14" t="n"/>
      <c r="E712" s="27" t="n"/>
      <c r="F712" s="27">
        <f>IF(E712="","",E712*0.065)</f>
        <v/>
      </c>
      <c r="G712" s="27">
        <f>IF(E712="","",E712*0.03+0.25)</f>
        <v/>
      </c>
      <c r="H712" s="27" t="n"/>
      <c r="I712" s="27" t="n"/>
      <c r="J712" s="27" t="n"/>
      <c r="K712" s="27" t="n"/>
      <c r="L712" s="27" t="n"/>
      <c r="M712" s="27">
        <f>IF(E712="","",F712+G712+H712+I712+J712+K712+L712)</f>
        <v/>
      </c>
      <c r="N712" s="27">
        <f>IF(E712="","",E712-M712)</f>
        <v/>
      </c>
      <c r="O712" s="14" t="n"/>
    </row>
    <row r="713">
      <c r="A713" s="24" t="n"/>
      <c r="B713" s="15" t="n"/>
      <c r="C713" s="15" t="n"/>
      <c r="D713" s="15" t="n"/>
      <c r="E713" s="25" t="n"/>
      <c r="F713" s="25">
        <f>IF(E713="","",E713*0.065)</f>
        <v/>
      </c>
      <c r="G713" s="25">
        <f>IF(E713="","",E713*0.03+0.25)</f>
        <v/>
      </c>
      <c r="H713" s="25" t="n"/>
      <c r="I713" s="25" t="n"/>
      <c r="J713" s="25" t="n"/>
      <c r="K713" s="25" t="n"/>
      <c r="L713" s="25" t="n"/>
      <c r="M713" s="25">
        <f>IF(E713="","",F713+G713+H713+I713+J713+K713+L713)</f>
        <v/>
      </c>
      <c r="N713" s="25">
        <f>IF(E713="","",E713-M713)</f>
        <v/>
      </c>
      <c r="O713" s="15" t="n"/>
    </row>
    <row r="714">
      <c r="A714" s="26" t="n"/>
      <c r="B714" s="14" t="n"/>
      <c r="C714" s="14" t="n"/>
      <c r="D714" s="14" t="n"/>
      <c r="E714" s="27" t="n"/>
      <c r="F714" s="27">
        <f>IF(E714="","",E714*0.065)</f>
        <v/>
      </c>
      <c r="G714" s="27">
        <f>IF(E714="","",E714*0.03+0.25)</f>
        <v/>
      </c>
      <c r="H714" s="27" t="n"/>
      <c r="I714" s="27" t="n"/>
      <c r="J714" s="27" t="n"/>
      <c r="K714" s="27" t="n"/>
      <c r="L714" s="27" t="n"/>
      <c r="M714" s="27">
        <f>IF(E714="","",F714+G714+H714+I714+J714+K714+L714)</f>
        <v/>
      </c>
      <c r="N714" s="27">
        <f>IF(E714="","",E714-M714)</f>
        <v/>
      </c>
      <c r="O714" s="14" t="n"/>
    </row>
    <row r="715">
      <c r="A715" s="24" t="n"/>
      <c r="B715" s="15" t="n"/>
      <c r="C715" s="15" t="n"/>
      <c r="D715" s="15" t="n"/>
      <c r="E715" s="25" t="n"/>
      <c r="F715" s="25">
        <f>IF(E715="","",E715*0.065)</f>
        <v/>
      </c>
      <c r="G715" s="25">
        <f>IF(E715="","",E715*0.03+0.25)</f>
        <v/>
      </c>
      <c r="H715" s="25" t="n"/>
      <c r="I715" s="25" t="n"/>
      <c r="J715" s="25" t="n"/>
      <c r="K715" s="25" t="n"/>
      <c r="L715" s="25" t="n"/>
      <c r="M715" s="25">
        <f>IF(E715="","",F715+G715+H715+I715+J715+K715+L715)</f>
        <v/>
      </c>
      <c r="N715" s="25">
        <f>IF(E715="","",E715-M715)</f>
        <v/>
      </c>
      <c r="O715" s="15" t="n"/>
    </row>
    <row r="716">
      <c r="A716" s="26" t="n"/>
      <c r="B716" s="14" t="n"/>
      <c r="C716" s="14" t="n"/>
      <c r="D716" s="14" t="n"/>
      <c r="E716" s="27" t="n"/>
      <c r="F716" s="27">
        <f>IF(E716="","",E716*0.065)</f>
        <v/>
      </c>
      <c r="G716" s="27">
        <f>IF(E716="","",E716*0.03+0.25)</f>
        <v/>
      </c>
      <c r="H716" s="27" t="n"/>
      <c r="I716" s="27" t="n"/>
      <c r="J716" s="27" t="n"/>
      <c r="K716" s="27" t="n"/>
      <c r="L716" s="27" t="n"/>
      <c r="M716" s="27">
        <f>IF(E716="","",F716+G716+H716+I716+J716+K716+L716)</f>
        <v/>
      </c>
      <c r="N716" s="27">
        <f>IF(E716="","",E716-M716)</f>
        <v/>
      </c>
      <c r="O716" s="14" t="n"/>
    </row>
    <row r="717">
      <c r="A717" s="24" t="n"/>
      <c r="B717" s="15" t="n"/>
      <c r="C717" s="15" t="n"/>
      <c r="D717" s="15" t="n"/>
      <c r="E717" s="25" t="n"/>
      <c r="F717" s="25">
        <f>IF(E717="","",E717*0.065)</f>
        <v/>
      </c>
      <c r="G717" s="25">
        <f>IF(E717="","",E717*0.03+0.25)</f>
        <v/>
      </c>
      <c r="H717" s="25" t="n"/>
      <c r="I717" s="25" t="n"/>
      <c r="J717" s="25" t="n"/>
      <c r="K717" s="25" t="n"/>
      <c r="L717" s="25" t="n"/>
      <c r="M717" s="25">
        <f>IF(E717="","",F717+G717+H717+I717+J717+K717+L717)</f>
        <v/>
      </c>
      <c r="N717" s="25">
        <f>IF(E717="","",E717-M717)</f>
        <v/>
      </c>
      <c r="O717" s="15" t="n"/>
    </row>
    <row r="718">
      <c r="A718" s="26" t="n"/>
      <c r="B718" s="14" t="n"/>
      <c r="C718" s="14" t="n"/>
      <c r="D718" s="14" t="n"/>
      <c r="E718" s="27" t="n"/>
      <c r="F718" s="27">
        <f>IF(E718="","",E718*0.065)</f>
        <v/>
      </c>
      <c r="G718" s="27">
        <f>IF(E718="","",E718*0.03+0.25)</f>
        <v/>
      </c>
      <c r="H718" s="27" t="n"/>
      <c r="I718" s="27" t="n"/>
      <c r="J718" s="27" t="n"/>
      <c r="K718" s="27" t="n"/>
      <c r="L718" s="27" t="n"/>
      <c r="M718" s="27">
        <f>IF(E718="","",F718+G718+H718+I718+J718+K718+L718)</f>
        <v/>
      </c>
      <c r="N718" s="27">
        <f>IF(E718="","",E718-M718)</f>
        <v/>
      </c>
      <c r="O718" s="14" t="n"/>
    </row>
    <row r="719">
      <c r="A719" s="24" t="n"/>
      <c r="B719" s="15" t="n"/>
      <c r="C719" s="15" t="n"/>
      <c r="D719" s="15" t="n"/>
      <c r="E719" s="25" t="n"/>
      <c r="F719" s="25">
        <f>IF(E719="","",E719*0.065)</f>
        <v/>
      </c>
      <c r="G719" s="25">
        <f>IF(E719="","",E719*0.03+0.25)</f>
        <v/>
      </c>
      <c r="H719" s="25" t="n"/>
      <c r="I719" s="25" t="n"/>
      <c r="J719" s="25" t="n"/>
      <c r="K719" s="25" t="n"/>
      <c r="L719" s="25" t="n"/>
      <c r="M719" s="25">
        <f>IF(E719="","",F719+G719+H719+I719+J719+K719+L719)</f>
        <v/>
      </c>
      <c r="N719" s="25">
        <f>IF(E719="","",E719-M719)</f>
        <v/>
      </c>
      <c r="O719" s="15" t="n"/>
    </row>
    <row r="720">
      <c r="A720" s="26" t="n"/>
      <c r="B720" s="14" t="n"/>
      <c r="C720" s="14" t="n"/>
      <c r="D720" s="14" t="n"/>
      <c r="E720" s="27" t="n"/>
      <c r="F720" s="27">
        <f>IF(E720="","",E720*0.065)</f>
        <v/>
      </c>
      <c r="G720" s="27">
        <f>IF(E720="","",E720*0.03+0.25)</f>
        <v/>
      </c>
      <c r="H720" s="27" t="n"/>
      <c r="I720" s="27" t="n"/>
      <c r="J720" s="27" t="n"/>
      <c r="K720" s="27" t="n"/>
      <c r="L720" s="27" t="n"/>
      <c r="M720" s="27">
        <f>IF(E720="","",F720+G720+H720+I720+J720+K720+L720)</f>
        <v/>
      </c>
      <c r="N720" s="27">
        <f>IF(E720="","",E720-M720)</f>
        <v/>
      </c>
      <c r="O720" s="14" t="n"/>
    </row>
    <row r="721">
      <c r="A721" s="24" t="n"/>
      <c r="B721" s="15" t="n"/>
      <c r="C721" s="15" t="n"/>
      <c r="D721" s="15" t="n"/>
      <c r="E721" s="25" t="n"/>
      <c r="F721" s="25">
        <f>IF(E721="","",E721*0.065)</f>
        <v/>
      </c>
      <c r="G721" s="25">
        <f>IF(E721="","",E721*0.03+0.25)</f>
        <v/>
      </c>
      <c r="H721" s="25" t="n"/>
      <c r="I721" s="25" t="n"/>
      <c r="J721" s="25" t="n"/>
      <c r="K721" s="25" t="n"/>
      <c r="L721" s="25" t="n"/>
      <c r="M721" s="25">
        <f>IF(E721="","",F721+G721+H721+I721+J721+K721+L721)</f>
        <v/>
      </c>
      <c r="N721" s="25">
        <f>IF(E721="","",E721-M721)</f>
        <v/>
      </c>
      <c r="O721" s="15" t="n"/>
    </row>
    <row r="722">
      <c r="A722" s="26" t="n"/>
      <c r="B722" s="14" t="n"/>
      <c r="C722" s="14" t="n"/>
      <c r="D722" s="14" t="n"/>
      <c r="E722" s="27" t="n"/>
      <c r="F722" s="27">
        <f>IF(E722="","",E722*0.065)</f>
        <v/>
      </c>
      <c r="G722" s="27">
        <f>IF(E722="","",E722*0.03+0.25)</f>
        <v/>
      </c>
      <c r="H722" s="27" t="n"/>
      <c r="I722" s="27" t="n"/>
      <c r="J722" s="27" t="n"/>
      <c r="K722" s="27" t="n"/>
      <c r="L722" s="27" t="n"/>
      <c r="M722" s="27">
        <f>IF(E722="","",F722+G722+H722+I722+J722+K722+L722)</f>
        <v/>
      </c>
      <c r="N722" s="27">
        <f>IF(E722="","",E722-M722)</f>
        <v/>
      </c>
      <c r="O722" s="14" t="n"/>
    </row>
    <row r="723">
      <c r="A723" s="24" t="n"/>
      <c r="B723" s="15" t="n"/>
      <c r="C723" s="15" t="n"/>
      <c r="D723" s="15" t="n"/>
      <c r="E723" s="25" t="n"/>
      <c r="F723" s="25">
        <f>IF(E723="","",E723*0.065)</f>
        <v/>
      </c>
      <c r="G723" s="25">
        <f>IF(E723="","",E723*0.03+0.25)</f>
        <v/>
      </c>
      <c r="H723" s="25" t="n"/>
      <c r="I723" s="25" t="n"/>
      <c r="J723" s="25" t="n"/>
      <c r="K723" s="25" t="n"/>
      <c r="L723" s="25" t="n"/>
      <c r="M723" s="25">
        <f>IF(E723="","",F723+G723+H723+I723+J723+K723+L723)</f>
        <v/>
      </c>
      <c r="N723" s="25">
        <f>IF(E723="","",E723-M723)</f>
        <v/>
      </c>
      <c r="O723" s="15" t="n"/>
    </row>
    <row r="724">
      <c r="A724" s="26" t="n"/>
      <c r="B724" s="14" t="n"/>
      <c r="C724" s="14" t="n"/>
      <c r="D724" s="14" t="n"/>
      <c r="E724" s="27" t="n"/>
      <c r="F724" s="27">
        <f>IF(E724="","",E724*0.065)</f>
        <v/>
      </c>
      <c r="G724" s="27">
        <f>IF(E724="","",E724*0.03+0.25)</f>
        <v/>
      </c>
      <c r="H724" s="27" t="n"/>
      <c r="I724" s="27" t="n"/>
      <c r="J724" s="27" t="n"/>
      <c r="K724" s="27" t="n"/>
      <c r="L724" s="27" t="n"/>
      <c r="M724" s="27">
        <f>IF(E724="","",F724+G724+H724+I724+J724+K724+L724)</f>
        <v/>
      </c>
      <c r="N724" s="27">
        <f>IF(E724="","",E724-M724)</f>
        <v/>
      </c>
      <c r="O724" s="14" t="n"/>
    </row>
    <row r="725">
      <c r="A725" s="24" t="n"/>
      <c r="B725" s="15" t="n"/>
      <c r="C725" s="15" t="n"/>
      <c r="D725" s="15" t="n"/>
      <c r="E725" s="25" t="n"/>
      <c r="F725" s="25">
        <f>IF(E725="","",E725*0.065)</f>
        <v/>
      </c>
      <c r="G725" s="25">
        <f>IF(E725="","",E725*0.03+0.25)</f>
        <v/>
      </c>
      <c r="H725" s="25" t="n"/>
      <c r="I725" s="25" t="n"/>
      <c r="J725" s="25" t="n"/>
      <c r="K725" s="25" t="n"/>
      <c r="L725" s="25" t="n"/>
      <c r="M725" s="25">
        <f>IF(E725="","",F725+G725+H725+I725+J725+K725+L725)</f>
        <v/>
      </c>
      <c r="N725" s="25">
        <f>IF(E725="","",E725-M725)</f>
        <v/>
      </c>
      <c r="O725" s="15" t="n"/>
    </row>
    <row r="726">
      <c r="A726" s="26" t="n"/>
      <c r="B726" s="14" t="n"/>
      <c r="C726" s="14" t="n"/>
      <c r="D726" s="14" t="n"/>
      <c r="E726" s="27" t="n"/>
      <c r="F726" s="27">
        <f>IF(E726="","",E726*0.065)</f>
        <v/>
      </c>
      <c r="G726" s="27">
        <f>IF(E726="","",E726*0.03+0.25)</f>
        <v/>
      </c>
      <c r="H726" s="27" t="n"/>
      <c r="I726" s="27" t="n"/>
      <c r="J726" s="27" t="n"/>
      <c r="K726" s="27" t="n"/>
      <c r="L726" s="27" t="n"/>
      <c r="M726" s="27">
        <f>IF(E726="","",F726+G726+H726+I726+J726+K726+L726)</f>
        <v/>
      </c>
      <c r="N726" s="27">
        <f>IF(E726="","",E726-M726)</f>
        <v/>
      </c>
      <c r="O726" s="14" t="n"/>
    </row>
    <row r="727">
      <c r="A727" s="24" t="n"/>
      <c r="B727" s="15" t="n"/>
      <c r="C727" s="15" t="n"/>
      <c r="D727" s="15" t="n"/>
      <c r="E727" s="25" t="n"/>
      <c r="F727" s="25">
        <f>IF(E727="","",E727*0.065)</f>
        <v/>
      </c>
      <c r="G727" s="25">
        <f>IF(E727="","",E727*0.03+0.25)</f>
        <v/>
      </c>
      <c r="H727" s="25" t="n"/>
      <c r="I727" s="25" t="n"/>
      <c r="J727" s="25" t="n"/>
      <c r="K727" s="25" t="n"/>
      <c r="L727" s="25" t="n"/>
      <c r="M727" s="25">
        <f>IF(E727="","",F727+G727+H727+I727+J727+K727+L727)</f>
        <v/>
      </c>
      <c r="N727" s="25">
        <f>IF(E727="","",E727-M727)</f>
        <v/>
      </c>
      <c r="O727" s="15" t="n"/>
    </row>
    <row r="728">
      <c r="A728" s="26" t="n"/>
      <c r="B728" s="14" t="n"/>
      <c r="C728" s="14" t="n"/>
      <c r="D728" s="14" t="n"/>
      <c r="E728" s="27" t="n"/>
      <c r="F728" s="27">
        <f>IF(E728="","",E728*0.065)</f>
        <v/>
      </c>
      <c r="G728" s="27">
        <f>IF(E728="","",E728*0.03+0.25)</f>
        <v/>
      </c>
      <c r="H728" s="27" t="n"/>
      <c r="I728" s="27" t="n"/>
      <c r="J728" s="27" t="n"/>
      <c r="K728" s="27" t="n"/>
      <c r="L728" s="27" t="n"/>
      <c r="M728" s="27">
        <f>IF(E728="","",F728+G728+H728+I728+J728+K728+L728)</f>
        <v/>
      </c>
      <c r="N728" s="27">
        <f>IF(E728="","",E728-M728)</f>
        <v/>
      </c>
      <c r="O728" s="14" t="n"/>
    </row>
    <row r="729">
      <c r="A729" s="24" t="n"/>
      <c r="B729" s="15" t="n"/>
      <c r="C729" s="15" t="n"/>
      <c r="D729" s="15" t="n"/>
      <c r="E729" s="25" t="n"/>
      <c r="F729" s="25">
        <f>IF(E729="","",E729*0.065)</f>
        <v/>
      </c>
      <c r="G729" s="25">
        <f>IF(E729="","",E729*0.03+0.25)</f>
        <v/>
      </c>
      <c r="H729" s="25" t="n"/>
      <c r="I729" s="25" t="n"/>
      <c r="J729" s="25" t="n"/>
      <c r="K729" s="25" t="n"/>
      <c r="L729" s="25" t="n"/>
      <c r="M729" s="25">
        <f>IF(E729="","",F729+G729+H729+I729+J729+K729+L729)</f>
        <v/>
      </c>
      <c r="N729" s="25">
        <f>IF(E729="","",E729-M729)</f>
        <v/>
      </c>
      <c r="O729" s="15" t="n"/>
    </row>
    <row r="730">
      <c r="A730" s="26" t="n"/>
      <c r="B730" s="14" t="n"/>
      <c r="C730" s="14" t="n"/>
      <c r="D730" s="14" t="n"/>
      <c r="E730" s="27" t="n"/>
      <c r="F730" s="27">
        <f>IF(E730="","",E730*0.065)</f>
        <v/>
      </c>
      <c r="G730" s="27">
        <f>IF(E730="","",E730*0.03+0.25)</f>
        <v/>
      </c>
      <c r="H730" s="27" t="n"/>
      <c r="I730" s="27" t="n"/>
      <c r="J730" s="27" t="n"/>
      <c r="K730" s="27" t="n"/>
      <c r="L730" s="27" t="n"/>
      <c r="M730" s="27">
        <f>IF(E730="","",F730+G730+H730+I730+J730+K730+L730)</f>
        <v/>
      </c>
      <c r="N730" s="27">
        <f>IF(E730="","",E730-M730)</f>
        <v/>
      </c>
      <c r="O730" s="14" t="n"/>
    </row>
    <row r="731">
      <c r="A731" s="24" t="n"/>
      <c r="B731" s="15" t="n"/>
      <c r="C731" s="15" t="n"/>
      <c r="D731" s="15" t="n"/>
      <c r="E731" s="25" t="n"/>
      <c r="F731" s="25">
        <f>IF(E731="","",E731*0.065)</f>
        <v/>
      </c>
      <c r="G731" s="25">
        <f>IF(E731="","",E731*0.03+0.25)</f>
        <v/>
      </c>
      <c r="H731" s="25" t="n"/>
      <c r="I731" s="25" t="n"/>
      <c r="J731" s="25" t="n"/>
      <c r="K731" s="25" t="n"/>
      <c r="L731" s="25" t="n"/>
      <c r="M731" s="25">
        <f>IF(E731="","",F731+G731+H731+I731+J731+K731+L731)</f>
        <v/>
      </c>
      <c r="N731" s="25">
        <f>IF(E731="","",E731-M731)</f>
        <v/>
      </c>
      <c r="O731" s="15" t="n"/>
    </row>
    <row r="732">
      <c r="A732" s="26" t="n"/>
      <c r="B732" s="14" t="n"/>
      <c r="C732" s="14" t="n"/>
      <c r="D732" s="14" t="n"/>
      <c r="E732" s="27" t="n"/>
      <c r="F732" s="27">
        <f>IF(E732="","",E732*0.065)</f>
        <v/>
      </c>
      <c r="G732" s="27">
        <f>IF(E732="","",E732*0.03+0.25)</f>
        <v/>
      </c>
      <c r="H732" s="27" t="n"/>
      <c r="I732" s="27" t="n"/>
      <c r="J732" s="27" t="n"/>
      <c r="K732" s="27" t="n"/>
      <c r="L732" s="27" t="n"/>
      <c r="M732" s="27">
        <f>IF(E732="","",F732+G732+H732+I732+J732+K732+L732)</f>
        <v/>
      </c>
      <c r="N732" s="27">
        <f>IF(E732="","",E732-M732)</f>
        <v/>
      </c>
      <c r="O732" s="14" t="n"/>
    </row>
    <row r="733">
      <c r="A733" s="24" t="n"/>
      <c r="B733" s="15" t="n"/>
      <c r="C733" s="15" t="n"/>
      <c r="D733" s="15" t="n"/>
      <c r="E733" s="25" t="n"/>
      <c r="F733" s="25">
        <f>IF(E733="","",E733*0.065)</f>
        <v/>
      </c>
      <c r="G733" s="25">
        <f>IF(E733="","",E733*0.03+0.25)</f>
        <v/>
      </c>
      <c r="H733" s="25" t="n"/>
      <c r="I733" s="25" t="n"/>
      <c r="J733" s="25" t="n"/>
      <c r="K733" s="25" t="n"/>
      <c r="L733" s="25" t="n"/>
      <c r="M733" s="25">
        <f>IF(E733="","",F733+G733+H733+I733+J733+K733+L733)</f>
        <v/>
      </c>
      <c r="N733" s="25">
        <f>IF(E733="","",E733-M733)</f>
        <v/>
      </c>
      <c r="O733" s="15" t="n"/>
    </row>
    <row r="734">
      <c r="A734" s="26" t="n"/>
      <c r="B734" s="14" t="n"/>
      <c r="C734" s="14" t="n"/>
      <c r="D734" s="14" t="n"/>
      <c r="E734" s="27" t="n"/>
      <c r="F734" s="27">
        <f>IF(E734="","",E734*0.065)</f>
        <v/>
      </c>
      <c r="G734" s="27">
        <f>IF(E734="","",E734*0.03+0.25)</f>
        <v/>
      </c>
      <c r="H734" s="27" t="n"/>
      <c r="I734" s="27" t="n"/>
      <c r="J734" s="27" t="n"/>
      <c r="K734" s="27" t="n"/>
      <c r="L734" s="27" t="n"/>
      <c r="M734" s="27">
        <f>IF(E734="","",F734+G734+H734+I734+J734+K734+L734)</f>
        <v/>
      </c>
      <c r="N734" s="27">
        <f>IF(E734="","",E734-M734)</f>
        <v/>
      </c>
      <c r="O734" s="14" t="n"/>
    </row>
    <row r="735">
      <c r="A735" s="24" t="n"/>
      <c r="B735" s="15" t="n"/>
      <c r="C735" s="15" t="n"/>
      <c r="D735" s="15" t="n"/>
      <c r="E735" s="25" t="n"/>
      <c r="F735" s="25">
        <f>IF(E735="","",E735*0.065)</f>
        <v/>
      </c>
      <c r="G735" s="25">
        <f>IF(E735="","",E735*0.03+0.25)</f>
        <v/>
      </c>
      <c r="H735" s="25" t="n"/>
      <c r="I735" s="25" t="n"/>
      <c r="J735" s="25" t="n"/>
      <c r="K735" s="25" t="n"/>
      <c r="L735" s="25" t="n"/>
      <c r="M735" s="25">
        <f>IF(E735="","",F735+G735+H735+I735+J735+K735+L735)</f>
        <v/>
      </c>
      <c r="N735" s="25">
        <f>IF(E735="","",E735-M735)</f>
        <v/>
      </c>
      <c r="O735" s="15" t="n"/>
    </row>
    <row r="736">
      <c r="A736" s="26" t="n"/>
      <c r="B736" s="14" t="n"/>
      <c r="C736" s="14" t="n"/>
      <c r="D736" s="14" t="n"/>
      <c r="E736" s="27" t="n"/>
      <c r="F736" s="27">
        <f>IF(E736="","",E736*0.065)</f>
        <v/>
      </c>
      <c r="G736" s="27">
        <f>IF(E736="","",E736*0.03+0.25)</f>
        <v/>
      </c>
      <c r="H736" s="27" t="n"/>
      <c r="I736" s="27" t="n"/>
      <c r="J736" s="27" t="n"/>
      <c r="K736" s="27" t="n"/>
      <c r="L736" s="27" t="n"/>
      <c r="M736" s="27">
        <f>IF(E736="","",F736+G736+H736+I736+J736+K736+L736)</f>
        <v/>
      </c>
      <c r="N736" s="27">
        <f>IF(E736="","",E736-M736)</f>
        <v/>
      </c>
      <c r="O736" s="14" t="n"/>
    </row>
    <row r="737">
      <c r="A737" s="24" t="n"/>
      <c r="B737" s="15" t="n"/>
      <c r="C737" s="15" t="n"/>
      <c r="D737" s="15" t="n"/>
      <c r="E737" s="25" t="n"/>
      <c r="F737" s="25">
        <f>IF(E737="","",E737*0.065)</f>
        <v/>
      </c>
      <c r="G737" s="25">
        <f>IF(E737="","",E737*0.03+0.25)</f>
        <v/>
      </c>
      <c r="H737" s="25" t="n"/>
      <c r="I737" s="25" t="n"/>
      <c r="J737" s="25" t="n"/>
      <c r="K737" s="25" t="n"/>
      <c r="L737" s="25" t="n"/>
      <c r="M737" s="25">
        <f>IF(E737="","",F737+G737+H737+I737+J737+K737+L737)</f>
        <v/>
      </c>
      <c r="N737" s="25">
        <f>IF(E737="","",E737-M737)</f>
        <v/>
      </c>
      <c r="O737" s="15" t="n"/>
    </row>
    <row r="738">
      <c r="A738" s="26" t="n"/>
      <c r="B738" s="14" t="n"/>
      <c r="C738" s="14" t="n"/>
      <c r="D738" s="14" t="n"/>
      <c r="E738" s="27" t="n"/>
      <c r="F738" s="27">
        <f>IF(E738="","",E738*0.065)</f>
        <v/>
      </c>
      <c r="G738" s="27">
        <f>IF(E738="","",E738*0.03+0.25)</f>
        <v/>
      </c>
      <c r="H738" s="27" t="n"/>
      <c r="I738" s="27" t="n"/>
      <c r="J738" s="27" t="n"/>
      <c r="K738" s="27" t="n"/>
      <c r="L738" s="27" t="n"/>
      <c r="M738" s="27">
        <f>IF(E738="","",F738+G738+H738+I738+J738+K738+L738)</f>
        <v/>
      </c>
      <c r="N738" s="27">
        <f>IF(E738="","",E738-M738)</f>
        <v/>
      </c>
      <c r="O738" s="14" t="n"/>
    </row>
    <row r="739">
      <c r="A739" s="24" t="n"/>
      <c r="B739" s="15" t="n"/>
      <c r="C739" s="15" t="n"/>
      <c r="D739" s="15" t="n"/>
      <c r="E739" s="25" t="n"/>
      <c r="F739" s="25">
        <f>IF(E739="","",E739*0.065)</f>
        <v/>
      </c>
      <c r="G739" s="25">
        <f>IF(E739="","",E739*0.03+0.25)</f>
        <v/>
      </c>
      <c r="H739" s="25" t="n"/>
      <c r="I739" s="25" t="n"/>
      <c r="J739" s="25" t="n"/>
      <c r="K739" s="25" t="n"/>
      <c r="L739" s="25" t="n"/>
      <c r="M739" s="25">
        <f>IF(E739="","",F739+G739+H739+I739+J739+K739+L739)</f>
        <v/>
      </c>
      <c r="N739" s="25">
        <f>IF(E739="","",E739-M739)</f>
        <v/>
      </c>
      <c r="O739" s="15" t="n"/>
    </row>
    <row r="740">
      <c r="A740" s="26" t="n"/>
      <c r="B740" s="14" t="n"/>
      <c r="C740" s="14" t="n"/>
      <c r="D740" s="14" t="n"/>
      <c r="E740" s="27" t="n"/>
      <c r="F740" s="27">
        <f>IF(E740="","",E740*0.065)</f>
        <v/>
      </c>
      <c r="G740" s="27">
        <f>IF(E740="","",E740*0.03+0.25)</f>
        <v/>
      </c>
      <c r="H740" s="27" t="n"/>
      <c r="I740" s="27" t="n"/>
      <c r="J740" s="27" t="n"/>
      <c r="K740" s="27" t="n"/>
      <c r="L740" s="27" t="n"/>
      <c r="M740" s="27">
        <f>IF(E740="","",F740+G740+H740+I740+J740+K740+L740)</f>
        <v/>
      </c>
      <c r="N740" s="27">
        <f>IF(E740="","",E740-M740)</f>
        <v/>
      </c>
      <c r="O740" s="14" t="n"/>
    </row>
    <row r="741">
      <c r="A741" s="24" t="n"/>
      <c r="B741" s="15" t="n"/>
      <c r="C741" s="15" t="n"/>
      <c r="D741" s="15" t="n"/>
      <c r="E741" s="25" t="n"/>
      <c r="F741" s="25">
        <f>IF(E741="","",E741*0.065)</f>
        <v/>
      </c>
      <c r="G741" s="25">
        <f>IF(E741="","",E741*0.03+0.25)</f>
        <v/>
      </c>
      <c r="H741" s="25" t="n"/>
      <c r="I741" s="25" t="n"/>
      <c r="J741" s="25" t="n"/>
      <c r="K741" s="25" t="n"/>
      <c r="L741" s="25" t="n"/>
      <c r="M741" s="25">
        <f>IF(E741="","",F741+G741+H741+I741+J741+K741+L741)</f>
        <v/>
      </c>
      <c r="N741" s="25">
        <f>IF(E741="","",E741-M741)</f>
        <v/>
      </c>
      <c r="O741" s="15" t="n"/>
    </row>
    <row r="742">
      <c r="A742" s="26" t="n"/>
      <c r="B742" s="14" t="n"/>
      <c r="C742" s="14" t="n"/>
      <c r="D742" s="14" t="n"/>
      <c r="E742" s="27" t="n"/>
      <c r="F742" s="27">
        <f>IF(E742="","",E742*0.065)</f>
        <v/>
      </c>
      <c r="G742" s="27">
        <f>IF(E742="","",E742*0.03+0.25)</f>
        <v/>
      </c>
      <c r="H742" s="27" t="n"/>
      <c r="I742" s="27" t="n"/>
      <c r="J742" s="27" t="n"/>
      <c r="K742" s="27" t="n"/>
      <c r="L742" s="27" t="n"/>
      <c r="M742" s="27">
        <f>IF(E742="","",F742+G742+H742+I742+J742+K742+L742)</f>
        <v/>
      </c>
      <c r="N742" s="27">
        <f>IF(E742="","",E742-M742)</f>
        <v/>
      </c>
      <c r="O742" s="14" t="n"/>
    </row>
    <row r="743">
      <c r="A743" s="24" t="n"/>
      <c r="B743" s="15" t="n"/>
      <c r="C743" s="15" t="n"/>
      <c r="D743" s="15" t="n"/>
      <c r="E743" s="25" t="n"/>
      <c r="F743" s="25">
        <f>IF(E743="","",E743*0.065)</f>
        <v/>
      </c>
      <c r="G743" s="25">
        <f>IF(E743="","",E743*0.03+0.25)</f>
        <v/>
      </c>
      <c r="H743" s="25" t="n"/>
      <c r="I743" s="25" t="n"/>
      <c r="J743" s="25" t="n"/>
      <c r="K743" s="25" t="n"/>
      <c r="L743" s="25" t="n"/>
      <c r="M743" s="25">
        <f>IF(E743="","",F743+G743+H743+I743+J743+K743+L743)</f>
        <v/>
      </c>
      <c r="N743" s="25">
        <f>IF(E743="","",E743-M743)</f>
        <v/>
      </c>
      <c r="O743" s="15" t="n"/>
    </row>
    <row r="744">
      <c r="A744" s="26" t="n"/>
      <c r="B744" s="14" t="n"/>
      <c r="C744" s="14" t="n"/>
      <c r="D744" s="14" t="n"/>
      <c r="E744" s="27" t="n"/>
      <c r="F744" s="27">
        <f>IF(E744="","",E744*0.065)</f>
        <v/>
      </c>
      <c r="G744" s="27">
        <f>IF(E744="","",E744*0.03+0.25)</f>
        <v/>
      </c>
      <c r="H744" s="27" t="n"/>
      <c r="I744" s="27" t="n"/>
      <c r="J744" s="27" t="n"/>
      <c r="K744" s="27" t="n"/>
      <c r="L744" s="27" t="n"/>
      <c r="M744" s="27">
        <f>IF(E744="","",F744+G744+H744+I744+J744+K744+L744)</f>
        <v/>
      </c>
      <c r="N744" s="27">
        <f>IF(E744="","",E744-M744)</f>
        <v/>
      </c>
      <c r="O744" s="14" t="n"/>
    </row>
    <row r="745">
      <c r="A745" s="24" t="n"/>
      <c r="B745" s="15" t="n"/>
      <c r="C745" s="15" t="n"/>
      <c r="D745" s="15" t="n"/>
      <c r="E745" s="25" t="n"/>
      <c r="F745" s="25">
        <f>IF(E745="","",E745*0.065)</f>
        <v/>
      </c>
      <c r="G745" s="25">
        <f>IF(E745="","",E745*0.03+0.25)</f>
        <v/>
      </c>
      <c r="H745" s="25" t="n"/>
      <c r="I745" s="25" t="n"/>
      <c r="J745" s="25" t="n"/>
      <c r="K745" s="25" t="n"/>
      <c r="L745" s="25" t="n"/>
      <c r="M745" s="25">
        <f>IF(E745="","",F745+G745+H745+I745+J745+K745+L745)</f>
        <v/>
      </c>
      <c r="N745" s="25">
        <f>IF(E745="","",E745-M745)</f>
        <v/>
      </c>
      <c r="O745" s="15" t="n"/>
    </row>
    <row r="746">
      <c r="A746" s="26" t="n"/>
      <c r="B746" s="14" t="n"/>
      <c r="C746" s="14" t="n"/>
      <c r="D746" s="14" t="n"/>
      <c r="E746" s="27" t="n"/>
      <c r="F746" s="27">
        <f>IF(E746="","",E746*0.065)</f>
        <v/>
      </c>
      <c r="G746" s="27">
        <f>IF(E746="","",E746*0.03+0.25)</f>
        <v/>
      </c>
      <c r="H746" s="27" t="n"/>
      <c r="I746" s="27" t="n"/>
      <c r="J746" s="27" t="n"/>
      <c r="K746" s="27" t="n"/>
      <c r="L746" s="27" t="n"/>
      <c r="M746" s="27">
        <f>IF(E746="","",F746+G746+H746+I746+J746+K746+L746)</f>
        <v/>
      </c>
      <c r="N746" s="27">
        <f>IF(E746="","",E746-M746)</f>
        <v/>
      </c>
      <c r="O746" s="14" t="n"/>
    </row>
    <row r="747">
      <c r="A747" s="24" t="n"/>
      <c r="B747" s="15" t="n"/>
      <c r="C747" s="15" t="n"/>
      <c r="D747" s="15" t="n"/>
      <c r="E747" s="25" t="n"/>
      <c r="F747" s="25">
        <f>IF(E747="","",E747*0.065)</f>
        <v/>
      </c>
      <c r="G747" s="25">
        <f>IF(E747="","",E747*0.03+0.25)</f>
        <v/>
      </c>
      <c r="H747" s="25" t="n"/>
      <c r="I747" s="25" t="n"/>
      <c r="J747" s="25" t="n"/>
      <c r="K747" s="25" t="n"/>
      <c r="L747" s="25" t="n"/>
      <c r="M747" s="25">
        <f>IF(E747="","",F747+G747+H747+I747+J747+K747+L747)</f>
        <v/>
      </c>
      <c r="N747" s="25">
        <f>IF(E747="","",E747-M747)</f>
        <v/>
      </c>
      <c r="O747" s="15" t="n"/>
    </row>
    <row r="748">
      <c r="A748" s="26" t="n"/>
      <c r="B748" s="14" t="n"/>
      <c r="C748" s="14" t="n"/>
      <c r="D748" s="14" t="n"/>
      <c r="E748" s="27" t="n"/>
      <c r="F748" s="27">
        <f>IF(E748="","",E748*0.065)</f>
        <v/>
      </c>
      <c r="G748" s="27">
        <f>IF(E748="","",E748*0.03+0.25)</f>
        <v/>
      </c>
      <c r="H748" s="27" t="n"/>
      <c r="I748" s="27" t="n"/>
      <c r="J748" s="27" t="n"/>
      <c r="K748" s="27" t="n"/>
      <c r="L748" s="27" t="n"/>
      <c r="M748" s="27">
        <f>IF(E748="","",F748+G748+H748+I748+J748+K748+L748)</f>
        <v/>
      </c>
      <c r="N748" s="27">
        <f>IF(E748="","",E748-M748)</f>
        <v/>
      </c>
      <c r="O748" s="14" t="n"/>
    </row>
    <row r="749">
      <c r="A749" s="24" t="n"/>
      <c r="B749" s="15" t="n"/>
      <c r="C749" s="15" t="n"/>
      <c r="D749" s="15" t="n"/>
      <c r="E749" s="25" t="n"/>
      <c r="F749" s="25">
        <f>IF(E749="","",E749*0.065)</f>
        <v/>
      </c>
      <c r="G749" s="25">
        <f>IF(E749="","",E749*0.03+0.25)</f>
        <v/>
      </c>
      <c r="H749" s="25" t="n"/>
      <c r="I749" s="25" t="n"/>
      <c r="J749" s="25" t="n"/>
      <c r="K749" s="25" t="n"/>
      <c r="L749" s="25" t="n"/>
      <c r="M749" s="25">
        <f>IF(E749="","",F749+G749+H749+I749+J749+K749+L749)</f>
        <v/>
      </c>
      <c r="N749" s="25">
        <f>IF(E749="","",E749-M749)</f>
        <v/>
      </c>
      <c r="O749" s="15" t="n"/>
    </row>
    <row r="750">
      <c r="A750" s="26" t="n"/>
      <c r="B750" s="14" t="n"/>
      <c r="C750" s="14" t="n"/>
      <c r="D750" s="14" t="n"/>
      <c r="E750" s="27" t="n"/>
      <c r="F750" s="27">
        <f>IF(E750="","",E750*0.065)</f>
        <v/>
      </c>
      <c r="G750" s="27">
        <f>IF(E750="","",E750*0.03+0.25)</f>
        <v/>
      </c>
      <c r="H750" s="27" t="n"/>
      <c r="I750" s="27" t="n"/>
      <c r="J750" s="27" t="n"/>
      <c r="K750" s="27" t="n"/>
      <c r="L750" s="27" t="n"/>
      <c r="M750" s="27">
        <f>IF(E750="","",F750+G750+H750+I750+J750+K750+L750)</f>
        <v/>
      </c>
      <c r="N750" s="27">
        <f>IF(E750="","",E750-M750)</f>
        <v/>
      </c>
      <c r="O750" s="14" t="n"/>
    </row>
    <row r="751">
      <c r="A751" s="24" t="n"/>
      <c r="B751" s="15" t="n"/>
      <c r="C751" s="15" t="n"/>
      <c r="D751" s="15" t="n"/>
      <c r="E751" s="25" t="n"/>
      <c r="F751" s="25">
        <f>IF(E751="","",E751*0.065)</f>
        <v/>
      </c>
      <c r="G751" s="25">
        <f>IF(E751="","",E751*0.03+0.25)</f>
        <v/>
      </c>
      <c r="H751" s="25" t="n"/>
      <c r="I751" s="25" t="n"/>
      <c r="J751" s="25" t="n"/>
      <c r="K751" s="25" t="n"/>
      <c r="L751" s="25" t="n"/>
      <c r="M751" s="25">
        <f>IF(E751="","",F751+G751+H751+I751+J751+K751+L751)</f>
        <v/>
      </c>
      <c r="N751" s="25">
        <f>IF(E751="","",E751-M751)</f>
        <v/>
      </c>
      <c r="O751" s="15" t="n"/>
    </row>
    <row r="752">
      <c r="A752" s="26" t="n"/>
      <c r="B752" s="14" t="n"/>
      <c r="C752" s="14" t="n"/>
      <c r="D752" s="14" t="n"/>
      <c r="E752" s="27" t="n"/>
      <c r="F752" s="27">
        <f>IF(E752="","",E752*0.065)</f>
        <v/>
      </c>
      <c r="G752" s="27">
        <f>IF(E752="","",E752*0.03+0.25)</f>
        <v/>
      </c>
      <c r="H752" s="27" t="n"/>
      <c r="I752" s="27" t="n"/>
      <c r="J752" s="27" t="n"/>
      <c r="K752" s="27" t="n"/>
      <c r="L752" s="27" t="n"/>
      <c r="M752" s="27">
        <f>IF(E752="","",F752+G752+H752+I752+J752+K752+L752)</f>
        <v/>
      </c>
      <c r="N752" s="27">
        <f>IF(E752="","",E752-M752)</f>
        <v/>
      </c>
      <c r="O752" s="14" t="n"/>
    </row>
    <row r="753">
      <c r="A753" s="24" t="n"/>
      <c r="B753" s="15" t="n"/>
      <c r="C753" s="15" t="n"/>
      <c r="D753" s="15" t="n"/>
      <c r="E753" s="25" t="n"/>
      <c r="F753" s="25">
        <f>IF(E753="","",E753*0.065)</f>
        <v/>
      </c>
      <c r="G753" s="25">
        <f>IF(E753="","",E753*0.03+0.25)</f>
        <v/>
      </c>
      <c r="H753" s="25" t="n"/>
      <c r="I753" s="25" t="n"/>
      <c r="J753" s="25" t="n"/>
      <c r="K753" s="25" t="n"/>
      <c r="L753" s="25" t="n"/>
      <c r="M753" s="25">
        <f>IF(E753="","",F753+G753+H753+I753+J753+K753+L753)</f>
        <v/>
      </c>
      <c r="N753" s="25">
        <f>IF(E753="","",E753-M753)</f>
        <v/>
      </c>
      <c r="O753" s="15" t="n"/>
    </row>
    <row r="754">
      <c r="A754" s="26" t="n"/>
      <c r="B754" s="14" t="n"/>
      <c r="C754" s="14" t="n"/>
      <c r="D754" s="14" t="n"/>
      <c r="E754" s="27" t="n"/>
      <c r="F754" s="27">
        <f>IF(E754="","",E754*0.065)</f>
        <v/>
      </c>
      <c r="G754" s="27">
        <f>IF(E754="","",E754*0.03+0.25)</f>
        <v/>
      </c>
      <c r="H754" s="27" t="n"/>
      <c r="I754" s="27" t="n"/>
      <c r="J754" s="27" t="n"/>
      <c r="K754" s="27" t="n"/>
      <c r="L754" s="27" t="n"/>
      <c r="M754" s="27">
        <f>IF(E754="","",F754+G754+H754+I754+J754+K754+L754)</f>
        <v/>
      </c>
      <c r="N754" s="27">
        <f>IF(E754="","",E754-M754)</f>
        <v/>
      </c>
      <c r="O754" s="14" t="n"/>
    </row>
    <row r="755">
      <c r="A755" s="24" t="n"/>
      <c r="B755" s="15" t="n"/>
      <c r="C755" s="15" t="n"/>
      <c r="D755" s="15" t="n"/>
      <c r="E755" s="25" t="n"/>
      <c r="F755" s="25">
        <f>IF(E755="","",E755*0.065)</f>
        <v/>
      </c>
      <c r="G755" s="25">
        <f>IF(E755="","",E755*0.03+0.25)</f>
        <v/>
      </c>
      <c r="H755" s="25" t="n"/>
      <c r="I755" s="25" t="n"/>
      <c r="J755" s="25" t="n"/>
      <c r="K755" s="25" t="n"/>
      <c r="L755" s="25" t="n"/>
      <c r="M755" s="25">
        <f>IF(E755="","",F755+G755+H755+I755+J755+K755+L755)</f>
        <v/>
      </c>
      <c r="N755" s="25">
        <f>IF(E755="","",E755-M755)</f>
        <v/>
      </c>
      <c r="O755" s="15" t="n"/>
    </row>
    <row r="756">
      <c r="A756" s="26" t="n"/>
      <c r="B756" s="14" t="n"/>
      <c r="C756" s="14" t="n"/>
      <c r="D756" s="14" t="n"/>
      <c r="E756" s="27" t="n"/>
      <c r="F756" s="27">
        <f>IF(E756="","",E756*0.065)</f>
        <v/>
      </c>
      <c r="G756" s="27">
        <f>IF(E756="","",E756*0.03+0.25)</f>
        <v/>
      </c>
      <c r="H756" s="27" t="n"/>
      <c r="I756" s="27" t="n"/>
      <c r="J756" s="27" t="n"/>
      <c r="K756" s="27" t="n"/>
      <c r="L756" s="27" t="n"/>
      <c r="M756" s="27">
        <f>IF(E756="","",F756+G756+H756+I756+J756+K756+L756)</f>
        <v/>
      </c>
      <c r="N756" s="27">
        <f>IF(E756="","",E756-M756)</f>
        <v/>
      </c>
      <c r="O756" s="14" t="n"/>
    </row>
    <row r="757">
      <c r="A757" s="24" t="n"/>
      <c r="B757" s="15" t="n"/>
      <c r="C757" s="15" t="n"/>
      <c r="D757" s="15" t="n"/>
      <c r="E757" s="25" t="n"/>
      <c r="F757" s="25">
        <f>IF(E757="","",E757*0.065)</f>
        <v/>
      </c>
      <c r="G757" s="25">
        <f>IF(E757="","",E757*0.03+0.25)</f>
        <v/>
      </c>
      <c r="H757" s="25" t="n"/>
      <c r="I757" s="25" t="n"/>
      <c r="J757" s="25" t="n"/>
      <c r="K757" s="25" t="n"/>
      <c r="L757" s="25" t="n"/>
      <c r="M757" s="25">
        <f>IF(E757="","",F757+G757+H757+I757+J757+K757+L757)</f>
        <v/>
      </c>
      <c r="N757" s="25">
        <f>IF(E757="","",E757-M757)</f>
        <v/>
      </c>
      <c r="O757" s="15" t="n"/>
    </row>
    <row r="758">
      <c r="A758" s="26" t="n"/>
      <c r="B758" s="14" t="n"/>
      <c r="C758" s="14" t="n"/>
      <c r="D758" s="14" t="n"/>
      <c r="E758" s="27" t="n"/>
      <c r="F758" s="27">
        <f>IF(E758="","",E758*0.065)</f>
        <v/>
      </c>
      <c r="G758" s="27">
        <f>IF(E758="","",E758*0.03+0.25)</f>
        <v/>
      </c>
      <c r="H758" s="27" t="n"/>
      <c r="I758" s="27" t="n"/>
      <c r="J758" s="27" t="n"/>
      <c r="K758" s="27" t="n"/>
      <c r="L758" s="27" t="n"/>
      <c r="M758" s="27">
        <f>IF(E758="","",F758+G758+H758+I758+J758+K758+L758)</f>
        <v/>
      </c>
      <c r="N758" s="27">
        <f>IF(E758="","",E758-M758)</f>
        <v/>
      </c>
      <c r="O758" s="14" t="n"/>
    </row>
    <row r="759">
      <c r="A759" s="24" t="n"/>
      <c r="B759" s="15" t="n"/>
      <c r="C759" s="15" t="n"/>
      <c r="D759" s="15" t="n"/>
      <c r="E759" s="25" t="n"/>
      <c r="F759" s="25">
        <f>IF(E759="","",E759*0.065)</f>
        <v/>
      </c>
      <c r="G759" s="25">
        <f>IF(E759="","",E759*0.03+0.25)</f>
        <v/>
      </c>
      <c r="H759" s="25" t="n"/>
      <c r="I759" s="25" t="n"/>
      <c r="J759" s="25" t="n"/>
      <c r="K759" s="25" t="n"/>
      <c r="L759" s="25" t="n"/>
      <c r="M759" s="25">
        <f>IF(E759="","",F759+G759+H759+I759+J759+K759+L759)</f>
        <v/>
      </c>
      <c r="N759" s="25">
        <f>IF(E759="","",E759-M759)</f>
        <v/>
      </c>
      <c r="O759" s="15" t="n"/>
    </row>
    <row r="760">
      <c r="A760" s="26" t="n"/>
      <c r="B760" s="14" t="n"/>
      <c r="C760" s="14" t="n"/>
      <c r="D760" s="14" t="n"/>
      <c r="E760" s="27" t="n"/>
      <c r="F760" s="27">
        <f>IF(E760="","",E760*0.065)</f>
        <v/>
      </c>
      <c r="G760" s="27">
        <f>IF(E760="","",E760*0.03+0.25)</f>
        <v/>
      </c>
      <c r="H760" s="27" t="n"/>
      <c r="I760" s="27" t="n"/>
      <c r="J760" s="27" t="n"/>
      <c r="K760" s="27" t="n"/>
      <c r="L760" s="27" t="n"/>
      <c r="M760" s="27">
        <f>IF(E760="","",F760+G760+H760+I760+J760+K760+L760)</f>
        <v/>
      </c>
      <c r="N760" s="27">
        <f>IF(E760="","",E760-M760)</f>
        <v/>
      </c>
      <c r="O760" s="14" t="n"/>
    </row>
    <row r="761">
      <c r="A761" s="24" t="n"/>
      <c r="B761" s="15" t="n"/>
      <c r="C761" s="15" t="n"/>
      <c r="D761" s="15" t="n"/>
      <c r="E761" s="25" t="n"/>
      <c r="F761" s="25">
        <f>IF(E761="","",E761*0.065)</f>
        <v/>
      </c>
      <c r="G761" s="25">
        <f>IF(E761="","",E761*0.03+0.25)</f>
        <v/>
      </c>
      <c r="H761" s="25" t="n"/>
      <c r="I761" s="25" t="n"/>
      <c r="J761" s="25" t="n"/>
      <c r="K761" s="25" t="n"/>
      <c r="L761" s="25" t="n"/>
      <c r="M761" s="25">
        <f>IF(E761="","",F761+G761+H761+I761+J761+K761+L761)</f>
        <v/>
      </c>
      <c r="N761" s="25">
        <f>IF(E761="","",E761-M761)</f>
        <v/>
      </c>
      <c r="O761" s="15" t="n"/>
    </row>
    <row r="762">
      <c r="A762" s="26" t="n"/>
      <c r="B762" s="14" t="n"/>
      <c r="C762" s="14" t="n"/>
      <c r="D762" s="14" t="n"/>
      <c r="E762" s="27" t="n"/>
      <c r="F762" s="27">
        <f>IF(E762="","",E762*0.065)</f>
        <v/>
      </c>
      <c r="G762" s="27">
        <f>IF(E762="","",E762*0.03+0.25)</f>
        <v/>
      </c>
      <c r="H762" s="27" t="n"/>
      <c r="I762" s="27" t="n"/>
      <c r="J762" s="27" t="n"/>
      <c r="K762" s="27" t="n"/>
      <c r="L762" s="27" t="n"/>
      <c r="M762" s="27">
        <f>IF(E762="","",F762+G762+H762+I762+J762+K762+L762)</f>
        <v/>
      </c>
      <c r="N762" s="27">
        <f>IF(E762="","",E762-M762)</f>
        <v/>
      </c>
      <c r="O762" s="14" t="n"/>
    </row>
    <row r="763">
      <c r="A763" s="24" t="n"/>
      <c r="B763" s="15" t="n"/>
      <c r="C763" s="15" t="n"/>
      <c r="D763" s="15" t="n"/>
      <c r="E763" s="25" t="n"/>
      <c r="F763" s="25">
        <f>IF(E763="","",E763*0.065)</f>
        <v/>
      </c>
      <c r="G763" s="25">
        <f>IF(E763="","",E763*0.03+0.25)</f>
        <v/>
      </c>
      <c r="H763" s="25" t="n"/>
      <c r="I763" s="25" t="n"/>
      <c r="J763" s="25" t="n"/>
      <c r="K763" s="25" t="n"/>
      <c r="L763" s="25" t="n"/>
      <c r="M763" s="25">
        <f>IF(E763="","",F763+G763+H763+I763+J763+K763+L763)</f>
        <v/>
      </c>
      <c r="N763" s="25">
        <f>IF(E763="","",E763-M763)</f>
        <v/>
      </c>
      <c r="O763" s="15" t="n"/>
    </row>
    <row r="764">
      <c r="A764" s="26" t="n"/>
      <c r="B764" s="14" t="n"/>
      <c r="C764" s="14" t="n"/>
      <c r="D764" s="14" t="n"/>
      <c r="E764" s="27" t="n"/>
      <c r="F764" s="27">
        <f>IF(E764="","",E764*0.065)</f>
        <v/>
      </c>
      <c r="G764" s="27">
        <f>IF(E764="","",E764*0.03+0.25)</f>
        <v/>
      </c>
      <c r="H764" s="27" t="n"/>
      <c r="I764" s="27" t="n"/>
      <c r="J764" s="27" t="n"/>
      <c r="K764" s="27" t="n"/>
      <c r="L764" s="27" t="n"/>
      <c r="M764" s="27">
        <f>IF(E764="","",F764+G764+H764+I764+J764+K764+L764)</f>
        <v/>
      </c>
      <c r="N764" s="27">
        <f>IF(E764="","",E764-M764)</f>
        <v/>
      </c>
      <c r="O764" s="14" t="n"/>
    </row>
    <row r="765">
      <c r="A765" s="24" t="n"/>
      <c r="B765" s="15" t="n"/>
      <c r="C765" s="15" t="n"/>
      <c r="D765" s="15" t="n"/>
      <c r="E765" s="25" t="n"/>
      <c r="F765" s="25">
        <f>IF(E765="","",E765*0.065)</f>
        <v/>
      </c>
      <c r="G765" s="25">
        <f>IF(E765="","",E765*0.03+0.25)</f>
        <v/>
      </c>
      <c r="H765" s="25" t="n"/>
      <c r="I765" s="25" t="n"/>
      <c r="J765" s="25" t="n"/>
      <c r="K765" s="25" t="n"/>
      <c r="L765" s="25" t="n"/>
      <c r="M765" s="25">
        <f>IF(E765="","",F765+G765+H765+I765+J765+K765+L765)</f>
        <v/>
      </c>
      <c r="N765" s="25">
        <f>IF(E765="","",E765-M765)</f>
        <v/>
      </c>
      <c r="O765" s="15" t="n"/>
    </row>
    <row r="766">
      <c r="A766" s="26" t="n"/>
      <c r="B766" s="14" t="n"/>
      <c r="C766" s="14" t="n"/>
      <c r="D766" s="14" t="n"/>
      <c r="E766" s="27" t="n"/>
      <c r="F766" s="27">
        <f>IF(E766="","",E766*0.065)</f>
        <v/>
      </c>
      <c r="G766" s="27">
        <f>IF(E766="","",E766*0.03+0.25)</f>
        <v/>
      </c>
      <c r="H766" s="27" t="n"/>
      <c r="I766" s="27" t="n"/>
      <c r="J766" s="27" t="n"/>
      <c r="K766" s="27" t="n"/>
      <c r="L766" s="27" t="n"/>
      <c r="M766" s="27">
        <f>IF(E766="","",F766+G766+H766+I766+J766+K766+L766)</f>
        <v/>
      </c>
      <c r="N766" s="27">
        <f>IF(E766="","",E766-M766)</f>
        <v/>
      </c>
      <c r="O766" s="14" t="n"/>
    </row>
    <row r="767">
      <c r="A767" s="24" t="n"/>
      <c r="B767" s="15" t="n"/>
      <c r="C767" s="15" t="n"/>
      <c r="D767" s="15" t="n"/>
      <c r="E767" s="25" t="n"/>
      <c r="F767" s="25">
        <f>IF(E767="","",E767*0.065)</f>
        <v/>
      </c>
      <c r="G767" s="25">
        <f>IF(E767="","",E767*0.03+0.25)</f>
        <v/>
      </c>
      <c r="H767" s="25" t="n"/>
      <c r="I767" s="25" t="n"/>
      <c r="J767" s="25" t="n"/>
      <c r="K767" s="25" t="n"/>
      <c r="L767" s="25" t="n"/>
      <c r="M767" s="25">
        <f>IF(E767="","",F767+G767+H767+I767+J767+K767+L767)</f>
        <v/>
      </c>
      <c r="N767" s="25">
        <f>IF(E767="","",E767-M767)</f>
        <v/>
      </c>
      <c r="O767" s="15" t="n"/>
    </row>
    <row r="768">
      <c r="A768" s="26" t="n"/>
      <c r="B768" s="14" t="n"/>
      <c r="C768" s="14" t="n"/>
      <c r="D768" s="14" t="n"/>
      <c r="E768" s="27" t="n"/>
      <c r="F768" s="27">
        <f>IF(E768="","",E768*0.065)</f>
        <v/>
      </c>
      <c r="G768" s="27">
        <f>IF(E768="","",E768*0.03+0.25)</f>
        <v/>
      </c>
      <c r="H768" s="27" t="n"/>
      <c r="I768" s="27" t="n"/>
      <c r="J768" s="27" t="n"/>
      <c r="K768" s="27" t="n"/>
      <c r="L768" s="27" t="n"/>
      <c r="M768" s="27">
        <f>IF(E768="","",F768+G768+H768+I768+J768+K768+L768)</f>
        <v/>
      </c>
      <c r="N768" s="27">
        <f>IF(E768="","",E768-M768)</f>
        <v/>
      </c>
      <c r="O768" s="14" t="n"/>
    </row>
    <row r="769">
      <c r="A769" s="24" t="n"/>
      <c r="B769" s="15" t="n"/>
      <c r="C769" s="15" t="n"/>
      <c r="D769" s="15" t="n"/>
      <c r="E769" s="25" t="n"/>
      <c r="F769" s="25">
        <f>IF(E769="","",E769*0.065)</f>
        <v/>
      </c>
      <c r="G769" s="25">
        <f>IF(E769="","",E769*0.03+0.25)</f>
        <v/>
      </c>
      <c r="H769" s="25" t="n"/>
      <c r="I769" s="25" t="n"/>
      <c r="J769" s="25" t="n"/>
      <c r="K769" s="25" t="n"/>
      <c r="L769" s="25" t="n"/>
      <c r="M769" s="25">
        <f>IF(E769="","",F769+G769+H769+I769+J769+K769+L769)</f>
        <v/>
      </c>
      <c r="N769" s="25">
        <f>IF(E769="","",E769-M769)</f>
        <v/>
      </c>
      <c r="O769" s="15" t="n"/>
    </row>
    <row r="770">
      <c r="A770" s="26" t="n"/>
      <c r="B770" s="14" t="n"/>
      <c r="C770" s="14" t="n"/>
      <c r="D770" s="14" t="n"/>
      <c r="E770" s="27" t="n"/>
      <c r="F770" s="27">
        <f>IF(E770="","",E770*0.065)</f>
        <v/>
      </c>
      <c r="G770" s="27">
        <f>IF(E770="","",E770*0.03+0.25)</f>
        <v/>
      </c>
      <c r="H770" s="27" t="n"/>
      <c r="I770" s="27" t="n"/>
      <c r="J770" s="27" t="n"/>
      <c r="K770" s="27" t="n"/>
      <c r="L770" s="27" t="n"/>
      <c r="M770" s="27">
        <f>IF(E770="","",F770+G770+H770+I770+J770+K770+L770)</f>
        <v/>
      </c>
      <c r="N770" s="27">
        <f>IF(E770="","",E770-M770)</f>
        <v/>
      </c>
      <c r="O770" s="14" t="n"/>
    </row>
    <row r="771">
      <c r="A771" s="24" t="n"/>
      <c r="B771" s="15" t="n"/>
      <c r="C771" s="15" t="n"/>
      <c r="D771" s="15" t="n"/>
      <c r="E771" s="25" t="n"/>
      <c r="F771" s="25">
        <f>IF(E771="","",E771*0.065)</f>
        <v/>
      </c>
      <c r="G771" s="25">
        <f>IF(E771="","",E771*0.03+0.25)</f>
        <v/>
      </c>
      <c r="H771" s="25" t="n"/>
      <c r="I771" s="25" t="n"/>
      <c r="J771" s="25" t="n"/>
      <c r="K771" s="25" t="n"/>
      <c r="L771" s="25" t="n"/>
      <c r="M771" s="25">
        <f>IF(E771="","",F771+G771+H771+I771+J771+K771+L771)</f>
        <v/>
      </c>
      <c r="N771" s="25">
        <f>IF(E771="","",E771-M771)</f>
        <v/>
      </c>
      <c r="O771" s="15" t="n"/>
    </row>
    <row r="772">
      <c r="A772" s="26" t="n"/>
      <c r="B772" s="14" t="n"/>
      <c r="C772" s="14" t="n"/>
      <c r="D772" s="14" t="n"/>
      <c r="E772" s="27" t="n"/>
      <c r="F772" s="27">
        <f>IF(E772="","",E772*0.065)</f>
        <v/>
      </c>
      <c r="G772" s="27">
        <f>IF(E772="","",E772*0.03+0.25)</f>
        <v/>
      </c>
      <c r="H772" s="27" t="n"/>
      <c r="I772" s="27" t="n"/>
      <c r="J772" s="27" t="n"/>
      <c r="K772" s="27" t="n"/>
      <c r="L772" s="27" t="n"/>
      <c r="M772" s="27">
        <f>IF(E772="","",F772+G772+H772+I772+J772+K772+L772)</f>
        <v/>
      </c>
      <c r="N772" s="27">
        <f>IF(E772="","",E772-M772)</f>
        <v/>
      </c>
      <c r="O772" s="14" t="n"/>
    </row>
    <row r="773">
      <c r="A773" s="24" t="n"/>
      <c r="B773" s="15" t="n"/>
      <c r="C773" s="15" t="n"/>
      <c r="D773" s="15" t="n"/>
      <c r="E773" s="25" t="n"/>
      <c r="F773" s="25">
        <f>IF(E773="","",E773*0.065)</f>
        <v/>
      </c>
      <c r="G773" s="25">
        <f>IF(E773="","",E773*0.03+0.25)</f>
        <v/>
      </c>
      <c r="H773" s="25" t="n"/>
      <c r="I773" s="25" t="n"/>
      <c r="J773" s="25" t="n"/>
      <c r="K773" s="25" t="n"/>
      <c r="L773" s="25" t="n"/>
      <c r="M773" s="25">
        <f>IF(E773="","",F773+G773+H773+I773+J773+K773+L773)</f>
        <v/>
      </c>
      <c r="N773" s="25">
        <f>IF(E773="","",E773-M773)</f>
        <v/>
      </c>
      <c r="O773" s="15" t="n"/>
    </row>
    <row r="774">
      <c r="A774" s="26" t="n"/>
      <c r="B774" s="14" t="n"/>
      <c r="C774" s="14" t="n"/>
      <c r="D774" s="14" t="n"/>
      <c r="E774" s="27" t="n"/>
      <c r="F774" s="27">
        <f>IF(E774="","",E774*0.065)</f>
        <v/>
      </c>
      <c r="G774" s="27">
        <f>IF(E774="","",E774*0.03+0.25)</f>
        <v/>
      </c>
      <c r="H774" s="27" t="n"/>
      <c r="I774" s="27" t="n"/>
      <c r="J774" s="27" t="n"/>
      <c r="K774" s="27" t="n"/>
      <c r="L774" s="27" t="n"/>
      <c r="M774" s="27">
        <f>IF(E774="","",F774+G774+H774+I774+J774+K774+L774)</f>
        <v/>
      </c>
      <c r="N774" s="27">
        <f>IF(E774="","",E774-M774)</f>
        <v/>
      </c>
      <c r="O774" s="14" t="n"/>
    </row>
    <row r="775">
      <c r="A775" s="24" t="n"/>
      <c r="B775" s="15" t="n"/>
      <c r="C775" s="15" t="n"/>
      <c r="D775" s="15" t="n"/>
      <c r="E775" s="25" t="n"/>
      <c r="F775" s="25">
        <f>IF(E775="","",E775*0.065)</f>
        <v/>
      </c>
      <c r="G775" s="25">
        <f>IF(E775="","",E775*0.03+0.25)</f>
        <v/>
      </c>
      <c r="H775" s="25" t="n"/>
      <c r="I775" s="25" t="n"/>
      <c r="J775" s="25" t="n"/>
      <c r="K775" s="25" t="n"/>
      <c r="L775" s="25" t="n"/>
      <c r="M775" s="25">
        <f>IF(E775="","",F775+G775+H775+I775+J775+K775+L775)</f>
        <v/>
      </c>
      <c r="N775" s="25">
        <f>IF(E775="","",E775-M775)</f>
        <v/>
      </c>
      <c r="O775" s="15" t="n"/>
    </row>
    <row r="776">
      <c r="A776" s="26" t="n"/>
      <c r="B776" s="14" t="n"/>
      <c r="C776" s="14" t="n"/>
      <c r="D776" s="14" t="n"/>
      <c r="E776" s="27" t="n"/>
      <c r="F776" s="27">
        <f>IF(E776="","",E776*0.065)</f>
        <v/>
      </c>
      <c r="G776" s="27">
        <f>IF(E776="","",E776*0.03+0.25)</f>
        <v/>
      </c>
      <c r="H776" s="27" t="n"/>
      <c r="I776" s="27" t="n"/>
      <c r="J776" s="27" t="n"/>
      <c r="K776" s="27" t="n"/>
      <c r="L776" s="27" t="n"/>
      <c r="M776" s="27">
        <f>IF(E776="","",F776+G776+H776+I776+J776+K776+L776)</f>
        <v/>
      </c>
      <c r="N776" s="27">
        <f>IF(E776="","",E776-M776)</f>
        <v/>
      </c>
      <c r="O776" s="14" t="n"/>
    </row>
    <row r="777">
      <c r="A777" s="24" t="n"/>
      <c r="B777" s="15" t="n"/>
      <c r="C777" s="15" t="n"/>
      <c r="D777" s="15" t="n"/>
      <c r="E777" s="25" t="n"/>
      <c r="F777" s="25">
        <f>IF(E777="","",E777*0.065)</f>
        <v/>
      </c>
      <c r="G777" s="25">
        <f>IF(E777="","",E777*0.03+0.25)</f>
        <v/>
      </c>
      <c r="H777" s="25" t="n"/>
      <c r="I777" s="25" t="n"/>
      <c r="J777" s="25" t="n"/>
      <c r="K777" s="25" t="n"/>
      <c r="L777" s="25" t="n"/>
      <c r="M777" s="25">
        <f>IF(E777="","",F777+G777+H777+I777+J777+K777+L777)</f>
        <v/>
      </c>
      <c r="N777" s="25">
        <f>IF(E777="","",E777-M777)</f>
        <v/>
      </c>
      <c r="O777" s="15" t="n"/>
    </row>
    <row r="778">
      <c r="A778" s="26" t="n"/>
      <c r="B778" s="14" t="n"/>
      <c r="C778" s="14" t="n"/>
      <c r="D778" s="14" t="n"/>
      <c r="E778" s="27" t="n"/>
      <c r="F778" s="27">
        <f>IF(E778="","",E778*0.065)</f>
        <v/>
      </c>
      <c r="G778" s="27">
        <f>IF(E778="","",E778*0.03+0.25)</f>
        <v/>
      </c>
      <c r="H778" s="27" t="n"/>
      <c r="I778" s="27" t="n"/>
      <c r="J778" s="27" t="n"/>
      <c r="K778" s="27" t="n"/>
      <c r="L778" s="27" t="n"/>
      <c r="M778" s="27">
        <f>IF(E778="","",F778+G778+H778+I778+J778+K778+L778)</f>
        <v/>
      </c>
      <c r="N778" s="27">
        <f>IF(E778="","",E778-M778)</f>
        <v/>
      </c>
      <c r="O778" s="14" t="n"/>
    </row>
    <row r="779">
      <c r="A779" s="24" t="n"/>
      <c r="B779" s="15" t="n"/>
      <c r="C779" s="15" t="n"/>
      <c r="D779" s="15" t="n"/>
      <c r="E779" s="25" t="n"/>
      <c r="F779" s="25">
        <f>IF(E779="","",E779*0.065)</f>
        <v/>
      </c>
      <c r="G779" s="25">
        <f>IF(E779="","",E779*0.03+0.25)</f>
        <v/>
      </c>
      <c r="H779" s="25" t="n"/>
      <c r="I779" s="25" t="n"/>
      <c r="J779" s="25" t="n"/>
      <c r="K779" s="25" t="n"/>
      <c r="L779" s="25" t="n"/>
      <c r="M779" s="25">
        <f>IF(E779="","",F779+G779+H779+I779+J779+K779+L779)</f>
        <v/>
      </c>
      <c r="N779" s="25">
        <f>IF(E779="","",E779-M779)</f>
        <v/>
      </c>
      <c r="O779" s="15" t="n"/>
    </row>
    <row r="780">
      <c r="A780" s="26" t="n"/>
      <c r="B780" s="14" t="n"/>
      <c r="C780" s="14" t="n"/>
      <c r="D780" s="14" t="n"/>
      <c r="E780" s="27" t="n"/>
      <c r="F780" s="27">
        <f>IF(E780="","",E780*0.065)</f>
        <v/>
      </c>
      <c r="G780" s="27">
        <f>IF(E780="","",E780*0.03+0.25)</f>
        <v/>
      </c>
      <c r="H780" s="27" t="n"/>
      <c r="I780" s="27" t="n"/>
      <c r="J780" s="27" t="n"/>
      <c r="K780" s="27" t="n"/>
      <c r="L780" s="27" t="n"/>
      <c r="M780" s="27">
        <f>IF(E780="","",F780+G780+H780+I780+J780+K780+L780)</f>
        <v/>
      </c>
      <c r="N780" s="27">
        <f>IF(E780="","",E780-M780)</f>
        <v/>
      </c>
      <c r="O780" s="14" t="n"/>
    </row>
    <row r="781">
      <c r="A781" s="24" t="n"/>
      <c r="B781" s="15" t="n"/>
      <c r="C781" s="15" t="n"/>
      <c r="D781" s="15" t="n"/>
      <c r="E781" s="25" t="n"/>
      <c r="F781" s="25">
        <f>IF(E781="","",E781*0.065)</f>
        <v/>
      </c>
      <c r="G781" s="25">
        <f>IF(E781="","",E781*0.03+0.25)</f>
        <v/>
      </c>
      <c r="H781" s="25" t="n"/>
      <c r="I781" s="25" t="n"/>
      <c r="J781" s="25" t="n"/>
      <c r="K781" s="25" t="n"/>
      <c r="L781" s="25" t="n"/>
      <c r="M781" s="25">
        <f>IF(E781="","",F781+G781+H781+I781+J781+K781+L781)</f>
        <v/>
      </c>
      <c r="N781" s="25">
        <f>IF(E781="","",E781-M781)</f>
        <v/>
      </c>
      <c r="O781" s="15" t="n"/>
    </row>
    <row r="782">
      <c r="A782" s="26" t="n"/>
      <c r="B782" s="14" t="n"/>
      <c r="C782" s="14" t="n"/>
      <c r="D782" s="14" t="n"/>
      <c r="E782" s="27" t="n"/>
      <c r="F782" s="27">
        <f>IF(E782="","",E782*0.065)</f>
        <v/>
      </c>
      <c r="G782" s="27">
        <f>IF(E782="","",E782*0.03+0.25)</f>
        <v/>
      </c>
      <c r="H782" s="27" t="n"/>
      <c r="I782" s="27" t="n"/>
      <c r="J782" s="27" t="n"/>
      <c r="K782" s="27" t="n"/>
      <c r="L782" s="27" t="n"/>
      <c r="M782" s="27">
        <f>IF(E782="","",F782+G782+H782+I782+J782+K782+L782)</f>
        <v/>
      </c>
      <c r="N782" s="27">
        <f>IF(E782="","",E782-M782)</f>
        <v/>
      </c>
      <c r="O782" s="14" t="n"/>
    </row>
    <row r="783">
      <c r="A783" s="24" t="n"/>
      <c r="B783" s="15" t="n"/>
      <c r="C783" s="15" t="n"/>
      <c r="D783" s="15" t="n"/>
      <c r="E783" s="25" t="n"/>
      <c r="F783" s="25">
        <f>IF(E783="","",E783*0.065)</f>
        <v/>
      </c>
      <c r="G783" s="25">
        <f>IF(E783="","",E783*0.03+0.25)</f>
        <v/>
      </c>
      <c r="H783" s="25" t="n"/>
      <c r="I783" s="25" t="n"/>
      <c r="J783" s="25" t="n"/>
      <c r="K783" s="25" t="n"/>
      <c r="L783" s="25" t="n"/>
      <c r="M783" s="25">
        <f>IF(E783="","",F783+G783+H783+I783+J783+K783+L783)</f>
        <v/>
      </c>
      <c r="N783" s="25">
        <f>IF(E783="","",E783-M783)</f>
        <v/>
      </c>
      <c r="O783" s="15" t="n"/>
    </row>
    <row r="784">
      <c r="A784" s="26" t="n"/>
      <c r="B784" s="14" t="n"/>
      <c r="C784" s="14" t="n"/>
      <c r="D784" s="14" t="n"/>
      <c r="E784" s="27" t="n"/>
      <c r="F784" s="27">
        <f>IF(E784="","",E784*0.065)</f>
        <v/>
      </c>
      <c r="G784" s="27">
        <f>IF(E784="","",E784*0.03+0.25)</f>
        <v/>
      </c>
      <c r="H784" s="27" t="n"/>
      <c r="I784" s="27" t="n"/>
      <c r="J784" s="27" t="n"/>
      <c r="K784" s="27" t="n"/>
      <c r="L784" s="27" t="n"/>
      <c r="M784" s="27">
        <f>IF(E784="","",F784+G784+H784+I784+J784+K784+L784)</f>
        <v/>
      </c>
      <c r="N784" s="27">
        <f>IF(E784="","",E784-M784)</f>
        <v/>
      </c>
      <c r="O784" s="14" t="n"/>
    </row>
    <row r="785">
      <c r="A785" s="24" t="n"/>
      <c r="B785" s="15" t="n"/>
      <c r="C785" s="15" t="n"/>
      <c r="D785" s="15" t="n"/>
      <c r="E785" s="25" t="n"/>
      <c r="F785" s="25">
        <f>IF(E785="","",E785*0.065)</f>
        <v/>
      </c>
      <c r="G785" s="25">
        <f>IF(E785="","",E785*0.03+0.25)</f>
        <v/>
      </c>
      <c r="H785" s="25" t="n"/>
      <c r="I785" s="25" t="n"/>
      <c r="J785" s="25" t="n"/>
      <c r="K785" s="25" t="n"/>
      <c r="L785" s="25" t="n"/>
      <c r="M785" s="25">
        <f>IF(E785="","",F785+G785+H785+I785+J785+K785+L785)</f>
        <v/>
      </c>
      <c r="N785" s="25">
        <f>IF(E785="","",E785-M785)</f>
        <v/>
      </c>
      <c r="O785" s="15" t="n"/>
    </row>
    <row r="786">
      <c r="A786" s="26" t="n"/>
      <c r="B786" s="14" t="n"/>
      <c r="C786" s="14" t="n"/>
      <c r="D786" s="14" t="n"/>
      <c r="E786" s="27" t="n"/>
      <c r="F786" s="27">
        <f>IF(E786="","",E786*0.065)</f>
        <v/>
      </c>
      <c r="G786" s="27">
        <f>IF(E786="","",E786*0.03+0.25)</f>
        <v/>
      </c>
      <c r="H786" s="27" t="n"/>
      <c r="I786" s="27" t="n"/>
      <c r="J786" s="27" t="n"/>
      <c r="K786" s="27" t="n"/>
      <c r="L786" s="27" t="n"/>
      <c r="M786" s="27">
        <f>IF(E786="","",F786+G786+H786+I786+J786+K786+L786)</f>
        <v/>
      </c>
      <c r="N786" s="27">
        <f>IF(E786="","",E786-M786)</f>
        <v/>
      </c>
      <c r="O786" s="14" t="n"/>
    </row>
    <row r="787">
      <c r="A787" s="24" t="n"/>
      <c r="B787" s="15" t="n"/>
      <c r="C787" s="15" t="n"/>
      <c r="D787" s="15" t="n"/>
      <c r="E787" s="25" t="n"/>
      <c r="F787" s="25">
        <f>IF(E787="","",E787*0.065)</f>
        <v/>
      </c>
      <c r="G787" s="25">
        <f>IF(E787="","",E787*0.03+0.25)</f>
        <v/>
      </c>
      <c r="H787" s="25" t="n"/>
      <c r="I787" s="25" t="n"/>
      <c r="J787" s="25" t="n"/>
      <c r="K787" s="25" t="n"/>
      <c r="L787" s="25" t="n"/>
      <c r="M787" s="25">
        <f>IF(E787="","",F787+G787+H787+I787+J787+K787+L787)</f>
        <v/>
      </c>
      <c r="N787" s="25">
        <f>IF(E787="","",E787-M787)</f>
        <v/>
      </c>
      <c r="O787" s="15" t="n"/>
    </row>
    <row r="788">
      <c r="A788" s="26" t="n"/>
      <c r="B788" s="14" t="n"/>
      <c r="C788" s="14" t="n"/>
      <c r="D788" s="14" t="n"/>
      <c r="E788" s="27" t="n"/>
      <c r="F788" s="27">
        <f>IF(E788="","",E788*0.065)</f>
        <v/>
      </c>
      <c r="G788" s="27">
        <f>IF(E788="","",E788*0.03+0.25)</f>
        <v/>
      </c>
      <c r="H788" s="27" t="n"/>
      <c r="I788" s="27" t="n"/>
      <c r="J788" s="27" t="n"/>
      <c r="K788" s="27" t="n"/>
      <c r="L788" s="27" t="n"/>
      <c r="M788" s="27">
        <f>IF(E788="","",F788+G788+H788+I788+J788+K788+L788)</f>
        <v/>
      </c>
      <c r="N788" s="27">
        <f>IF(E788="","",E788-M788)</f>
        <v/>
      </c>
      <c r="O788" s="14" t="n"/>
    </row>
    <row r="789">
      <c r="A789" s="24" t="n"/>
      <c r="B789" s="15" t="n"/>
      <c r="C789" s="15" t="n"/>
      <c r="D789" s="15" t="n"/>
      <c r="E789" s="25" t="n"/>
      <c r="F789" s="25">
        <f>IF(E789="","",E789*0.065)</f>
        <v/>
      </c>
      <c r="G789" s="25">
        <f>IF(E789="","",E789*0.03+0.25)</f>
        <v/>
      </c>
      <c r="H789" s="25" t="n"/>
      <c r="I789" s="25" t="n"/>
      <c r="J789" s="25" t="n"/>
      <c r="K789" s="25" t="n"/>
      <c r="L789" s="25" t="n"/>
      <c r="M789" s="25">
        <f>IF(E789="","",F789+G789+H789+I789+J789+K789+L789)</f>
        <v/>
      </c>
      <c r="N789" s="25">
        <f>IF(E789="","",E789-M789)</f>
        <v/>
      </c>
      <c r="O789" s="15" t="n"/>
    </row>
    <row r="790">
      <c r="A790" s="26" t="n"/>
      <c r="B790" s="14" t="n"/>
      <c r="C790" s="14" t="n"/>
      <c r="D790" s="14" t="n"/>
      <c r="E790" s="27" t="n"/>
      <c r="F790" s="27">
        <f>IF(E790="","",E790*0.065)</f>
        <v/>
      </c>
      <c r="G790" s="27">
        <f>IF(E790="","",E790*0.03+0.25)</f>
        <v/>
      </c>
      <c r="H790" s="27" t="n"/>
      <c r="I790" s="27" t="n"/>
      <c r="J790" s="27" t="n"/>
      <c r="K790" s="27" t="n"/>
      <c r="L790" s="27" t="n"/>
      <c r="M790" s="27">
        <f>IF(E790="","",F790+G790+H790+I790+J790+K790+L790)</f>
        <v/>
      </c>
      <c r="N790" s="27">
        <f>IF(E790="","",E790-M790)</f>
        <v/>
      </c>
      <c r="O790" s="14" t="n"/>
    </row>
    <row r="791">
      <c r="A791" s="24" t="n"/>
      <c r="B791" s="15" t="n"/>
      <c r="C791" s="15" t="n"/>
      <c r="D791" s="15" t="n"/>
      <c r="E791" s="25" t="n"/>
      <c r="F791" s="25">
        <f>IF(E791="","",E791*0.065)</f>
        <v/>
      </c>
      <c r="G791" s="25">
        <f>IF(E791="","",E791*0.03+0.25)</f>
        <v/>
      </c>
      <c r="H791" s="25" t="n"/>
      <c r="I791" s="25" t="n"/>
      <c r="J791" s="25" t="n"/>
      <c r="K791" s="25" t="n"/>
      <c r="L791" s="25" t="n"/>
      <c r="M791" s="25">
        <f>IF(E791="","",F791+G791+H791+I791+J791+K791+L791)</f>
        <v/>
      </c>
      <c r="N791" s="25">
        <f>IF(E791="","",E791-M791)</f>
        <v/>
      </c>
      <c r="O791" s="15" t="n"/>
    </row>
    <row r="792">
      <c r="A792" s="26" t="n"/>
      <c r="B792" s="14" t="n"/>
      <c r="C792" s="14" t="n"/>
      <c r="D792" s="14" t="n"/>
      <c r="E792" s="27" t="n"/>
      <c r="F792" s="27">
        <f>IF(E792="","",E792*0.065)</f>
        <v/>
      </c>
      <c r="G792" s="27">
        <f>IF(E792="","",E792*0.03+0.25)</f>
        <v/>
      </c>
      <c r="H792" s="27" t="n"/>
      <c r="I792" s="27" t="n"/>
      <c r="J792" s="27" t="n"/>
      <c r="K792" s="27" t="n"/>
      <c r="L792" s="27" t="n"/>
      <c r="M792" s="27">
        <f>IF(E792="","",F792+G792+H792+I792+J792+K792+L792)</f>
        <v/>
      </c>
      <c r="N792" s="27">
        <f>IF(E792="","",E792-M792)</f>
        <v/>
      </c>
      <c r="O792" s="14" t="n"/>
    </row>
    <row r="793">
      <c r="A793" s="24" t="n"/>
      <c r="B793" s="15" t="n"/>
      <c r="C793" s="15" t="n"/>
      <c r="D793" s="15" t="n"/>
      <c r="E793" s="25" t="n"/>
      <c r="F793" s="25">
        <f>IF(E793="","",E793*0.065)</f>
        <v/>
      </c>
      <c r="G793" s="25">
        <f>IF(E793="","",E793*0.03+0.25)</f>
        <v/>
      </c>
      <c r="H793" s="25" t="n"/>
      <c r="I793" s="25" t="n"/>
      <c r="J793" s="25" t="n"/>
      <c r="K793" s="25" t="n"/>
      <c r="L793" s="25" t="n"/>
      <c r="M793" s="25">
        <f>IF(E793="","",F793+G793+H793+I793+J793+K793+L793)</f>
        <v/>
      </c>
      <c r="N793" s="25">
        <f>IF(E793="","",E793-M793)</f>
        <v/>
      </c>
      <c r="O793" s="15" t="n"/>
    </row>
    <row r="794">
      <c r="A794" s="26" t="n"/>
      <c r="B794" s="14" t="n"/>
      <c r="C794" s="14" t="n"/>
      <c r="D794" s="14" t="n"/>
      <c r="E794" s="27" t="n"/>
      <c r="F794" s="27">
        <f>IF(E794="","",E794*0.065)</f>
        <v/>
      </c>
      <c r="G794" s="27">
        <f>IF(E794="","",E794*0.03+0.25)</f>
        <v/>
      </c>
      <c r="H794" s="27" t="n"/>
      <c r="I794" s="27" t="n"/>
      <c r="J794" s="27" t="n"/>
      <c r="K794" s="27" t="n"/>
      <c r="L794" s="27" t="n"/>
      <c r="M794" s="27">
        <f>IF(E794="","",F794+G794+H794+I794+J794+K794+L794)</f>
        <v/>
      </c>
      <c r="N794" s="27">
        <f>IF(E794="","",E794-M794)</f>
        <v/>
      </c>
      <c r="O794" s="14" t="n"/>
    </row>
    <row r="795">
      <c r="A795" s="24" t="n"/>
      <c r="B795" s="15" t="n"/>
      <c r="C795" s="15" t="n"/>
      <c r="D795" s="15" t="n"/>
      <c r="E795" s="25" t="n"/>
      <c r="F795" s="25">
        <f>IF(E795="","",E795*0.065)</f>
        <v/>
      </c>
      <c r="G795" s="25">
        <f>IF(E795="","",E795*0.03+0.25)</f>
        <v/>
      </c>
      <c r="H795" s="25" t="n"/>
      <c r="I795" s="25" t="n"/>
      <c r="J795" s="25" t="n"/>
      <c r="K795" s="25" t="n"/>
      <c r="L795" s="25" t="n"/>
      <c r="M795" s="25">
        <f>IF(E795="","",F795+G795+H795+I795+J795+K795+L795)</f>
        <v/>
      </c>
      <c r="N795" s="25">
        <f>IF(E795="","",E795-M795)</f>
        <v/>
      </c>
      <c r="O795" s="15" t="n"/>
    </row>
    <row r="796">
      <c r="A796" s="26" t="n"/>
      <c r="B796" s="14" t="n"/>
      <c r="C796" s="14" t="n"/>
      <c r="D796" s="14" t="n"/>
      <c r="E796" s="27" t="n"/>
      <c r="F796" s="27">
        <f>IF(E796="","",E796*0.065)</f>
        <v/>
      </c>
      <c r="G796" s="27">
        <f>IF(E796="","",E796*0.03+0.25)</f>
        <v/>
      </c>
      <c r="H796" s="27" t="n"/>
      <c r="I796" s="27" t="n"/>
      <c r="J796" s="27" t="n"/>
      <c r="K796" s="27" t="n"/>
      <c r="L796" s="27" t="n"/>
      <c r="M796" s="27">
        <f>IF(E796="","",F796+G796+H796+I796+J796+K796+L796)</f>
        <v/>
      </c>
      <c r="N796" s="27">
        <f>IF(E796="","",E796-M796)</f>
        <v/>
      </c>
      <c r="O796" s="14" t="n"/>
    </row>
    <row r="797">
      <c r="A797" s="24" t="n"/>
      <c r="B797" s="15" t="n"/>
      <c r="C797" s="15" t="n"/>
      <c r="D797" s="15" t="n"/>
      <c r="E797" s="25" t="n"/>
      <c r="F797" s="25">
        <f>IF(E797="","",E797*0.065)</f>
        <v/>
      </c>
      <c r="G797" s="25">
        <f>IF(E797="","",E797*0.03+0.25)</f>
        <v/>
      </c>
      <c r="H797" s="25" t="n"/>
      <c r="I797" s="25" t="n"/>
      <c r="J797" s="25" t="n"/>
      <c r="K797" s="25" t="n"/>
      <c r="L797" s="25" t="n"/>
      <c r="M797" s="25">
        <f>IF(E797="","",F797+G797+H797+I797+J797+K797+L797)</f>
        <v/>
      </c>
      <c r="N797" s="25">
        <f>IF(E797="","",E797-M797)</f>
        <v/>
      </c>
      <c r="O797" s="15" t="n"/>
    </row>
    <row r="798">
      <c r="A798" s="26" t="n"/>
      <c r="B798" s="14" t="n"/>
      <c r="C798" s="14" t="n"/>
      <c r="D798" s="14" t="n"/>
      <c r="E798" s="27" t="n"/>
      <c r="F798" s="27">
        <f>IF(E798="","",E798*0.065)</f>
        <v/>
      </c>
      <c r="G798" s="27">
        <f>IF(E798="","",E798*0.03+0.25)</f>
        <v/>
      </c>
      <c r="H798" s="27" t="n"/>
      <c r="I798" s="27" t="n"/>
      <c r="J798" s="27" t="n"/>
      <c r="K798" s="27" t="n"/>
      <c r="L798" s="27" t="n"/>
      <c r="M798" s="27">
        <f>IF(E798="","",F798+G798+H798+I798+J798+K798+L798)</f>
        <v/>
      </c>
      <c r="N798" s="27">
        <f>IF(E798="","",E798-M798)</f>
        <v/>
      </c>
      <c r="O798" s="14" t="n"/>
    </row>
    <row r="799">
      <c r="A799" s="24" t="n"/>
      <c r="B799" s="15" t="n"/>
      <c r="C799" s="15" t="n"/>
      <c r="D799" s="15" t="n"/>
      <c r="E799" s="25" t="n"/>
      <c r="F799" s="25">
        <f>IF(E799="","",E799*0.065)</f>
        <v/>
      </c>
      <c r="G799" s="25">
        <f>IF(E799="","",E799*0.03+0.25)</f>
        <v/>
      </c>
      <c r="H799" s="25" t="n"/>
      <c r="I799" s="25" t="n"/>
      <c r="J799" s="25" t="n"/>
      <c r="K799" s="25" t="n"/>
      <c r="L799" s="25" t="n"/>
      <c r="M799" s="25">
        <f>IF(E799="","",F799+G799+H799+I799+J799+K799+L799)</f>
        <v/>
      </c>
      <c r="N799" s="25">
        <f>IF(E799="","",E799-M799)</f>
        <v/>
      </c>
      <c r="O799" s="15" t="n"/>
    </row>
    <row r="800">
      <c r="A800" s="26" t="n"/>
      <c r="B800" s="14" t="n"/>
      <c r="C800" s="14" t="n"/>
      <c r="D800" s="14" t="n"/>
      <c r="E800" s="27" t="n"/>
      <c r="F800" s="27">
        <f>IF(E800="","",E800*0.065)</f>
        <v/>
      </c>
      <c r="G800" s="27">
        <f>IF(E800="","",E800*0.03+0.25)</f>
        <v/>
      </c>
      <c r="H800" s="27" t="n"/>
      <c r="I800" s="27" t="n"/>
      <c r="J800" s="27" t="n"/>
      <c r="K800" s="27" t="n"/>
      <c r="L800" s="27" t="n"/>
      <c r="M800" s="27">
        <f>IF(E800="","",F800+G800+H800+I800+J800+K800+L800)</f>
        <v/>
      </c>
      <c r="N800" s="27">
        <f>IF(E800="","",E800-M800)</f>
        <v/>
      </c>
      <c r="O800" s="14" t="n"/>
    </row>
    <row r="801">
      <c r="A801" s="24" t="n"/>
      <c r="B801" s="15" t="n"/>
      <c r="C801" s="15" t="n"/>
      <c r="D801" s="15" t="n"/>
      <c r="E801" s="25" t="n"/>
      <c r="F801" s="25">
        <f>IF(E801="","",E801*0.065)</f>
        <v/>
      </c>
      <c r="G801" s="25">
        <f>IF(E801="","",E801*0.03+0.25)</f>
        <v/>
      </c>
      <c r="H801" s="25" t="n"/>
      <c r="I801" s="25" t="n"/>
      <c r="J801" s="25" t="n"/>
      <c r="K801" s="25" t="n"/>
      <c r="L801" s="25" t="n"/>
      <c r="M801" s="25">
        <f>IF(E801="","",F801+G801+H801+I801+J801+K801+L801)</f>
        <v/>
      </c>
      <c r="N801" s="25">
        <f>IF(E801="","",E801-M801)</f>
        <v/>
      </c>
      <c r="O801" s="15" t="n"/>
    </row>
    <row r="802">
      <c r="A802" s="26" t="n"/>
      <c r="B802" s="14" t="n"/>
      <c r="C802" s="14" t="n"/>
      <c r="D802" s="14" t="n"/>
      <c r="E802" s="27" t="n"/>
      <c r="F802" s="27">
        <f>IF(E802="","",E802*0.065)</f>
        <v/>
      </c>
      <c r="G802" s="27">
        <f>IF(E802="","",E802*0.03+0.25)</f>
        <v/>
      </c>
      <c r="H802" s="27" t="n"/>
      <c r="I802" s="27" t="n"/>
      <c r="J802" s="27" t="n"/>
      <c r="K802" s="27" t="n"/>
      <c r="L802" s="27" t="n"/>
      <c r="M802" s="27">
        <f>IF(E802="","",F802+G802+H802+I802+J802+K802+L802)</f>
        <v/>
      </c>
      <c r="N802" s="27">
        <f>IF(E802="","",E802-M802)</f>
        <v/>
      </c>
      <c r="O802" s="14" t="n"/>
    </row>
    <row r="803">
      <c r="A803" s="24" t="n"/>
      <c r="B803" s="15" t="n"/>
      <c r="C803" s="15" t="n"/>
      <c r="D803" s="15" t="n"/>
      <c r="E803" s="25" t="n"/>
      <c r="F803" s="25">
        <f>IF(E803="","",E803*0.065)</f>
        <v/>
      </c>
      <c r="G803" s="25">
        <f>IF(E803="","",E803*0.03+0.25)</f>
        <v/>
      </c>
      <c r="H803" s="25" t="n"/>
      <c r="I803" s="25" t="n"/>
      <c r="J803" s="25" t="n"/>
      <c r="K803" s="25" t="n"/>
      <c r="L803" s="25" t="n"/>
      <c r="M803" s="25">
        <f>IF(E803="","",F803+G803+H803+I803+J803+K803+L803)</f>
        <v/>
      </c>
      <c r="N803" s="25">
        <f>IF(E803="","",E803-M803)</f>
        <v/>
      </c>
      <c r="O803" s="15" t="n"/>
    </row>
    <row r="804">
      <c r="A804" s="26" t="n"/>
      <c r="B804" s="14" t="n"/>
      <c r="C804" s="14" t="n"/>
      <c r="D804" s="14" t="n"/>
      <c r="E804" s="27" t="n"/>
      <c r="F804" s="27">
        <f>IF(E804="","",E804*0.065)</f>
        <v/>
      </c>
      <c r="G804" s="27">
        <f>IF(E804="","",E804*0.03+0.25)</f>
        <v/>
      </c>
      <c r="H804" s="27" t="n"/>
      <c r="I804" s="27" t="n"/>
      <c r="J804" s="27" t="n"/>
      <c r="K804" s="27" t="n"/>
      <c r="L804" s="27" t="n"/>
      <c r="M804" s="27">
        <f>IF(E804="","",F804+G804+H804+I804+J804+K804+L804)</f>
        <v/>
      </c>
      <c r="N804" s="27">
        <f>IF(E804="","",E804-M804)</f>
        <v/>
      </c>
      <c r="O804" s="14" t="n"/>
    </row>
    <row r="805">
      <c r="A805" s="24" t="n"/>
      <c r="B805" s="15" t="n"/>
      <c r="C805" s="15" t="n"/>
      <c r="D805" s="15" t="n"/>
      <c r="E805" s="25" t="n"/>
      <c r="F805" s="25">
        <f>IF(E805="","",E805*0.065)</f>
        <v/>
      </c>
      <c r="G805" s="25">
        <f>IF(E805="","",E805*0.03+0.25)</f>
        <v/>
      </c>
      <c r="H805" s="25" t="n"/>
      <c r="I805" s="25" t="n"/>
      <c r="J805" s="25" t="n"/>
      <c r="K805" s="25" t="n"/>
      <c r="L805" s="25" t="n"/>
      <c r="M805" s="25">
        <f>IF(E805="","",F805+G805+H805+I805+J805+K805+L805)</f>
        <v/>
      </c>
      <c r="N805" s="25">
        <f>IF(E805="","",E805-M805)</f>
        <v/>
      </c>
      <c r="O805" s="15" t="n"/>
    </row>
    <row r="806">
      <c r="A806" s="26" t="n"/>
      <c r="B806" s="14" t="n"/>
      <c r="C806" s="14" t="n"/>
      <c r="D806" s="14" t="n"/>
      <c r="E806" s="27" t="n"/>
      <c r="F806" s="27">
        <f>IF(E806="","",E806*0.065)</f>
        <v/>
      </c>
      <c r="G806" s="27">
        <f>IF(E806="","",E806*0.03+0.25)</f>
        <v/>
      </c>
      <c r="H806" s="27" t="n"/>
      <c r="I806" s="27" t="n"/>
      <c r="J806" s="27" t="n"/>
      <c r="K806" s="27" t="n"/>
      <c r="L806" s="27" t="n"/>
      <c r="M806" s="27">
        <f>IF(E806="","",F806+G806+H806+I806+J806+K806+L806)</f>
        <v/>
      </c>
      <c r="N806" s="27">
        <f>IF(E806="","",E806-M806)</f>
        <v/>
      </c>
      <c r="O806" s="14" t="n"/>
    </row>
    <row r="807">
      <c r="A807" s="24" t="n"/>
      <c r="B807" s="15" t="n"/>
      <c r="C807" s="15" t="n"/>
      <c r="D807" s="15" t="n"/>
      <c r="E807" s="25" t="n"/>
      <c r="F807" s="25">
        <f>IF(E807="","",E807*0.065)</f>
        <v/>
      </c>
      <c r="G807" s="25">
        <f>IF(E807="","",E807*0.03+0.25)</f>
        <v/>
      </c>
      <c r="H807" s="25" t="n"/>
      <c r="I807" s="25" t="n"/>
      <c r="J807" s="25" t="n"/>
      <c r="K807" s="25" t="n"/>
      <c r="L807" s="25" t="n"/>
      <c r="M807" s="25">
        <f>IF(E807="","",F807+G807+H807+I807+J807+K807+L807)</f>
        <v/>
      </c>
      <c r="N807" s="25">
        <f>IF(E807="","",E807-M807)</f>
        <v/>
      </c>
      <c r="O807" s="15" t="n"/>
    </row>
    <row r="808">
      <c r="A808" s="26" t="n"/>
      <c r="B808" s="14" t="n"/>
      <c r="C808" s="14" t="n"/>
      <c r="D808" s="14" t="n"/>
      <c r="E808" s="27" t="n"/>
      <c r="F808" s="27">
        <f>IF(E808="","",E808*0.065)</f>
        <v/>
      </c>
      <c r="G808" s="27">
        <f>IF(E808="","",E808*0.03+0.25)</f>
        <v/>
      </c>
      <c r="H808" s="27" t="n"/>
      <c r="I808" s="27" t="n"/>
      <c r="J808" s="27" t="n"/>
      <c r="K808" s="27" t="n"/>
      <c r="L808" s="27" t="n"/>
      <c r="M808" s="27">
        <f>IF(E808="","",F808+G808+H808+I808+J808+K808+L808)</f>
        <v/>
      </c>
      <c r="N808" s="27">
        <f>IF(E808="","",E808-M808)</f>
        <v/>
      </c>
      <c r="O808" s="14" t="n"/>
    </row>
    <row r="809">
      <c r="A809" s="24" t="n"/>
      <c r="B809" s="15" t="n"/>
      <c r="C809" s="15" t="n"/>
      <c r="D809" s="15" t="n"/>
      <c r="E809" s="25" t="n"/>
      <c r="F809" s="25">
        <f>IF(E809="","",E809*0.065)</f>
        <v/>
      </c>
      <c r="G809" s="25">
        <f>IF(E809="","",E809*0.03+0.25)</f>
        <v/>
      </c>
      <c r="H809" s="25" t="n"/>
      <c r="I809" s="25" t="n"/>
      <c r="J809" s="25" t="n"/>
      <c r="K809" s="25" t="n"/>
      <c r="L809" s="25" t="n"/>
      <c r="M809" s="25">
        <f>IF(E809="","",F809+G809+H809+I809+J809+K809+L809)</f>
        <v/>
      </c>
      <c r="N809" s="25">
        <f>IF(E809="","",E809-M809)</f>
        <v/>
      </c>
      <c r="O809" s="15" t="n"/>
    </row>
    <row r="810">
      <c r="A810" s="26" t="n"/>
      <c r="B810" s="14" t="n"/>
      <c r="C810" s="14" t="n"/>
      <c r="D810" s="14" t="n"/>
      <c r="E810" s="27" t="n"/>
      <c r="F810" s="27">
        <f>IF(E810="","",E810*0.065)</f>
        <v/>
      </c>
      <c r="G810" s="27">
        <f>IF(E810="","",E810*0.03+0.25)</f>
        <v/>
      </c>
      <c r="H810" s="27" t="n"/>
      <c r="I810" s="27" t="n"/>
      <c r="J810" s="27" t="n"/>
      <c r="K810" s="27" t="n"/>
      <c r="L810" s="27" t="n"/>
      <c r="M810" s="27">
        <f>IF(E810="","",F810+G810+H810+I810+J810+K810+L810)</f>
        <v/>
      </c>
      <c r="N810" s="27">
        <f>IF(E810="","",E810-M810)</f>
        <v/>
      </c>
      <c r="O810" s="14" t="n"/>
    </row>
    <row r="811">
      <c r="A811" s="24" t="n"/>
      <c r="B811" s="15" t="n"/>
      <c r="C811" s="15" t="n"/>
      <c r="D811" s="15" t="n"/>
      <c r="E811" s="25" t="n"/>
      <c r="F811" s="25">
        <f>IF(E811="","",E811*0.065)</f>
        <v/>
      </c>
      <c r="G811" s="25">
        <f>IF(E811="","",E811*0.03+0.25)</f>
        <v/>
      </c>
      <c r="H811" s="25" t="n"/>
      <c r="I811" s="25" t="n"/>
      <c r="J811" s="25" t="n"/>
      <c r="K811" s="25" t="n"/>
      <c r="L811" s="25" t="n"/>
      <c r="M811" s="25">
        <f>IF(E811="","",F811+G811+H811+I811+J811+K811+L811)</f>
        <v/>
      </c>
      <c r="N811" s="25">
        <f>IF(E811="","",E811-M811)</f>
        <v/>
      </c>
      <c r="O811" s="15" t="n"/>
    </row>
    <row r="812">
      <c r="A812" s="26" t="n"/>
      <c r="B812" s="14" t="n"/>
      <c r="C812" s="14" t="n"/>
      <c r="D812" s="14" t="n"/>
      <c r="E812" s="27" t="n"/>
      <c r="F812" s="27">
        <f>IF(E812="","",E812*0.065)</f>
        <v/>
      </c>
      <c r="G812" s="27">
        <f>IF(E812="","",E812*0.03+0.25)</f>
        <v/>
      </c>
      <c r="H812" s="27" t="n"/>
      <c r="I812" s="27" t="n"/>
      <c r="J812" s="27" t="n"/>
      <c r="K812" s="27" t="n"/>
      <c r="L812" s="27" t="n"/>
      <c r="M812" s="27">
        <f>IF(E812="","",F812+G812+H812+I812+J812+K812+L812)</f>
        <v/>
      </c>
      <c r="N812" s="27">
        <f>IF(E812="","",E812-M812)</f>
        <v/>
      </c>
      <c r="O812" s="14" t="n"/>
    </row>
    <row r="813">
      <c r="A813" s="24" t="n"/>
      <c r="B813" s="15" t="n"/>
      <c r="C813" s="15" t="n"/>
      <c r="D813" s="15" t="n"/>
      <c r="E813" s="25" t="n"/>
      <c r="F813" s="25">
        <f>IF(E813="","",E813*0.065)</f>
        <v/>
      </c>
      <c r="G813" s="25">
        <f>IF(E813="","",E813*0.03+0.25)</f>
        <v/>
      </c>
      <c r="H813" s="25" t="n"/>
      <c r="I813" s="25" t="n"/>
      <c r="J813" s="25" t="n"/>
      <c r="K813" s="25" t="n"/>
      <c r="L813" s="25" t="n"/>
      <c r="M813" s="25">
        <f>IF(E813="","",F813+G813+H813+I813+J813+K813+L813)</f>
        <v/>
      </c>
      <c r="N813" s="25">
        <f>IF(E813="","",E813-M813)</f>
        <v/>
      </c>
      <c r="O813" s="15" t="n"/>
    </row>
    <row r="814">
      <c r="A814" s="26" t="n"/>
      <c r="B814" s="14" t="n"/>
      <c r="C814" s="14" t="n"/>
      <c r="D814" s="14" t="n"/>
      <c r="E814" s="27" t="n"/>
      <c r="F814" s="27">
        <f>IF(E814="","",E814*0.065)</f>
        <v/>
      </c>
      <c r="G814" s="27">
        <f>IF(E814="","",E814*0.03+0.25)</f>
        <v/>
      </c>
      <c r="H814" s="27" t="n"/>
      <c r="I814" s="27" t="n"/>
      <c r="J814" s="27" t="n"/>
      <c r="K814" s="27" t="n"/>
      <c r="L814" s="27" t="n"/>
      <c r="M814" s="27">
        <f>IF(E814="","",F814+G814+H814+I814+J814+K814+L814)</f>
        <v/>
      </c>
      <c r="N814" s="27">
        <f>IF(E814="","",E814-M814)</f>
        <v/>
      </c>
      <c r="O814" s="14" t="n"/>
    </row>
    <row r="815">
      <c r="A815" s="24" t="n"/>
      <c r="B815" s="15" t="n"/>
      <c r="C815" s="15" t="n"/>
      <c r="D815" s="15" t="n"/>
      <c r="E815" s="25" t="n"/>
      <c r="F815" s="25">
        <f>IF(E815="","",E815*0.065)</f>
        <v/>
      </c>
      <c r="G815" s="25">
        <f>IF(E815="","",E815*0.03+0.25)</f>
        <v/>
      </c>
      <c r="H815" s="25" t="n"/>
      <c r="I815" s="25" t="n"/>
      <c r="J815" s="25" t="n"/>
      <c r="K815" s="25" t="n"/>
      <c r="L815" s="25" t="n"/>
      <c r="M815" s="25">
        <f>IF(E815="","",F815+G815+H815+I815+J815+K815+L815)</f>
        <v/>
      </c>
      <c r="N815" s="25">
        <f>IF(E815="","",E815-M815)</f>
        <v/>
      </c>
      <c r="O815" s="15" t="n"/>
    </row>
    <row r="816">
      <c r="A816" s="26" t="n"/>
      <c r="B816" s="14" t="n"/>
      <c r="C816" s="14" t="n"/>
      <c r="D816" s="14" t="n"/>
      <c r="E816" s="27" t="n"/>
      <c r="F816" s="27">
        <f>IF(E816="","",E816*0.065)</f>
        <v/>
      </c>
      <c r="G816" s="27">
        <f>IF(E816="","",E816*0.03+0.25)</f>
        <v/>
      </c>
      <c r="H816" s="27" t="n"/>
      <c r="I816" s="27" t="n"/>
      <c r="J816" s="27" t="n"/>
      <c r="K816" s="27" t="n"/>
      <c r="L816" s="27" t="n"/>
      <c r="M816" s="27">
        <f>IF(E816="","",F816+G816+H816+I816+J816+K816+L816)</f>
        <v/>
      </c>
      <c r="N816" s="27">
        <f>IF(E816="","",E816-M816)</f>
        <v/>
      </c>
      <c r="O816" s="14" t="n"/>
    </row>
    <row r="817">
      <c r="A817" s="24" t="n"/>
      <c r="B817" s="15" t="n"/>
      <c r="C817" s="15" t="n"/>
      <c r="D817" s="15" t="n"/>
      <c r="E817" s="25" t="n"/>
      <c r="F817" s="25">
        <f>IF(E817="","",E817*0.065)</f>
        <v/>
      </c>
      <c r="G817" s="25">
        <f>IF(E817="","",E817*0.03+0.25)</f>
        <v/>
      </c>
      <c r="H817" s="25" t="n"/>
      <c r="I817" s="25" t="n"/>
      <c r="J817" s="25" t="n"/>
      <c r="K817" s="25" t="n"/>
      <c r="L817" s="25" t="n"/>
      <c r="M817" s="25">
        <f>IF(E817="","",F817+G817+H817+I817+J817+K817+L817)</f>
        <v/>
      </c>
      <c r="N817" s="25">
        <f>IF(E817="","",E817-M817)</f>
        <v/>
      </c>
      <c r="O817" s="15" t="n"/>
    </row>
    <row r="818">
      <c r="A818" s="26" t="n"/>
      <c r="B818" s="14" t="n"/>
      <c r="C818" s="14" t="n"/>
      <c r="D818" s="14" t="n"/>
      <c r="E818" s="27" t="n"/>
      <c r="F818" s="27">
        <f>IF(E818="","",E818*0.065)</f>
        <v/>
      </c>
      <c r="G818" s="27">
        <f>IF(E818="","",E818*0.03+0.25)</f>
        <v/>
      </c>
      <c r="H818" s="27" t="n"/>
      <c r="I818" s="27" t="n"/>
      <c r="J818" s="27" t="n"/>
      <c r="K818" s="27" t="n"/>
      <c r="L818" s="27" t="n"/>
      <c r="M818" s="27">
        <f>IF(E818="","",F818+G818+H818+I818+J818+K818+L818)</f>
        <v/>
      </c>
      <c r="N818" s="27">
        <f>IF(E818="","",E818-M818)</f>
        <v/>
      </c>
      <c r="O818" s="14" t="n"/>
    </row>
    <row r="819">
      <c r="A819" s="24" t="n"/>
      <c r="B819" s="15" t="n"/>
      <c r="C819" s="15" t="n"/>
      <c r="D819" s="15" t="n"/>
      <c r="E819" s="25" t="n"/>
      <c r="F819" s="25">
        <f>IF(E819="","",E819*0.065)</f>
        <v/>
      </c>
      <c r="G819" s="25">
        <f>IF(E819="","",E819*0.03+0.25)</f>
        <v/>
      </c>
      <c r="H819" s="25" t="n"/>
      <c r="I819" s="25" t="n"/>
      <c r="J819" s="25" t="n"/>
      <c r="K819" s="25" t="n"/>
      <c r="L819" s="25" t="n"/>
      <c r="M819" s="25">
        <f>IF(E819="","",F819+G819+H819+I819+J819+K819+L819)</f>
        <v/>
      </c>
      <c r="N819" s="25">
        <f>IF(E819="","",E819-M819)</f>
        <v/>
      </c>
      <c r="O819" s="15" t="n"/>
    </row>
    <row r="820">
      <c r="A820" s="26" t="n"/>
      <c r="B820" s="14" t="n"/>
      <c r="C820" s="14" t="n"/>
      <c r="D820" s="14" t="n"/>
      <c r="E820" s="27" t="n"/>
      <c r="F820" s="27">
        <f>IF(E820="","",E820*0.065)</f>
        <v/>
      </c>
      <c r="G820" s="27">
        <f>IF(E820="","",E820*0.03+0.25)</f>
        <v/>
      </c>
      <c r="H820" s="27" t="n"/>
      <c r="I820" s="27" t="n"/>
      <c r="J820" s="27" t="n"/>
      <c r="K820" s="27" t="n"/>
      <c r="L820" s="27" t="n"/>
      <c r="M820" s="27">
        <f>IF(E820="","",F820+G820+H820+I820+J820+K820+L820)</f>
        <v/>
      </c>
      <c r="N820" s="27">
        <f>IF(E820="","",E820-M820)</f>
        <v/>
      </c>
      <c r="O820" s="14" t="n"/>
    </row>
    <row r="821">
      <c r="A821" s="24" t="n"/>
      <c r="B821" s="15" t="n"/>
      <c r="C821" s="15" t="n"/>
      <c r="D821" s="15" t="n"/>
      <c r="E821" s="25" t="n"/>
      <c r="F821" s="25">
        <f>IF(E821="","",E821*0.065)</f>
        <v/>
      </c>
      <c r="G821" s="25">
        <f>IF(E821="","",E821*0.03+0.25)</f>
        <v/>
      </c>
      <c r="H821" s="25" t="n"/>
      <c r="I821" s="25" t="n"/>
      <c r="J821" s="25" t="n"/>
      <c r="K821" s="25" t="n"/>
      <c r="L821" s="25" t="n"/>
      <c r="M821" s="25">
        <f>IF(E821="","",F821+G821+H821+I821+J821+K821+L821)</f>
        <v/>
      </c>
      <c r="N821" s="25">
        <f>IF(E821="","",E821-M821)</f>
        <v/>
      </c>
      <c r="O821" s="15" t="n"/>
    </row>
    <row r="822">
      <c r="A822" s="26" t="n"/>
      <c r="B822" s="14" t="n"/>
      <c r="C822" s="14" t="n"/>
      <c r="D822" s="14" t="n"/>
      <c r="E822" s="27" t="n"/>
      <c r="F822" s="27">
        <f>IF(E822="","",E822*0.065)</f>
        <v/>
      </c>
      <c r="G822" s="27">
        <f>IF(E822="","",E822*0.03+0.25)</f>
        <v/>
      </c>
      <c r="H822" s="27" t="n"/>
      <c r="I822" s="27" t="n"/>
      <c r="J822" s="27" t="n"/>
      <c r="K822" s="27" t="n"/>
      <c r="L822" s="27" t="n"/>
      <c r="M822" s="27">
        <f>IF(E822="","",F822+G822+H822+I822+J822+K822+L822)</f>
        <v/>
      </c>
      <c r="N822" s="27">
        <f>IF(E822="","",E822-M822)</f>
        <v/>
      </c>
      <c r="O822" s="14" t="n"/>
    </row>
    <row r="823">
      <c r="A823" s="24" t="n"/>
      <c r="B823" s="15" t="n"/>
      <c r="C823" s="15" t="n"/>
      <c r="D823" s="15" t="n"/>
      <c r="E823" s="25" t="n"/>
      <c r="F823" s="25">
        <f>IF(E823="","",E823*0.065)</f>
        <v/>
      </c>
      <c r="G823" s="25">
        <f>IF(E823="","",E823*0.03+0.25)</f>
        <v/>
      </c>
      <c r="H823" s="25" t="n"/>
      <c r="I823" s="25" t="n"/>
      <c r="J823" s="25" t="n"/>
      <c r="K823" s="25" t="n"/>
      <c r="L823" s="25" t="n"/>
      <c r="M823" s="25">
        <f>IF(E823="","",F823+G823+H823+I823+J823+K823+L823)</f>
        <v/>
      </c>
      <c r="N823" s="25">
        <f>IF(E823="","",E823-M823)</f>
        <v/>
      </c>
      <c r="O823" s="15" t="n"/>
    </row>
    <row r="824">
      <c r="A824" s="26" t="n"/>
      <c r="B824" s="14" t="n"/>
      <c r="C824" s="14" t="n"/>
      <c r="D824" s="14" t="n"/>
      <c r="E824" s="27" t="n"/>
      <c r="F824" s="27">
        <f>IF(E824="","",E824*0.065)</f>
        <v/>
      </c>
      <c r="G824" s="27">
        <f>IF(E824="","",E824*0.03+0.25)</f>
        <v/>
      </c>
      <c r="H824" s="27" t="n"/>
      <c r="I824" s="27" t="n"/>
      <c r="J824" s="27" t="n"/>
      <c r="K824" s="27" t="n"/>
      <c r="L824" s="27" t="n"/>
      <c r="M824" s="27">
        <f>IF(E824="","",F824+G824+H824+I824+J824+K824+L824)</f>
        <v/>
      </c>
      <c r="N824" s="27">
        <f>IF(E824="","",E824-M824)</f>
        <v/>
      </c>
      <c r="O824" s="14" t="n"/>
    </row>
    <row r="825">
      <c r="A825" s="24" t="n"/>
      <c r="B825" s="15" t="n"/>
      <c r="C825" s="15" t="n"/>
      <c r="D825" s="15" t="n"/>
      <c r="E825" s="25" t="n"/>
      <c r="F825" s="25">
        <f>IF(E825="","",E825*0.065)</f>
        <v/>
      </c>
      <c r="G825" s="25">
        <f>IF(E825="","",E825*0.03+0.25)</f>
        <v/>
      </c>
      <c r="H825" s="25" t="n"/>
      <c r="I825" s="25" t="n"/>
      <c r="J825" s="25" t="n"/>
      <c r="K825" s="25" t="n"/>
      <c r="L825" s="25" t="n"/>
      <c r="M825" s="25">
        <f>IF(E825="","",F825+G825+H825+I825+J825+K825+L825)</f>
        <v/>
      </c>
      <c r="N825" s="25">
        <f>IF(E825="","",E825-M825)</f>
        <v/>
      </c>
      <c r="O825" s="15" t="n"/>
    </row>
    <row r="826">
      <c r="A826" s="26" t="n"/>
      <c r="B826" s="14" t="n"/>
      <c r="C826" s="14" t="n"/>
      <c r="D826" s="14" t="n"/>
      <c r="E826" s="27" t="n"/>
      <c r="F826" s="27">
        <f>IF(E826="","",E826*0.065)</f>
        <v/>
      </c>
      <c r="G826" s="27">
        <f>IF(E826="","",E826*0.03+0.25)</f>
        <v/>
      </c>
      <c r="H826" s="27" t="n"/>
      <c r="I826" s="27" t="n"/>
      <c r="J826" s="27" t="n"/>
      <c r="K826" s="27" t="n"/>
      <c r="L826" s="27" t="n"/>
      <c r="M826" s="27">
        <f>IF(E826="","",F826+G826+H826+I826+J826+K826+L826)</f>
        <v/>
      </c>
      <c r="N826" s="27">
        <f>IF(E826="","",E826-M826)</f>
        <v/>
      </c>
      <c r="O826" s="14" t="n"/>
    </row>
    <row r="827">
      <c r="A827" s="24" t="n"/>
      <c r="B827" s="15" t="n"/>
      <c r="C827" s="15" t="n"/>
      <c r="D827" s="15" t="n"/>
      <c r="E827" s="25" t="n"/>
      <c r="F827" s="25">
        <f>IF(E827="","",E827*0.065)</f>
        <v/>
      </c>
      <c r="G827" s="25">
        <f>IF(E827="","",E827*0.03+0.25)</f>
        <v/>
      </c>
      <c r="H827" s="25" t="n"/>
      <c r="I827" s="25" t="n"/>
      <c r="J827" s="25" t="n"/>
      <c r="K827" s="25" t="n"/>
      <c r="L827" s="25" t="n"/>
      <c r="M827" s="25">
        <f>IF(E827="","",F827+G827+H827+I827+J827+K827+L827)</f>
        <v/>
      </c>
      <c r="N827" s="25">
        <f>IF(E827="","",E827-M827)</f>
        <v/>
      </c>
      <c r="O827" s="15" t="n"/>
    </row>
    <row r="828">
      <c r="A828" s="26" t="n"/>
      <c r="B828" s="14" t="n"/>
      <c r="C828" s="14" t="n"/>
      <c r="D828" s="14" t="n"/>
      <c r="E828" s="27" t="n"/>
      <c r="F828" s="27">
        <f>IF(E828="","",E828*0.065)</f>
        <v/>
      </c>
      <c r="G828" s="27">
        <f>IF(E828="","",E828*0.03+0.25)</f>
        <v/>
      </c>
      <c r="H828" s="27" t="n"/>
      <c r="I828" s="27" t="n"/>
      <c r="J828" s="27" t="n"/>
      <c r="K828" s="27" t="n"/>
      <c r="L828" s="27" t="n"/>
      <c r="M828" s="27">
        <f>IF(E828="","",F828+G828+H828+I828+J828+K828+L828)</f>
        <v/>
      </c>
      <c r="N828" s="27">
        <f>IF(E828="","",E828-M828)</f>
        <v/>
      </c>
      <c r="O828" s="14" t="n"/>
    </row>
    <row r="829">
      <c r="A829" s="24" t="n"/>
      <c r="B829" s="15" t="n"/>
      <c r="C829" s="15" t="n"/>
      <c r="D829" s="15" t="n"/>
      <c r="E829" s="25" t="n"/>
      <c r="F829" s="25">
        <f>IF(E829="","",E829*0.065)</f>
        <v/>
      </c>
      <c r="G829" s="25">
        <f>IF(E829="","",E829*0.03+0.25)</f>
        <v/>
      </c>
      <c r="H829" s="25" t="n"/>
      <c r="I829" s="25" t="n"/>
      <c r="J829" s="25" t="n"/>
      <c r="K829" s="25" t="n"/>
      <c r="L829" s="25" t="n"/>
      <c r="M829" s="25">
        <f>IF(E829="","",F829+G829+H829+I829+J829+K829+L829)</f>
        <v/>
      </c>
      <c r="N829" s="25">
        <f>IF(E829="","",E829-M829)</f>
        <v/>
      </c>
      <c r="O829" s="15" t="n"/>
    </row>
    <row r="830">
      <c r="A830" s="26" t="n"/>
      <c r="B830" s="14" t="n"/>
      <c r="C830" s="14" t="n"/>
      <c r="D830" s="14" t="n"/>
      <c r="E830" s="27" t="n"/>
      <c r="F830" s="27">
        <f>IF(E830="","",E830*0.065)</f>
        <v/>
      </c>
      <c r="G830" s="27">
        <f>IF(E830="","",E830*0.03+0.25)</f>
        <v/>
      </c>
      <c r="H830" s="27" t="n"/>
      <c r="I830" s="27" t="n"/>
      <c r="J830" s="27" t="n"/>
      <c r="K830" s="27" t="n"/>
      <c r="L830" s="27" t="n"/>
      <c r="M830" s="27">
        <f>IF(E830="","",F830+G830+H830+I830+J830+K830+L830)</f>
        <v/>
      </c>
      <c r="N830" s="27">
        <f>IF(E830="","",E830-M830)</f>
        <v/>
      </c>
      <c r="O830" s="14" t="n"/>
    </row>
    <row r="831">
      <c r="A831" s="24" t="n"/>
      <c r="B831" s="15" t="n"/>
      <c r="C831" s="15" t="n"/>
      <c r="D831" s="15" t="n"/>
      <c r="E831" s="25" t="n"/>
      <c r="F831" s="25">
        <f>IF(E831="","",E831*0.065)</f>
        <v/>
      </c>
      <c r="G831" s="25">
        <f>IF(E831="","",E831*0.03+0.25)</f>
        <v/>
      </c>
      <c r="H831" s="25" t="n"/>
      <c r="I831" s="25" t="n"/>
      <c r="J831" s="25" t="n"/>
      <c r="K831" s="25" t="n"/>
      <c r="L831" s="25" t="n"/>
      <c r="M831" s="25">
        <f>IF(E831="","",F831+G831+H831+I831+J831+K831+L831)</f>
        <v/>
      </c>
      <c r="N831" s="25">
        <f>IF(E831="","",E831-M831)</f>
        <v/>
      </c>
      <c r="O831" s="15" t="n"/>
    </row>
    <row r="832">
      <c r="A832" s="26" t="n"/>
      <c r="B832" s="14" t="n"/>
      <c r="C832" s="14" t="n"/>
      <c r="D832" s="14" t="n"/>
      <c r="E832" s="27" t="n"/>
      <c r="F832" s="27">
        <f>IF(E832="","",E832*0.065)</f>
        <v/>
      </c>
      <c r="G832" s="27">
        <f>IF(E832="","",E832*0.03+0.25)</f>
        <v/>
      </c>
      <c r="H832" s="27" t="n"/>
      <c r="I832" s="27" t="n"/>
      <c r="J832" s="27" t="n"/>
      <c r="K832" s="27" t="n"/>
      <c r="L832" s="27" t="n"/>
      <c r="M832" s="27">
        <f>IF(E832="","",F832+G832+H832+I832+J832+K832+L832)</f>
        <v/>
      </c>
      <c r="N832" s="27">
        <f>IF(E832="","",E832-M832)</f>
        <v/>
      </c>
      <c r="O832" s="14" t="n"/>
    </row>
    <row r="833">
      <c r="A833" s="24" t="n"/>
      <c r="B833" s="15" t="n"/>
      <c r="C833" s="15" t="n"/>
      <c r="D833" s="15" t="n"/>
      <c r="E833" s="25" t="n"/>
      <c r="F833" s="25">
        <f>IF(E833="","",E833*0.065)</f>
        <v/>
      </c>
      <c r="G833" s="25">
        <f>IF(E833="","",E833*0.03+0.25)</f>
        <v/>
      </c>
      <c r="H833" s="25" t="n"/>
      <c r="I833" s="25" t="n"/>
      <c r="J833" s="25" t="n"/>
      <c r="K833" s="25" t="n"/>
      <c r="L833" s="25" t="n"/>
      <c r="M833" s="25">
        <f>IF(E833="","",F833+G833+H833+I833+J833+K833+L833)</f>
        <v/>
      </c>
      <c r="N833" s="25">
        <f>IF(E833="","",E833-M833)</f>
        <v/>
      </c>
      <c r="O833" s="15" t="n"/>
    </row>
    <row r="834">
      <c r="A834" s="26" t="n"/>
      <c r="B834" s="14" t="n"/>
      <c r="C834" s="14" t="n"/>
      <c r="D834" s="14" t="n"/>
      <c r="E834" s="27" t="n"/>
      <c r="F834" s="27">
        <f>IF(E834="","",E834*0.065)</f>
        <v/>
      </c>
      <c r="G834" s="27">
        <f>IF(E834="","",E834*0.03+0.25)</f>
        <v/>
      </c>
      <c r="H834" s="27" t="n"/>
      <c r="I834" s="27" t="n"/>
      <c r="J834" s="27" t="n"/>
      <c r="K834" s="27" t="n"/>
      <c r="L834" s="27" t="n"/>
      <c r="M834" s="27">
        <f>IF(E834="","",F834+G834+H834+I834+J834+K834+L834)</f>
        <v/>
      </c>
      <c r="N834" s="27">
        <f>IF(E834="","",E834-M834)</f>
        <v/>
      </c>
      <c r="O834" s="14" t="n"/>
    </row>
    <row r="835">
      <c r="A835" s="24" t="n"/>
      <c r="B835" s="15" t="n"/>
      <c r="C835" s="15" t="n"/>
      <c r="D835" s="15" t="n"/>
      <c r="E835" s="25" t="n"/>
      <c r="F835" s="25">
        <f>IF(E835="","",E835*0.065)</f>
        <v/>
      </c>
      <c r="G835" s="25">
        <f>IF(E835="","",E835*0.03+0.25)</f>
        <v/>
      </c>
      <c r="H835" s="25" t="n"/>
      <c r="I835" s="25" t="n"/>
      <c r="J835" s="25" t="n"/>
      <c r="K835" s="25" t="n"/>
      <c r="L835" s="25" t="n"/>
      <c r="M835" s="25">
        <f>IF(E835="","",F835+G835+H835+I835+J835+K835+L835)</f>
        <v/>
      </c>
      <c r="N835" s="25">
        <f>IF(E835="","",E835-M835)</f>
        <v/>
      </c>
      <c r="O835" s="15" t="n"/>
    </row>
    <row r="836">
      <c r="A836" s="26" t="n"/>
      <c r="B836" s="14" t="n"/>
      <c r="C836" s="14" t="n"/>
      <c r="D836" s="14" t="n"/>
      <c r="E836" s="27" t="n"/>
      <c r="F836" s="27">
        <f>IF(E836="","",E836*0.065)</f>
        <v/>
      </c>
      <c r="G836" s="27">
        <f>IF(E836="","",E836*0.03+0.25)</f>
        <v/>
      </c>
      <c r="H836" s="27" t="n"/>
      <c r="I836" s="27" t="n"/>
      <c r="J836" s="27" t="n"/>
      <c r="K836" s="27" t="n"/>
      <c r="L836" s="27" t="n"/>
      <c r="M836" s="27">
        <f>IF(E836="","",F836+G836+H836+I836+J836+K836+L836)</f>
        <v/>
      </c>
      <c r="N836" s="27">
        <f>IF(E836="","",E836-M836)</f>
        <v/>
      </c>
      <c r="O836" s="14" t="n"/>
    </row>
    <row r="837">
      <c r="A837" s="24" t="n"/>
      <c r="B837" s="15" t="n"/>
      <c r="C837" s="15" t="n"/>
      <c r="D837" s="15" t="n"/>
      <c r="E837" s="25" t="n"/>
      <c r="F837" s="25">
        <f>IF(E837="","",E837*0.065)</f>
        <v/>
      </c>
      <c r="G837" s="25">
        <f>IF(E837="","",E837*0.03+0.25)</f>
        <v/>
      </c>
      <c r="H837" s="25" t="n"/>
      <c r="I837" s="25" t="n"/>
      <c r="J837" s="25" t="n"/>
      <c r="K837" s="25" t="n"/>
      <c r="L837" s="25" t="n"/>
      <c r="M837" s="25">
        <f>IF(E837="","",F837+G837+H837+I837+J837+K837+L837)</f>
        <v/>
      </c>
      <c r="N837" s="25">
        <f>IF(E837="","",E837-M837)</f>
        <v/>
      </c>
      <c r="O837" s="15" t="n"/>
    </row>
    <row r="838">
      <c r="A838" s="26" t="n"/>
      <c r="B838" s="14" t="n"/>
      <c r="C838" s="14" t="n"/>
      <c r="D838" s="14" t="n"/>
      <c r="E838" s="27" t="n"/>
      <c r="F838" s="27">
        <f>IF(E838="","",E838*0.065)</f>
        <v/>
      </c>
      <c r="G838" s="27">
        <f>IF(E838="","",E838*0.03+0.25)</f>
        <v/>
      </c>
      <c r="H838" s="27" t="n"/>
      <c r="I838" s="27" t="n"/>
      <c r="J838" s="27" t="n"/>
      <c r="K838" s="27" t="n"/>
      <c r="L838" s="27" t="n"/>
      <c r="M838" s="27">
        <f>IF(E838="","",F838+G838+H838+I838+J838+K838+L838)</f>
        <v/>
      </c>
      <c r="N838" s="27">
        <f>IF(E838="","",E838-M838)</f>
        <v/>
      </c>
      <c r="O838" s="14" t="n"/>
    </row>
    <row r="839">
      <c r="A839" s="24" t="n"/>
      <c r="B839" s="15" t="n"/>
      <c r="C839" s="15" t="n"/>
      <c r="D839" s="15" t="n"/>
      <c r="E839" s="25" t="n"/>
      <c r="F839" s="25">
        <f>IF(E839="","",E839*0.065)</f>
        <v/>
      </c>
      <c r="G839" s="25">
        <f>IF(E839="","",E839*0.03+0.25)</f>
        <v/>
      </c>
      <c r="H839" s="25" t="n"/>
      <c r="I839" s="25" t="n"/>
      <c r="J839" s="25" t="n"/>
      <c r="K839" s="25" t="n"/>
      <c r="L839" s="25" t="n"/>
      <c r="M839" s="25">
        <f>IF(E839="","",F839+G839+H839+I839+J839+K839+L839)</f>
        <v/>
      </c>
      <c r="N839" s="25">
        <f>IF(E839="","",E839-M839)</f>
        <v/>
      </c>
      <c r="O839" s="15" t="n"/>
    </row>
    <row r="840">
      <c r="A840" s="26" t="n"/>
      <c r="B840" s="14" t="n"/>
      <c r="C840" s="14" t="n"/>
      <c r="D840" s="14" t="n"/>
      <c r="E840" s="27" t="n"/>
      <c r="F840" s="27">
        <f>IF(E840="","",E840*0.065)</f>
        <v/>
      </c>
      <c r="G840" s="27">
        <f>IF(E840="","",E840*0.03+0.25)</f>
        <v/>
      </c>
      <c r="H840" s="27" t="n"/>
      <c r="I840" s="27" t="n"/>
      <c r="J840" s="27" t="n"/>
      <c r="K840" s="27" t="n"/>
      <c r="L840" s="27" t="n"/>
      <c r="M840" s="27">
        <f>IF(E840="","",F840+G840+H840+I840+J840+K840+L840)</f>
        <v/>
      </c>
      <c r="N840" s="27">
        <f>IF(E840="","",E840-M840)</f>
        <v/>
      </c>
      <c r="O840" s="14" t="n"/>
    </row>
    <row r="841">
      <c r="A841" s="24" t="n"/>
      <c r="B841" s="15" t="n"/>
      <c r="C841" s="15" t="n"/>
      <c r="D841" s="15" t="n"/>
      <c r="E841" s="25" t="n"/>
      <c r="F841" s="25">
        <f>IF(E841="","",E841*0.065)</f>
        <v/>
      </c>
      <c r="G841" s="25">
        <f>IF(E841="","",E841*0.03+0.25)</f>
        <v/>
      </c>
      <c r="H841" s="25" t="n"/>
      <c r="I841" s="25" t="n"/>
      <c r="J841" s="25" t="n"/>
      <c r="K841" s="25" t="n"/>
      <c r="L841" s="25" t="n"/>
      <c r="M841" s="25">
        <f>IF(E841="","",F841+G841+H841+I841+J841+K841+L841)</f>
        <v/>
      </c>
      <c r="N841" s="25">
        <f>IF(E841="","",E841-M841)</f>
        <v/>
      </c>
      <c r="O841" s="15" t="n"/>
    </row>
    <row r="842">
      <c r="A842" s="26" t="n"/>
      <c r="B842" s="14" t="n"/>
      <c r="C842" s="14" t="n"/>
      <c r="D842" s="14" t="n"/>
      <c r="E842" s="27" t="n"/>
      <c r="F842" s="27">
        <f>IF(E842="","",E842*0.065)</f>
        <v/>
      </c>
      <c r="G842" s="27">
        <f>IF(E842="","",E842*0.03+0.25)</f>
        <v/>
      </c>
      <c r="H842" s="27" t="n"/>
      <c r="I842" s="27" t="n"/>
      <c r="J842" s="27" t="n"/>
      <c r="K842" s="27" t="n"/>
      <c r="L842" s="27" t="n"/>
      <c r="M842" s="27">
        <f>IF(E842="","",F842+G842+H842+I842+J842+K842+L842)</f>
        <v/>
      </c>
      <c r="N842" s="27">
        <f>IF(E842="","",E842-M842)</f>
        <v/>
      </c>
      <c r="O842" s="14" t="n"/>
    </row>
    <row r="843">
      <c r="A843" s="24" t="n"/>
      <c r="B843" s="15" t="n"/>
      <c r="C843" s="15" t="n"/>
      <c r="D843" s="15" t="n"/>
      <c r="E843" s="25" t="n"/>
      <c r="F843" s="25">
        <f>IF(E843="","",E843*0.065)</f>
        <v/>
      </c>
      <c r="G843" s="25">
        <f>IF(E843="","",E843*0.03+0.25)</f>
        <v/>
      </c>
      <c r="H843" s="25" t="n"/>
      <c r="I843" s="25" t="n"/>
      <c r="J843" s="25" t="n"/>
      <c r="K843" s="25" t="n"/>
      <c r="L843" s="25" t="n"/>
      <c r="M843" s="25">
        <f>IF(E843="","",F843+G843+H843+I843+J843+K843+L843)</f>
        <v/>
      </c>
      <c r="N843" s="25">
        <f>IF(E843="","",E843-M843)</f>
        <v/>
      </c>
      <c r="O843" s="15" t="n"/>
    </row>
    <row r="844">
      <c r="A844" s="26" t="n"/>
      <c r="B844" s="14" t="n"/>
      <c r="C844" s="14" t="n"/>
      <c r="D844" s="14" t="n"/>
      <c r="E844" s="27" t="n"/>
      <c r="F844" s="27">
        <f>IF(E844="","",E844*0.065)</f>
        <v/>
      </c>
      <c r="G844" s="27">
        <f>IF(E844="","",E844*0.03+0.25)</f>
        <v/>
      </c>
      <c r="H844" s="27" t="n"/>
      <c r="I844" s="27" t="n"/>
      <c r="J844" s="27" t="n"/>
      <c r="K844" s="27" t="n"/>
      <c r="L844" s="27" t="n"/>
      <c r="M844" s="27">
        <f>IF(E844="","",F844+G844+H844+I844+J844+K844+L844)</f>
        <v/>
      </c>
      <c r="N844" s="27">
        <f>IF(E844="","",E844-M844)</f>
        <v/>
      </c>
      <c r="O844" s="14" t="n"/>
    </row>
    <row r="845">
      <c r="A845" s="24" t="n"/>
      <c r="B845" s="15" t="n"/>
      <c r="C845" s="15" t="n"/>
      <c r="D845" s="15" t="n"/>
      <c r="E845" s="25" t="n"/>
      <c r="F845" s="25">
        <f>IF(E845="","",E845*0.065)</f>
        <v/>
      </c>
      <c r="G845" s="25">
        <f>IF(E845="","",E845*0.03+0.25)</f>
        <v/>
      </c>
      <c r="H845" s="25" t="n"/>
      <c r="I845" s="25" t="n"/>
      <c r="J845" s="25" t="n"/>
      <c r="K845" s="25" t="n"/>
      <c r="L845" s="25" t="n"/>
      <c r="M845" s="25">
        <f>IF(E845="","",F845+G845+H845+I845+J845+K845+L845)</f>
        <v/>
      </c>
      <c r="N845" s="25">
        <f>IF(E845="","",E845-M845)</f>
        <v/>
      </c>
      <c r="O845" s="15" t="n"/>
    </row>
    <row r="846">
      <c r="A846" s="26" t="n"/>
      <c r="B846" s="14" t="n"/>
      <c r="C846" s="14" t="n"/>
      <c r="D846" s="14" t="n"/>
      <c r="E846" s="27" t="n"/>
      <c r="F846" s="27">
        <f>IF(E846="","",E846*0.065)</f>
        <v/>
      </c>
      <c r="G846" s="27">
        <f>IF(E846="","",E846*0.03+0.25)</f>
        <v/>
      </c>
      <c r="H846" s="27" t="n"/>
      <c r="I846" s="27" t="n"/>
      <c r="J846" s="27" t="n"/>
      <c r="K846" s="27" t="n"/>
      <c r="L846" s="27" t="n"/>
      <c r="M846" s="27">
        <f>IF(E846="","",F846+G846+H846+I846+J846+K846+L846)</f>
        <v/>
      </c>
      <c r="N846" s="27">
        <f>IF(E846="","",E846-M846)</f>
        <v/>
      </c>
      <c r="O846" s="14" t="n"/>
    </row>
    <row r="847">
      <c r="A847" s="24" t="n"/>
      <c r="B847" s="15" t="n"/>
      <c r="C847" s="15" t="n"/>
      <c r="D847" s="15" t="n"/>
      <c r="E847" s="25" t="n"/>
      <c r="F847" s="25">
        <f>IF(E847="","",E847*0.065)</f>
        <v/>
      </c>
      <c r="G847" s="25">
        <f>IF(E847="","",E847*0.03+0.25)</f>
        <v/>
      </c>
      <c r="H847" s="25" t="n"/>
      <c r="I847" s="25" t="n"/>
      <c r="J847" s="25" t="n"/>
      <c r="K847" s="25" t="n"/>
      <c r="L847" s="25" t="n"/>
      <c r="M847" s="25">
        <f>IF(E847="","",F847+G847+H847+I847+J847+K847+L847)</f>
        <v/>
      </c>
      <c r="N847" s="25">
        <f>IF(E847="","",E847-M847)</f>
        <v/>
      </c>
      <c r="O847" s="15" t="n"/>
    </row>
    <row r="848">
      <c r="A848" s="26" t="n"/>
      <c r="B848" s="14" t="n"/>
      <c r="C848" s="14" t="n"/>
      <c r="D848" s="14" t="n"/>
      <c r="E848" s="27" t="n"/>
      <c r="F848" s="27">
        <f>IF(E848="","",E848*0.065)</f>
        <v/>
      </c>
      <c r="G848" s="27">
        <f>IF(E848="","",E848*0.03+0.25)</f>
        <v/>
      </c>
      <c r="H848" s="27" t="n"/>
      <c r="I848" s="27" t="n"/>
      <c r="J848" s="27" t="n"/>
      <c r="K848" s="27" t="n"/>
      <c r="L848" s="27" t="n"/>
      <c r="M848" s="27">
        <f>IF(E848="","",F848+G848+H848+I848+J848+K848+L848)</f>
        <v/>
      </c>
      <c r="N848" s="27">
        <f>IF(E848="","",E848-M848)</f>
        <v/>
      </c>
      <c r="O848" s="14" t="n"/>
    </row>
    <row r="849">
      <c r="A849" s="24" t="n"/>
      <c r="B849" s="15" t="n"/>
      <c r="C849" s="15" t="n"/>
      <c r="D849" s="15" t="n"/>
      <c r="E849" s="25" t="n"/>
      <c r="F849" s="25">
        <f>IF(E849="","",E849*0.065)</f>
        <v/>
      </c>
      <c r="G849" s="25">
        <f>IF(E849="","",E849*0.03+0.25)</f>
        <v/>
      </c>
      <c r="H849" s="25" t="n"/>
      <c r="I849" s="25" t="n"/>
      <c r="J849" s="25" t="n"/>
      <c r="K849" s="25" t="n"/>
      <c r="L849" s="25" t="n"/>
      <c r="M849" s="25">
        <f>IF(E849="","",F849+G849+H849+I849+J849+K849+L849)</f>
        <v/>
      </c>
      <c r="N849" s="25">
        <f>IF(E849="","",E849-M849)</f>
        <v/>
      </c>
      <c r="O849" s="15" t="n"/>
    </row>
    <row r="850">
      <c r="A850" s="26" t="n"/>
      <c r="B850" s="14" t="n"/>
      <c r="C850" s="14" t="n"/>
      <c r="D850" s="14" t="n"/>
      <c r="E850" s="27" t="n"/>
      <c r="F850" s="27">
        <f>IF(E850="","",E850*0.065)</f>
        <v/>
      </c>
      <c r="G850" s="27">
        <f>IF(E850="","",E850*0.03+0.25)</f>
        <v/>
      </c>
      <c r="H850" s="27" t="n"/>
      <c r="I850" s="27" t="n"/>
      <c r="J850" s="27" t="n"/>
      <c r="K850" s="27" t="n"/>
      <c r="L850" s="27" t="n"/>
      <c r="M850" s="27">
        <f>IF(E850="","",F850+G850+H850+I850+J850+K850+L850)</f>
        <v/>
      </c>
      <c r="N850" s="27">
        <f>IF(E850="","",E850-M850)</f>
        <v/>
      </c>
      <c r="O850" s="14" t="n"/>
    </row>
    <row r="851">
      <c r="A851" s="24" t="n"/>
      <c r="B851" s="15" t="n"/>
      <c r="C851" s="15" t="n"/>
      <c r="D851" s="15" t="n"/>
      <c r="E851" s="25" t="n"/>
      <c r="F851" s="25">
        <f>IF(E851="","",E851*0.065)</f>
        <v/>
      </c>
      <c r="G851" s="25">
        <f>IF(E851="","",E851*0.03+0.25)</f>
        <v/>
      </c>
      <c r="H851" s="25" t="n"/>
      <c r="I851" s="25" t="n"/>
      <c r="J851" s="25" t="n"/>
      <c r="K851" s="25" t="n"/>
      <c r="L851" s="25" t="n"/>
      <c r="M851" s="25">
        <f>IF(E851="","",F851+G851+H851+I851+J851+K851+L851)</f>
        <v/>
      </c>
      <c r="N851" s="25">
        <f>IF(E851="","",E851-M851)</f>
        <v/>
      </c>
      <c r="O851" s="15" t="n"/>
    </row>
    <row r="852">
      <c r="A852" s="26" t="n"/>
      <c r="B852" s="14" t="n"/>
      <c r="C852" s="14" t="n"/>
      <c r="D852" s="14" t="n"/>
      <c r="E852" s="27" t="n"/>
      <c r="F852" s="27">
        <f>IF(E852="","",E852*0.065)</f>
        <v/>
      </c>
      <c r="G852" s="27">
        <f>IF(E852="","",E852*0.03+0.25)</f>
        <v/>
      </c>
      <c r="H852" s="27" t="n"/>
      <c r="I852" s="27" t="n"/>
      <c r="J852" s="27" t="n"/>
      <c r="K852" s="27" t="n"/>
      <c r="L852" s="27" t="n"/>
      <c r="M852" s="27">
        <f>IF(E852="","",F852+G852+H852+I852+J852+K852+L852)</f>
        <v/>
      </c>
      <c r="N852" s="27">
        <f>IF(E852="","",E852-M852)</f>
        <v/>
      </c>
      <c r="O852" s="14" t="n"/>
    </row>
    <row r="853">
      <c r="A853" s="24" t="n"/>
      <c r="B853" s="15" t="n"/>
      <c r="C853" s="15" t="n"/>
      <c r="D853" s="15" t="n"/>
      <c r="E853" s="25" t="n"/>
      <c r="F853" s="25">
        <f>IF(E853="","",E853*0.065)</f>
        <v/>
      </c>
      <c r="G853" s="25">
        <f>IF(E853="","",E853*0.03+0.25)</f>
        <v/>
      </c>
      <c r="H853" s="25" t="n"/>
      <c r="I853" s="25" t="n"/>
      <c r="J853" s="25" t="n"/>
      <c r="K853" s="25" t="n"/>
      <c r="L853" s="25" t="n"/>
      <c r="M853" s="25">
        <f>IF(E853="","",F853+G853+H853+I853+J853+K853+L853)</f>
        <v/>
      </c>
      <c r="N853" s="25">
        <f>IF(E853="","",E853-M853)</f>
        <v/>
      </c>
      <c r="O853" s="15" t="n"/>
    </row>
    <row r="854">
      <c r="A854" s="26" t="n"/>
      <c r="B854" s="14" t="n"/>
      <c r="C854" s="14" t="n"/>
      <c r="D854" s="14" t="n"/>
      <c r="E854" s="27" t="n"/>
      <c r="F854" s="27">
        <f>IF(E854="","",E854*0.065)</f>
        <v/>
      </c>
      <c r="G854" s="27">
        <f>IF(E854="","",E854*0.03+0.25)</f>
        <v/>
      </c>
      <c r="H854" s="27" t="n"/>
      <c r="I854" s="27" t="n"/>
      <c r="J854" s="27" t="n"/>
      <c r="K854" s="27" t="n"/>
      <c r="L854" s="27" t="n"/>
      <c r="M854" s="27">
        <f>IF(E854="","",F854+G854+H854+I854+J854+K854+L854)</f>
        <v/>
      </c>
      <c r="N854" s="27">
        <f>IF(E854="","",E854-M854)</f>
        <v/>
      </c>
      <c r="O854" s="14" t="n"/>
    </row>
    <row r="855">
      <c r="A855" s="24" t="n"/>
      <c r="B855" s="15" t="n"/>
      <c r="C855" s="15" t="n"/>
      <c r="D855" s="15" t="n"/>
      <c r="E855" s="25" t="n"/>
      <c r="F855" s="25">
        <f>IF(E855="","",E855*0.065)</f>
        <v/>
      </c>
      <c r="G855" s="25">
        <f>IF(E855="","",E855*0.03+0.25)</f>
        <v/>
      </c>
      <c r="H855" s="25" t="n"/>
      <c r="I855" s="25" t="n"/>
      <c r="J855" s="25" t="n"/>
      <c r="K855" s="25" t="n"/>
      <c r="L855" s="25" t="n"/>
      <c r="M855" s="25">
        <f>IF(E855="","",F855+G855+H855+I855+J855+K855+L855)</f>
        <v/>
      </c>
      <c r="N855" s="25">
        <f>IF(E855="","",E855-M855)</f>
        <v/>
      </c>
      <c r="O855" s="15" t="n"/>
    </row>
    <row r="856">
      <c r="A856" s="26" t="n"/>
      <c r="B856" s="14" t="n"/>
      <c r="C856" s="14" t="n"/>
      <c r="D856" s="14" t="n"/>
      <c r="E856" s="27" t="n"/>
      <c r="F856" s="27">
        <f>IF(E856="","",E856*0.065)</f>
        <v/>
      </c>
      <c r="G856" s="27">
        <f>IF(E856="","",E856*0.03+0.25)</f>
        <v/>
      </c>
      <c r="H856" s="27" t="n"/>
      <c r="I856" s="27" t="n"/>
      <c r="J856" s="27" t="n"/>
      <c r="K856" s="27" t="n"/>
      <c r="L856" s="27" t="n"/>
      <c r="M856" s="27">
        <f>IF(E856="","",F856+G856+H856+I856+J856+K856+L856)</f>
        <v/>
      </c>
      <c r="N856" s="27">
        <f>IF(E856="","",E856-M856)</f>
        <v/>
      </c>
      <c r="O856" s="14" t="n"/>
    </row>
    <row r="857">
      <c r="A857" s="24" t="n"/>
      <c r="B857" s="15" t="n"/>
      <c r="C857" s="15" t="n"/>
      <c r="D857" s="15" t="n"/>
      <c r="E857" s="25" t="n"/>
      <c r="F857" s="25">
        <f>IF(E857="","",E857*0.065)</f>
        <v/>
      </c>
      <c r="G857" s="25">
        <f>IF(E857="","",E857*0.03+0.25)</f>
        <v/>
      </c>
      <c r="H857" s="25" t="n"/>
      <c r="I857" s="25" t="n"/>
      <c r="J857" s="25" t="n"/>
      <c r="K857" s="25" t="n"/>
      <c r="L857" s="25" t="n"/>
      <c r="M857" s="25">
        <f>IF(E857="","",F857+G857+H857+I857+J857+K857+L857)</f>
        <v/>
      </c>
      <c r="N857" s="25">
        <f>IF(E857="","",E857-M857)</f>
        <v/>
      </c>
      <c r="O857" s="15" t="n"/>
    </row>
    <row r="858">
      <c r="A858" s="26" t="n"/>
      <c r="B858" s="14" t="n"/>
      <c r="C858" s="14" t="n"/>
      <c r="D858" s="14" t="n"/>
      <c r="E858" s="27" t="n"/>
      <c r="F858" s="27">
        <f>IF(E858="","",E858*0.065)</f>
        <v/>
      </c>
      <c r="G858" s="27">
        <f>IF(E858="","",E858*0.03+0.25)</f>
        <v/>
      </c>
      <c r="H858" s="27" t="n"/>
      <c r="I858" s="27" t="n"/>
      <c r="J858" s="27" t="n"/>
      <c r="K858" s="27" t="n"/>
      <c r="L858" s="27" t="n"/>
      <c r="M858" s="27">
        <f>IF(E858="","",F858+G858+H858+I858+J858+K858+L858)</f>
        <v/>
      </c>
      <c r="N858" s="27">
        <f>IF(E858="","",E858-M858)</f>
        <v/>
      </c>
      <c r="O858" s="14" t="n"/>
    </row>
    <row r="859">
      <c r="A859" s="24" t="n"/>
      <c r="B859" s="15" t="n"/>
      <c r="C859" s="15" t="n"/>
      <c r="D859" s="15" t="n"/>
      <c r="E859" s="25" t="n"/>
      <c r="F859" s="25">
        <f>IF(E859="","",E859*0.065)</f>
        <v/>
      </c>
      <c r="G859" s="25">
        <f>IF(E859="","",E859*0.03+0.25)</f>
        <v/>
      </c>
      <c r="H859" s="25" t="n"/>
      <c r="I859" s="25" t="n"/>
      <c r="J859" s="25" t="n"/>
      <c r="K859" s="25" t="n"/>
      <c r="L859" s="25" t="n"/>
      <c r="M859" s="25">
        <f>IF(E859="","",F859+G859+H859+I859+J859+K859+L859)</f>
        <v/>
      </c>
      <c r="N859" s="25">
        <f>IF(E859="","",E859-M859)</f>
        <v/>
      </c>
      <c r="O859" s="15" t="n"/>
    </row>
    <row r="860">
      <c r="A860" s="26" t="n"/>
      <c r="B860" s="14" t="n"/>
      <c r="C860" s="14" t="n"/>
      <c r="D860" s="14" t="n"/>
      <c r="E860" s="27" t="n"/>
      <c r="F860" s="27">
        <f>IF(E860="","",E860*0.065)</f>
        <v/>
      </c>
      <c r="G860" s="27">
        <f>IF(E860="","",E860*0.03+0.25)</f>
        <v/>
      </c>
      <c r="H860" s="27" t="n"/>
      <c r="I860" s="27" t="n"/>
      <c r="J860" s="27" t="n"/>
      <c r="K860" s="27" t="n"/>
      <c r="L860" s="27" t="n"/>
      <c r="M860" s="27">
        <f>IF(E860="","",F860+G860+H860+I860+J860+K860+L860)</f>
        <v/>
      </c>
      <c r="N860" s="27">
        <f>IF(E860="","",E860-M860)</f>
        <v/>
      </c>
      <c r="O860" s="14" t="n"/>
    </row>
    <row r="861">
      <c r="A861" s="24" t="n"/>
      <c r="B861" s="15" t="n"/>
      <c r="C861" s="15" t="n"/>
      <c r="D861" s="15" t="n"/>
      <c r="E861" s="25" t="n"/>
      <c r="F861" s="25">
        <f>IF(E861="","",E861*0.065)</f>
        <v/>
      </c>
      <c r="G861" s="25">
        <f>IF(E861="","",E861*0.03+0.25)</f>
        <v/>
      </c>
      <c r="H861" s="25" t="n"/>
      <c r="I861" s="25" t="n"/>
      <c r="J861" s="25" t="n"/>
      <c r="K861" s="25" t="n"/>
      <c r="L861" s="25" t="n"/>
      <c r="M861" s="25">
        <f>IF(E861="","",F861+G861+H861+I861+J861+K861+L861)</f>
        <v/>
      </c>
      <c r="N861" s="25">
        <f>IF(E861="","",E861-M861)</f>
        <v/>
      </c>
      <c r="O861" s="15" t="n"/>
    </row>
    <row r="862">
      <c r="A862" s="26" t="n"/>
      <c r="B862" s="14" t="n"/>
      <c r="C862" s="14" t="n"/>
      <c r="D862" s="14" t="n"/>
      <c r="E862" s="27" t="n"/>
      <c r="F862" s="27">
        <f>IF(E862="","",E862*0.065)</f>
        <v/>
      </c>
      <c r="G862" s="27">
        <f>IF(E862="","",E862*0.03+0.25)</f>
        <v/>
      </c>
      <c r="H862" s="27" t="n"/>
      <c r="I862" s="27" t="n"/>
      <c r="J862" s="27" t="n"/>
      <c r="K862" s="27" t="n"/>
      <c r="L862" s="27" t="n"/>
      <c r="M862" s="27">
        <f>IF(E862="","",F862+G862+H862+I862+J862+K862+L862)</f>
        <v/>
      </c>
      <c r="N862" s="27">
        <f>IF(E862="","",E862-M862)</f>
        <v/>
      </c>
      <c r="O862" s="14" t="n"/>
    </row>
    <row r="863">
      <c r="A863" s="24" t="n"/>
      <c r="B863" s="15" t="n"/>
      <c r="C863" s="15" t="n"/>
      <c r="D863" s="15" t="n"/>
      <c r="E863" s="25" t="n"/>
      <c r="F863" s="25">
        <f>IF(E863="","",E863*0.065)</f>
        <v/>
      </c>
      <c r="G863" s="25">
        <f>IF(E863="","",E863*0.03+0.25)</f>
        <v/>
      </c>
      <c r="H863" s="25" t="n"/>
      <c r="I863" s="25" t="n"/>
      <c r="J863" s="25" t="n"/>
      <c r="K863" s="25" t="n"/>
      <c r="L863" s="25" t="n"/>
      <c r="M863" s="25">
        <f>IF(E863="","",F863+G863+H863+I863+J863+K863+L863)</f>
        <v/>
      </c>
      <c r="N863" s="25">
        <f>IF(E863="","",E863-M863)</f>
        <v/>
      </c>
      <c r="O863" s="15" t="n"/>
    </row>
    <row r="864">
      <c r="A864" s="26" t="n"/>
      <c r="B864" s="14" t="n"/>
      <c r="C864" s="14" t="n"/>
      <c r="D864" s="14" t="n"/>
      <c r="E864" s="27" t="n"/>
      <c r="F864" s="27">
        <f>IF(E864="","",E864*0.065)</f>
        <v/>
      </c>
      <c r="G864" s="27">
        <f>IF(E864="","",E864*0.03+0.25)</f>
        <v/>
      </c>
      <c r="H864" s="27" t="n"/>
      <c r="I864" s="27" t="n"/>
      <c r="J864" s="27" t="n"/>
      <c r="K864" s="27" t="n"/>
      <c r="L864" s="27" t="n"/>
      <c r="M864" s="27">
        <f>IF(E864="","",F864+G864+H864+I864+J864+K864+L864)</f>
        <v/>
      </c>
      <c r="N864" s="27">
        <f>IF(E864="","",E864-M864)</f>
        <v/>
      </c>
      <c r="O864" s="14" t="n"/>
    </row>
    <row r="865">
      <c r="A865" s="24" t="n"/>
      <c r="B865" s="15" t="n"/>
      <c r="C865" s="15" t="n"/>
      <c r="D865" s="15" t="n"/>
      <c r="E865" s="25" t="n"/>
      <c r="F865" s="25">
        <f>IF(E865="","",E865*0.065)</f>
        <v/>
      </c>
      <c r="G865" s="25">
        <f>IF(E865="","",E865*0.03+0.25)</f>
        <v/>
      </c>
      <c r="H865" s="25" t="n"/>
      <c r="I865" s="25" t="n"/>
      <c r="J865" s="25" t="n"/>
      <c r="K865" s="25" t="n"/>
      <c r="L865" s="25" t="n"/>
      <c r="M865" s="25">
        <f>IF(E865="","",F865+G865+H865+I865+J865+K865+L865)</f>
        <v/>
      </c>
      <c r="N865" s="25">
        <f>IF(E865="","",E865-M865)</f>
        <v/>
      </c>
      <c r="O865" s="15" t="n"/>
    </row>
    <row r="866">
      <c r="A866" s="26" t="n"/>
      <c r="B866" s="14" t="n"/>
      <c r="C866" s="14" t="n"/>
      <c r="D866" s="14" t="n"/>
      <c r="E866" s="27" t="n"/>
      <c r="F866" s="27">
        <f>IF(E866="","",E866*0.065)</f>
        <v/>
      </c>
      <c r="G866" s="27">
        <f>IF(E866="","",E866*0.03+0.25)</f>
        <v/>
      </c>
      <c r="H866" s="27" t="n"/>
      <c r="I866" s="27" t="n"/>
      <c r="J866" s="27" t="n"/>
      <c r="K866" s="27" t="n"/>
      <c r="L866" s="27" t="n"/>
      <c r="M866" s="27">
        <f>IF(E866="","",F866+G866+H866+I866+J866+K866+L866)</f>
        <v/>
      </c>
      <c r="N866" s="27">
        <f>IF(E866="","",E866-M866)</f>
        <v/>
      </c>
      <c r="O866" s="14" t="n"/>
    </row>
    <row r="867">
      <c r="A867" s="24" t="n"/>
      <c r="B867" s="15" t="n"/>
      <c r="C867" s="15" t="n"/>
      <c r="D867" s="15" t="n"/>
      <c r="E867" s="25" t="n"/>
      <c r="F867" s="25">
        <f>IF(E867="","",E867*0.065)</f>
        <v/>
      </c>
      <c r="G867" s="25">
        <f>IF(E867="","",E867*0.03+0.25)</f>
        <v/>
      </c>
      <c r="H867" s="25" t="n"/>
      <c r="I867" s="25" t="n"/>
      <c r="J867" s="25" t="n"/>
      <c r="K867" s="25" t="n"/>
      <c r="L867" s="25" t="n"/>
      <c r="M867" s="25">
        <f>IF(E867="","",F867+G867+H867+I867+J867+K867+L867)</f>
        <v/>
      </c>
      <c r="N867" s="25">
        <f>IF(E867="","",E867-M867)</f>
        <v/>
      </c>
      <c r="O867" s="15" t="n"/>
    </row>
    <row r="868">
      <c r="A868" s="26" t="n"/>
      <c r="B868" s="14" t="n"/>
      <c r="C868" s="14" t="n"/>
      <c r="D868" s="14" t="n"/>
      <c r="E868" s="27" t="n"/>
      <c r="F868" s="27">
        <f>IF(E868="","",E868*0.065)</f>
        <v/>
      </c>
      <c r="G868" s="27">
        <f>IF(E868="","",E868*0.03+0.25)</f>
        <v/>
      </c>
      <c r="H868" s="27" t="n"/>
      <c r="I868" s="27" t="n"/>
      <c r="J868" s="27" t="n"/>
      <c r="K868" s="27" t="n"/>
      <c r="L868" s="27" t="n"/>
      <c r="M868" s="27">
        <f>IF(E868="","",F868+G868+H868+I868+J868+K868+L868)</f>
        <v/>
      </c>
      <c r="N868" s="27">
        <f>IF(E868="","",E868-M868)</f>
        <v/>
      </c>
      <c r="O868" s="14" t="n"/>
    </row>
    <row r="869">
      <c r="A869" s="24" t="n"/>
      <c r="B869" s="15" t="n"/>
      <c r="C869" s="15" t="n"/>
      <c r="D869" s="15" t="n"/>
      <c r="E869" s="25" t="n"/>
      <c r="F869" s="25">
        <f>IF(E869="","",E869*0.065)</f>
        <v/>
      </c>
      <c r="G869" s="25">
        <f>IF(E869="","",E869*0.03+0.25)</f>
        <v/>
      </c>
      <c r="H869" s="25" t="n"/>
      <c r="I869" s="25" t="n"/>
      <c r="J869" s="25" t="n"/>
      <c r="K869" s="25" t="n"/>
      <c r="L869" s="25" t="n"/>
      <c r="M869" s="25">
        <f>IF(E869="","",F869+G869+H869+I869+J869+K869+L869)</f>
        <v/>
      </c>
      <c r="N869" s="25">
        <f>IF(E869="","",E869-M869)</f>
        <v/>
      </c>
      <c r="O869" s="15" t="n"/>
    </row>
    <row r="870">
      <c r="A870" s="26" t="n"/>
      <c r="B870" s="14" t="n"/>
      <c r="C870" s="14" t="n"/>
      <c r="D870" s="14" t="n"/>
      <c r="E870" s="27" t="n"/>
      <c r="F870" s="27">
        <f>IF(E870="","",E870*0.065)</f>
        <v/>
      </c>
      <c r="G870" s="27">
        <f>IF(E870="","",E870*0.03+0.25)</f>
        <v/>
      </c>
      <c r="H870" s="27" t="n"/>
      <c r="I870" s="27" t="n"/>
      <c r="J870" s="27" t="n"/>
      <c r="K870" s="27" t="n"/>
      <c r="L870" s="27" t="n"/>
      <c r="M870" s="27">
        <f>IF(E870="","",F870+G870+H870+I870+J870+K870+L870)</f>
        <v/>
      </c>
      <c r="N870" s="27">
        <f>IF(E870="","",E870-M870)</f>
        <v/>
      </c>
      <c r="O870" s="14" t="n"/>
    </row>
    <row r="871">
      <c r="A871" s="24" t="n"/>
      <c r="B871" s="15" t="n"/>
      <c r="C871" s="15" t="n"/>
      <c r="D871" s="15" t="n"/>
      <c r="E871" s="25" t="n"/>
      <c r="F871" s="25">
        <f>IF(E871="","",E871*0.065)</f>
        <v/>
      </c>
      <c r="G871" s="25">
        <f>IF(E871="","",E871*0.03+0.25)</f>
        <v/>
      </c>
      <c r="H871" s="25" t="n"/>
      <c r="I871" s="25" t="n"/>
      <c r="J871" s="25" t="n"/>
      <c r="K871" s="25" t="n"/>
      <c r="L871" s="25" t="n"/>
      <c r="M871" s="25">
        <f>IF(E871="","",F871+G871+H871+I871+J871+K871+L871)</f>
        <v/>
      </c>
      <c r="N871" s="25">
        <f>IF(E871="","",E871-M871)</f>
        <v/>
      </c>
      <c r="O871" s="15" t="n"/>
    </row>
    <row r="872">
      <c r="A872" s="26" t="n"/>
      <c r="B872" s="14" t="n"/>
      <c r="C872" s="14" t="n"/>
      <c r="D872" s="14" t="n"/>
      <c r="E872" s="27" t="n"/>
      <c r="F872" s="27">
        <f>IF(E872="","",E872*0.065)</f>
        <v/>
      </c>
      <c r="G872" s="27">
        <f>IF(E872="","",E872*0.03+0.25)</f>
        <v/>
      </c>
      <c r="H872" s="27" t="n"/>
      <c r="I872" s="27" t="n"/>
      <c r="J872" s="27" t="n"/>
      <c r="K872" s="27" t="n"/>
      <c r="L872" s="27" t="n"/>
      <c r="M872" s="27">
        <f>IF(E872="","",F872+G872+H872+I872+J872+K872+L872)</f>
        <v/>
      </c>
      <c r="N872" s="27">
        <f>IF(E872="","",E872-M872)</f>
        <v/>
      </c>
      <c r="O872" s="14" t="n"/>
    </row>
    <row r="873">
      <c r="A873" s="24" t="n"/>
      <c r="B873" s="15" t="n"/>
      <c r="C873" s="15" t="n"/>
      <c r="D873" s="15" t="n"/>
      <c r="E873" s="25" t="n"/>
      <c r="F873" s="25">
        <f>IF(E873="","",E873*0.065)</f>
        <v/>
      </c>
      <c r="G873" s="25">
        <f>IF(E873="","",E873*0.03+0.25)</f>
        <v/>
      </c>
      <c r="H873" s="25" t="n"/>
      <c r="I873" s="25" t="n"/>
      <c r="J873" s="25" t="n"/>
      <c r="K873" s="25" t="n"/>
      <c r="L873" s="25" t="n"/>
      <c r="M873" s="25">
        <f>IF(E873="","",F873+G873+H873+I873+J873+K873+L873)</f>
        <v/>
      </c>
      <c r="N873" s="25">
        <f>IF(E873="","",E873-M873)</f>
        <v/>
      </c>
      <c r="O873" s="15" t="n"/>
    </row>
    <row r="874">
      <c r="A874" s="26" t="n"/>
      <c r="B874" s="14" t="n"/>
      <c r="C874" s="14" t="n"/>
      <c r="D874" s="14" t="n"/>
      <c r="E874" s="27" t="n"/>
      <c r="F874" s="27">
        <f>IF(E874="","",E874*0.065)</f>
        <v/>
      </c>
      <c r="G874" s="27">
        <f>IF(E874="","",E874*0.03+0.25)</f>
        <v/>
      </c>
      <c r="H874" s="27" t="n"/>
      <c r="I874" s="27" t="n"/>
      <c r="J874" s="27" t="n"/>
      <c r="K874" s="27" t="n"/>
      <c r="L874" s="27" t="n"/>
      <c r="M874" s="27">
        <f>IF(E874="","",F874+G874+H874+I874+J874+K874+L874)</f>
        <v/>
      </c>
      <c r="N874" s="27">
        <f>IF(E874="","",E874-M874)</f>
        <v/>
      </c>
      <c r="O874" s="14" t="n"/>
    </row>
    <row r="875">
      <c r="A875" s="24" t="n"/>
      <c r="B875" s="15" t="n"/>
      <c r="C875" s="15" t="n"/>
      <c r="D875" s="15" t="n"/>
      <c r="E875" s="25" t="n"/>
      <c r="F875" s="25">
        <f>IF(E875="","",E875*0.065)</f>
        <v/>
      </c>
      <c r="G875" s="25">
        <f>IF(E875="","",E875*0.03+0.25)</f>
        <v/>
      </c>
      <c r="H875" s="25" t="n"/>
      <c r="I875" s="25" t="n"/>
      <c r="J875" s="25" t="n"/>
      <c r="K875" s="25" t="n"/>
      <c r="L875" s="25" t="n"/>
      <c r="M875" s="25">
        <f>IF(E875="","",F875+G875+H875+I875+J875+K875+L875)</f>
        <v/>
      </c>
      <c r="N875" s="25">
        <f>IF(E875="","",E875-M875)</f>
        <v/>
      </c>
      <c r="O875" s="15" t="n"/>
    </row>
    <row r="876">
      <c r="A876" s="26" t="n"/>
      <c r="B876" s="14" t="n"/>
      <c r="C876" s="14" t="n"/>
      <c r="D876" s="14" t="n"/>
      <c r="E876" s="27" t="n"/>
      <c r="F876" s="27">
        <f>IF(E876="","",E876*0.065)</f>
        <v/>
      </c>
      <c r="G876" s="27">
        <f>IF(E876="","",E876*0.03+0.25)</f>
        <v/>
      </c>
      <c r="H876" s="27" t="n"/>
      <c r="I876" s="27" t="n"/>
      <c r="J876" s="27" t="n"/>
      <c r="K876" s="27" t="n"/>
      <c r="L876" s="27" t="n"/>
      <c r="M876" s="27">
        <f>IF(E876="","",F876+G876+H876+I876+J876+K876+L876)</f>
        <v/>
      </c>
      <c r="N876" s="27">
        <f>IF(E876="","",E876-M876)</f>
        <v/>
      </c>
      <c r="O876" s="14" t="n"/>
    </row>
    <row r="877">
      <c r="A877" s="24" t="n"/>
      <c r="B877" s="15" t="n"/>
      <c r="C877" s="15" t="n"/>
      <c r="D877" s="15" t="n"/>
      <c r="E877" s="25" t="n"/>
      <c r="F877" s="25">
        <f>IF(E877="","",E877*0.065)</f>
        <v/>
      </c>
      <c r="G877" s="25">
        <f>IF(E877="","",E877*0.03+0.25)</f>
        <v/>
      </c>
      <c r="H877" s="25" t="n"/>
      <c r="I877" s="25" t="n"/>
      <c r="J877" s="25" t="n"/>
      <c r="K877" s="25" t="n"/>
      <c r="L877" s="25" t="n"/>
      <c r="M877" s="25">
        <f>IF(E877="","",F877+G877+H877+I877+J877+K877+L877)</f>
        <v/>
      </c>
      <c r="N877" s="25">
        <f>IF(E877="","",E877-M877)</f>
        <v/>
      </c>
      <c r="O877" s="15" t="n"/>
    </row>
    <row r="878">
      <c r="A878" s="26" t="n"/>
      <c r="B878" s="14" t="n"/>
      <c r="C878" s="14" t="n"/>
      <c r="D878" s="14" t="n"/>
      <c r="E878" s="27" t="n"/>
      <c r="F878" s="27">
        <f>IF(E878="","",E878*0.065)</f>
        <v/>
      </c>
      <c r="G878" s="27">
        <f>IF(E878="","",E878*0.03+0.25)</f>
        <v/>
      </c>
      <c r="H878" s="27" t="n"/>
      <c r="I878" s="27" t="n"/>
      <c r="J878" s="27" t="n"/>
      <c r="K878" s="27" t="n"/>
      <c r="L878" s="27" t="n"/>
      <c r="M878" s="27">
        <f>IF(E878="","",F878+G878+H878+I878+J878+K878+L878)</f>
        <v/>
      </c>
      <c r="N878" s="27">
        <f>IF(E878="","",E878-M878)</f>
        <v/>
      </c>
      <c r="O878" s="14" t="n"/>
    </row>
    <row r="879">
      <c r="A879" s="24" t="n"/>
      <c r="B879" s="15" t="n"/>
      <c r="C879" s="15" t="n"/>
      <c r="D879" s="15" t="n"/>
      <c r="E879" s="25" t="n"/>
      <c r="F879" s="25">
        <f>IF(E879="","",E879*0.065)</f>
        <v/>
      </c>
      <c r="G879" s="25">
        <f>IF(E879="","",E879*0.03+0.25)</f>
        <v/>
      </c>
      <c r="H879" s="25" t="n"/>
      <c r="I879" s="25" t="n"/>
      <c r="J879" s="25" t="n"/>
      <c r="K879" s="25" t="n"/>
      <c r="L879" s="25" t="n"/>
      <c r="M879" s="25">
        <f>IF(E879="","",F879+G879+H879+I879+J879+K879+L879)</f>
        <v/>
      </c>
      <c r="N879" s="25">
        <f>IF(E879="","",E879-M879)</f>
        <v/>
      </c>
      <c r="O879" s="15" t="n"/>
    </row>
    <row r="880">
      <c r="A880" s="26" t="n"/>
      <c r="B880" s="14" t="n"/>
      <c r="C880" s="14" t="n"/>
      <c r="D880" s="14" t="n"/>
      <c r="E880" s="27" t="n"/>
      <c r="F880" s="27">
        <f>IF(E880="","",E880*0.065)</f>
        <v/>
      </c>
      <c r="G880" s="27">
        <f>IF(E880="","",E880*0.03+0.25)</f>
        <v/>
      </c>
      <c r="H880" s="27" t="n"/>
      <c r="I880" s="27" t="n"/>
      <c r="J880" s="27" t="n"/>
      <c r="K880" s="27" t="n"/>
      <c r="L880" s="27" t="n"/>
      <c r="M880" s="27">
        <f>IF(E880="","",F880+G880+H880+I880+J880+K880+L880)</f>
        <v/>
      </c>
      <c r="N880" s="27">
        <f>IF(E880="","",E880-M880)</f>
        <v/>
      </c>
      <c r="O880" s="14" t="n"/>
    </row>
    <row r="881">
      <c r="A881" s="24" t="n"/>
      <c r="B881" s="15" t="n"/>
      <c r="C881" s="15" t="n"/>
      <c r="D881" s="15" t="n"/>
      <c r="E881" s="25" t="n"/>
      <c r="F881" s="25">
        <f>IF(E881="","",E881*0.065)</f>
        <v/>
      </c>
      <c r="G881" s="25">
        <f>IF(E881="","",E881*0.03+0.25)</f>
        <v/>
      </c>
      <c r="H881" s="25" t="n"/>
      <c r="I881" s="25" t="n"/>
      <c r="J881" s="25" t="n"/>
      <c r="K881" s="25" t="n"/>
      <c r="L881" s="25" t="n"/>
      <c r="M881" s="25">
        <f>IF(E881="","",F881+G881+H881+I881+J881+K881+L881)</f>
        <v/>
      </c>
      <c r="N881" s="25">
        <f>IF(E881="","",E881-M881)</f>
        <v/>
      </c>
      <c r="O881" s="15" t="n"/>
    </row>
    <row r="882">
      <c r="A882" s="26" t="n"/>
      <c r="B882" s="14" t="n"/>
      <c r="C882" s="14" t="n"/>
      <c r="D882" s="14" t="n"/>
      <c r="E882" s="27" t="n"/>
      <c r="F882" s="27">
        <f>IF(E882="","",E882*0.065)</f>
        <v/>
      </c>
      <c r="G882" s="27">
        <f>IF(E882="","",E882*0.03+0.25)</f>
        <v/>
      </c>
      <c r="H882" s="27" t="n"/>
      <c r="I882" s="27" t="n"/>
      <c r="J882" s="27" t="n"/>
      <c r="K882" s="27" t="n"/>
      <c r="L882" s="27" t="n"/>
      <c r="M882" s="27">
        <f>IF(E882="","",F882+G882+H882+I882+J882+K882+L882)</f>
        <v/>
      </c>
      <c r="N882" s="27">
        <f>IF(E882="","",E882-M882)</f>
        <v/>
      </c>
      <c r="O882" s="14" t="n"/>
    </row>
    <row r="883">
      <c r="A883" s="24" t="n"/>
      <c r="B883" s="15" t="n"/>
      <c r="C883" s="15" t="n"/>
      <c r="D883" s="15" t="n"/>
      <c r="E883" s="25" t="n"/>
      <c r="F883" s="25">
        <f>IF(E883="","",E883*0.065)</f>
        <v/>
      </c>
      <c r="G883" s="25">
        <f>IF(E883="","",E883*0.03+0.25)</f>
        <v/>
      </c>
      <c r="H883" s="25" t="n"/>
      <c r="I883" s="25" t="n"/>
      <c r="J883" s="25" t="n"/>
      <c r="K883" s="25" t="n"/>
      <c r="L883" s="25" t="n"/>
      <c r="M883" s="25">
        <f>IF(E883="","",F883+G883+H883+I883+J883+K883+L883)</f>
        <v/>
      </c>
      <c r="N883" s="25">
        <f>IF(E883="","",E883-M883)</f>
        <v/>
      </c>
      <c r="O883" s="15" t="n"/>
    </row>
    <row r="884">
      <c r="A884" s="26" t="n"/>
      <c r="B884" s="14" t="n"/>
      <c r="C884" s="14" t="n"/>
      <c r="D884" s="14" t="n"/>
      <c r="E884" s="27" t="n"/>
      <c r="F884" s="27">
        <f>IF(E884="","",E884*0.065)</f>
        <v/>
      </c>
      <c r="G884" s="27">
        <f>IF(E884="","",E884*0.03+0.25)</f>
        <v/>
      </c>
      <c r="H884" s="27" t="n"/>
      <c r="I884" s="27" t="n"/>
      <c r="J884" s="27" t="n"/>
      <c r="K884" s="27" t="n"/>
      <c r="L884" s="27" t="n"/>
      <c r="M884" s="27">
        <f>IF(E884="","",F884+G884+H884+I884+J884+K884+L884)</f>
        <v/>
      </c>
      <c r="N884" s="27">
        <f>IF(E884="","",E884-M884)</f>
        <v/>
      </c>
      <c r="O884" s="14" t="n"/>
    </row>
    <row r="885">
      <c r="A885" s="24" t="n"/>
      <c r="B885" s="15" t="n"/>
      <c r="C885" s="15" t="n"/>
      <c r="D885" s="15" t="n"/>
      <c r="E885" s="25" t="n"/>
      <c r="F885" s="25">
        <f>IF(E885="","",E885*0.065)</f>
        <v/>
      </c>
      <c r="G885" s="25">
        <f>IF(E885="","",E885*0.03+0.25)</f>
        <v/>
      </c>
      <c r="H885" s="25" t="n"/>
      <c r="I885" s="25" t="n"/>
      <c r="J885" s="25" t="n"/>
      <c r="K885" s="25" t="n"/>
      <c r="L885" s="25" t="n"/>
      <c r="M885" s="25">
        <f>IF(E885="","",F885+G885+H885+I885+J885+K885+L885)</f>
        <v/>
      </c>
      <c r="N885" s="25">
        <f>IF(E885="","",E885-M885)</f>
        <v/>
      </c>
      <c r="O885" s="15" t="n"/>
    </row>
    <row r="886">
      <c r="A886" s="26" t="n"/>
      <c r="B886" s="14" t="n"/>
      <c r="C886" s="14" t="n"/>
      <c r="D886" s="14" t="n"/>
      <c r="E886" s="27" t="n"/>
      <c r="F886" s="27">
        <f>IF(E886="","",E886*0.065)</f>
        <v/>
      </c>
      <c r="G886" s="27">
        <f>IF(E886="","",E886*0.03+0.25)</f>
        <v/>
      </c>
      <c r="H886" s="27" t="n"/>
      <c r="I886" s="27" t="n"/>
      <c r="J886" s="27" t="n"/>
      <c r="K886" s="27" t="n"/>
      <c r="L886" s="27" t="n"/>
      <c r="M886" s="27">
        <f>IF(E886="","",F886+G886+H886+I886+J886+K886+L886)</f>
        <v/>
      </c>
      <c r="N886" s="27">
        <f>IF(E886="","",E886-M886)</f>
        <v/>
      </c>
      <c r="O886" s="14" t="n"/>
    </row>
    <row r="887">
      <c r="A887" s="24" t="n"/>
      <c r="B887" s="15" t="n"/>
      <c r="C887" s="15" t="n"/>
      <c r="D887" s="15" t="n"/>
      <c r="E887" s="25" t="n"/>
      <c r="F887" s="25">
        <f>IF(E887="","",E887*0.065)</f>
        <v/>
      </c>
      <c r="G887" s="25">
        <f>IF(E887="","",E887*0.03+0.25)</f>
        <v/>
      </c>
      <c r="H887" s="25" t="n"/>
      <c r="I887" s="25" t="n"/>
      <c r="J887" s="25" t="n"/>
      <c r="K887" s="25" t="n"/>
      <c r="L887" s="25" t="n"/>
      <c r="M887" s="25">
        <f>IF(E887="","",F887+G887+H887+I887+J887+K887+L887)</f>
        <v/>
      </c>
      <c r="N887" s="25">
        <f>IF(E887="","",E887-M887)</f>
        <v/>
      </c>
      <c r="O887" s="15" t="n"/>
    </row>
    <row r="888">
      <c r="A888" s="26" t="n"/>
      <c r="B888" s="14" t="n"/>
      <c r="C888" s="14" t="n"/>
      <c r="D888" s="14" t="n"/>
      <c r="E888" s="27" t="n"/>
      <c r="F888" s="27">
        <f>IF(E888="","",E888*0.065)</f>
        <v/>
      </c>
      <c r="G888" s="27">
        <f>IF(E888="","",E888*0.03+0.25)</f>
        <v/>
      </c>
      <c r="H888" s="27" t="n"/>
      <c r="I888" s="27" t="n"/>
      <c r="J888" s="27" t="n"/>
      <c r="K888" s="27" t="n"/>
      <c r="L888" s="27" t="n"/>
      <c r="M888" s="27">
        <f>IF(E888="","",F888+G888+H888+I888+J888+K888+L888)</f>
        <v/>
      </c>
      <c r="N888" s="27">
        <f>IF(E888="","",E888-M888)</f>
        <v/>
      </c>
      <c r="O888" s="14" t="n"/>
    </row>
    <row r="889">
      <c r="A889" s="24" t="n"/>
      <c r="B889" s="15" t="n"/>
      <c r="C889" s="15" t="n"/>
      <c r="D889" s="15" t="n"/>
      <c r="E889" s="25" t="n"/>
      <c r="F889" s="25">
        <f>IF(E889="","",E889*0.065)</f>
        <v/>
      </c>
      <c r="G889" s="25">
        <f>IF(E889="","",E889*0.03+0.25)</f>
        <v/>
      </c>
      <c r="H889" s="25" t="n"/>
      <c r="I889" s="25" t="n"/>
      <c r="J889" s="25" t="n"/>
      <c r="K889" s="25" t="n"/>
      <c r="L889" s="25" t="n"/>
      <c r="M889" s="25">
        <f>IF(E889="","",F889+G889+H889+I889+J889+K889+L889)</f>
        <v/>
      </c>
      <c r="N889" s="25">
        <f>IF(E889="","",E889-M889)</f>
        <v/>
      </c>
      <c r="O889" s="15" t="n"/>
    </row>
    <row r="890">
      <c r="A890" s="26" t="n"/>
      <c r="B890" s="14" t="n"/>
      <c r="C890" s="14" t="n"/>
      <c r="D890" s="14" t="n"/>
      <c r="E890" s="27" t="n"/>
      <c r="F890" s="27">
        <f>IF(E890="","",E890*0.065)</f>
        <v/>
      </c>
      <c r="G890" s="27">
        <f>IF(E890="","",E890*0.03+0.25)</f>
        <v/>
      </c>
      <c r="H890" s="27" t="n"/>
      <c r="I890" s="27" t="n"/>
      <c r="J890" s="27" t="n"/>
      <c r="K890" s="27" t="n"/>
      <c r="L890" s="27" t="n"/>
      <c r="M890" s="27">
        <f>IF(E890="","",F890+G890+H890+I890+J890+K890+L890)</f>
        <v/>
      </c>
      <c r="N890" s="27">
        <f>IF(E890="","",E890-M890)</f>
        <v/>
      </c>
      <c r="O890" s="14" t="n"/>
    </row>
    <row r="891">
      <c r="A891" s="24" t="n"/>
      <c r="B891" s="15" t="n"/>
      <c r="C891" s="15" t="n"/>
      <c r="D891" s="15" t="n"/>
      <c r="E891" s="25" t="n"/>
      <c r="F891" s="25">
        <f>IF(E891="","",E891*0.065)</f>
        <v/>
      </c>
      <c r="G891" s="25">
        <f>IF(E891="","",E891*0.03+0.25)</f>
        <v/>
      </c>
      <c r="H891" s="25" t="n"/>
      <c r="I891" s="25" t="n"/>
      <c r="J891" s="25" t="n"/>
      <c r="K891" s="25" t="n"/>
      <c r="L891" s="25" t="n"/>
      <c r="M891" s="25">
        <f>IF(E891="","",F891+G891+H891+I891+J891+K891+L891)</f>
        <v/>
      </c>
      <c r="N891" s="25">
        <f>IF(E891="","",E891-M891)</f>
        <v/>
      </c>
      <c r="O891" s="15" t="n"/>
    </row>
    <row r="892">
      <c r="A892" s="26" t="n"/>
      <c r="B892" s="14" t="n"/>
      <c r="C892" s="14" t="n"/>
      <c r="D892" s="14" t="n"/>
      <c r="E892" s="27" t="n"/>
      <c r="F892" s="27">
        <f>IF(E892="","",E892*0.065)</f>
        <v/>
      </c>
      <c r="G892" s="27">
        <f>IF(E892="","",E892*0.03+0.25)</f>
        <v/>
      </c>
      <c r="H892" s="27" t="n"/>
      <c r="I892" s="27" t="n"/>
      <c r="J892" s="27" t="n"/>
      <c r="K892" s="27" t="n"/>
      <c r="L892" s="27" t="n"/>
      <c r="M892" s="27">
        <f>IF(E892="","",F892+G892+H892+I892+J892+K892+L892)</f>
        <v/>
      </c>
      <c r="N892" s="27">
        <f>IF(E892="","",E892-M892)</f>
        <v/>
      </c>
      <c r="O892" s="14" t="n"/>
    </row>
    <row r="893">
      <c r="A893" s="24" t="n"/>
      <c r="B893" s="15" t="n"/>
      <c r="C893" s="15" t="n"/>
      <c r="D893" s="15" t="n"/>
      <c r="E893" s="25" t="n"/>
      <c r="F893" s="25">
        <f>IF(E893="","",E893*0.065)</f>
        <v/>
      </c>
      <c r="G893" s="25">
        <f>IF(E893="","",E893*0.03+0.25)</f>
        <v/>
      </c>
      <c r="H893" s="25" t="n"/>
      <c r="I893" s="25" t="n"/>
      <c r="J893" s="25" t="n"/>
      <c r="K893" s="25" t="n"/>
      <c r="L893" s="25" t="n"/>
      <c r="M893" s="25">
        <f>IF(E893="","",F893+G893+H893+I893+J893+K893+L893)</f>
        <v/>
      </c>
      <c r="N893" s="25">
        <f>IF(E893="","",E893-M893)</f>
        <v/>
      </c>
      <c r="O893" s="15" t="n"/>
    </row>
    <row r="894">
      <c r="A894" s="26" t="n"/>
      <c r="B894" s="14" t="n"/>
      <c r="C894" s="14" t="n"/>
      <c r="D894" s="14" t="n"/>
      <c r="E894" s="27" t="n"/>
      <c r="F894" s="27">
        <f>IF(E894="","",E894*0.065)</f>
        <v/>
      </c>
      <c r="G894" s="27">
        <f>IF(E894="","",E894*0.03+0.25)</f>
        <v/>
      </c>
      <c r="H894" s="27" t="n"/>
      <c r="I894" s="27" t="n"/>
      <c r="J894" s="27" t="n"/>
      <c r="K894" s="27" t="n"/>
      <c r="L894" s="27" t="n"/>
      <c r="M894" s="27">
        <f>IF(E894="","",F894+G894+H894+I894+J894+K894+L894)</f>
        <v/>
      </c>
      <c r="N894" s="27">
        <f>IF(E894="","",E894-M894)</f>
        <v/>
      </c>
      <c r="O894" s="14" t="n"/>
    </row>
    <row r="895">
      <c r="A895" s="24" t="n"/>
      <c r="B895" s="15" t="n"/>
      <c r="C895" s="15" t="n"/>
      <c r="D895" s="15" t="n"/>
      <c r="E895" s="25" t="n"/>
      <c r="F895" s="25">
        <f>IF(E895="","",E895*0.065)</f>
        <v/>
      </c>
      <c r="G895" s="25">
        <f>IF(E895="","",E895*0.03+0.25)</f>
        <v/>
      </c>
      <c r="H895" s="25" t="n"/>
      <c r="I895" s="25" t="n"/>
      <c r="J895" s="25" t="n"/>
      <c r="K895" s="25" t="n"/>
      <c r="L895" s="25" t="n"/>
      <c r="M895" s="25">
        <f>IF(E895="","",F895+G895+H895+I895+J895+K895+L895)</f>
        <v/>
      </c>
      <c r="N895" s="25">
        <f>IF(E895="","",E895-M895)</f>
        <v/>
      </c>
      <c r="O895" s="15" t="n"/>
    </row>
    <row r="896">
      <c r="A896" s="26" t="n"/>
      <c r="B896" s="14" t="n"/>
      <c r="C896" s="14" t="n"/>
      <c r="D896" s="14" t="n"/>
      <c r="E896" s="27" t="n"/>
      <c r="F896" s="27">
        <f>IF(E896="","",E896*0.065)</f>
        <v/>
      </c>
      <c r="G896" s="27">
        <f>IF(E896="","",E896*0.03+0.25)</f>
        <v/>
      </c>
      <c r="H896" s="27" t="n"/>
      <c r="I896" s="27" t="n"/>
      <c r="J896" s="27" t="n"/>
      <c r="K896" s="27" t="n"/>
      <c r="L896" s="27" t="n"/>
      <c r="M896" s="27">
        <f>IF(E896="","",F896+G896+H896+I896+J896+K896+L896)</f>
        <v/>
      </c>
      <c r="N896" s="27">
        <f>IF(E896="","",E896-M896)</f>
        <v/>
      </c>
      <c r="O896" s="14" t="n"/>
    </row>
    <row r="897">
      <c r="A897" s="24" t="n"/>
      <c r="B897" s="15" t="n"/>
      <c r="C897" s="15" t="n"/>
      <c r="D897" s="15" t="n"/>
      <c r="E897" s="25" t="n"/>
      <c r="F897" s="25">
        <f>IF(E897="","",E897*0.065)</f>
        <v/>
      </c>
      <c r="G897" s="25">
        <f>IF(E897="","",E897*0.03+0.25)</f>
        <v/>
      </c>
      <c r="H897" s="25" t="n"/>
      <c r="I897" s="25" t="n"/>
      <c r="J897" s="25" t="n"/>
      <c r="K897" s="25" t="n"/>
      <c r="L897" s="25" t="n"/>
      <c r="M897" s="25">
        <f>IF(E897="","",F897+G897+H897+I897+J897+K897+L897)</f>
        <v/>
      </c>
      <c r="N897" s="25">
        <f>IF(E897="","",E897-M897)</f>
        <v/>
      </c>
      <c r="O897" s="15" t="n"/>
    </row>
    <row r="898">
      <c r="A898" s="26" t="n"/>
      <c r="B898" s="14" t="n"/>
      <c r="C898" s="14" t="n"/>
      <c r="D898" s="14" t="n"/>
      <c r="E898" s="27" t="n"/>
      <c r="F898" s="27">
        <f>IF(E898="","",E898*0.065)</f>
        <v/>
      </c>
      <c r="G898" s="27">
        <f>IF(E898="","",E898*0.03+0.25)</f>
        <v/>
      </c>
      <c r="H898" s="27" t="n"/>
      <c r="I898" s="27" t="n"/>
      <c r="J898" s="27" t="n"/>
      <c r="K898" s="27" t="n"/>
      <c r="L898" s="27" t="n"/>
      <c r="M898" s="27">
        <f>IF(E898="","",F898+G898+H898+I898+J898+K898+L898)</f>
        <v/>
      </c>
      <c r="N898" s="27">
        <f>IF(E898="","",E898-M898)</f>
        <v/>
      </c>
      <c r="O898" s="14" t="n"/>
    </row>
    <row r="899">
      <c r="A899" s="24" t="n"/>
      <c r="B899" s="15" t="n"/>
      <c r="C899" s="15" t="n"/>
      <c r="D899" s="15" t="n"/>
      <c r="E899" s="25" t="n"/>
      <c r="F899" s="25">
        <f>IF(E899="","",E899*0.065)</f>
        <v/>
      </c>
      <c r="G899" s="25">
        <f>IF(E899="","",E899*0.03+0.25)</f>
        <v/>
      </c>
      <c r="H899" s="25" t="n"/>
      <c r="I899" s="25" t="n"/>
      <c r="J899" s="25" t="n"/>
      <c r="K899" s="25" t="n"/>
      <c r="L899" s="25" t="n"/>
      <c r="M899" s="25">
        <f>IF(E899="","",F899+G899+H899+I899+J899+K899+L899)</f>
        <v/>
      </c>
      <c r="N899" s="25">
        <f>IF(E899="","",E899-M899)</f>
        <v/>
      </c>
      <c r="O899" s="15" t="n"/>
    </row>
    <row r="900">
      <c r="A900" s="26" t="n"/>
      <c r="B900" s="14" t="n"/>
      <c r="C900" s="14" t="n"/>
      <c r="D900" s="14" t="n"/>
      <c r="E900" s="27" t="n"/>
      <c r="F900" s="27">
        <f>IF(E900="","",E900*0.065)</f>
        <v/>
      </c>
      <c r="G900" s="27">
        <f>IF(E900="","",E900*0.03+0.25)</f>
        <v/>
      </c>
      <c r="H900" s="27" t="n"/>
      <c r="I900" s="27" t="n"/>
      <c r="J900" s="27" t="n"/>
      <c r="K900" s="27" t="n"/>
      <c r="L900" s="27" t="n"/>
      <c r="M900" s="27">
        <f>IF(E900="","",F900+G900+H900+I900+J900+K900+L900)</f>
        <v/>
      </c>
      <c r="N900" s="27">
        <f>IF(E900="","",E900-M900)</f>
        <v/>
      </c>
      <c r="O900" s="14" t="n"/>
    </row>
    <row r="901">
      <c r="A901" s="24" t="n"/>
      <c r="B901" s="15" t="n"/>
      <c r="C901" s="15" t="n"/>
      <c r="D901" s="15" t="n"/>
      <c r="E901" s="25" t="n"/>
      <c r="F901" s="25">
        <f>IF(E901="","",E901*0.065)</f>
        <v/>
      </c>
      <c r="G901" s="25">
        <f>IF(E901="","",E901*0.03+0.25)</f>
        <v/>
      </c>
      <c r="H901" s="25" t="n"/>
      <c r="I901" s="25" t="n"/>
      <c r="J901" s="25" t="n"/>
      <c r="K901" s="25" t="n"/>
      <c r="L901" s="25" t="n"/>
      <c r="M901" s="25">
        <f>IF(E901="","",F901+G901+H901+I901+J901+K901+L901)</f>
        <v/>
      </c>
      <c r="N901" s="25">
        <f>IF(E901="","",E901-M901)</f>
        <v/>
      </c>
      <c r="O901" s="15" t="n"/>
    </row>
    <row r="902">
      <c r="A902" s="26" t="n"/>
      <c r="B902" s="14" t="n"/>
      <c r="C902" s="14" t="n"/>
      <c r="D902" s="14" t="n"/>
      <c r="E902" s="27" t="n"/>
      <c r="F902" s="27">
        <f>IF(E902="","",E902*0.065)</f>
        <v/>
      </c>
      <c r="G902" s="27">
        <f>IF(E902="","",E902*0.03+0.25)</f>
        <v/>
      </c>
      <c r="H902" s="27" t="n"/>
      <c r="I902" s="27" t="n"/>
      <c r="J902" s="27" t="n"/>
      <c r="K902" s="27" t="n"/>
      <c r="L902" s="27" t="n"/>
      <c r="M902" s="27">
        <f>IF(E902="","",F902+G902+H902+I902+J902+K902+L902)</f>
        <v/>
      </c>
      <c r="N902" s="27">
        <f>IF(E902="","",E902-M902)</f>
        <v/>
      </c>
      <c r="O902" s="14" t="n"/>
    </row>
    <row r="903">
      <c r="A903" s="24" t="n"/>
      <c r="B903" s="15" t="n"/>
      <c r="C903" s="15" t="n"/>
      <c r="D903" s="15" t="n"/>
      <c r="E903" s="25" t="n"/>
      <c r="F903" s="25">
        <f>IF(E903="","",E903*0.065)</f>
        <v/>
      </c>
      <c r="G903" s="25">
        <f>IF(E903="","",E903*0.03+0.25)</f>
        <v/>
      </c>
      <c r="H903" s="25" t="n"/>
      <c r="I903" s="25" t="n"/>
      <c r="J903" s="25" t="n"/>
      <c r="K903" s="25" t="n"/>
      <c r="L903" s="25" t="n"/>
      <c r="M903" s="25">
        <f>IF(E903="","",F903+G903+H903+I903+J903+K903+L903)</f>
        <v/>
      </c>
      <c r="N903" s="25">
        <f>IF(E903="","",E903-M903)</f>
        <v/>
      </c>
      <c r="O903" s="15" t="n"/>
    </row>
    <row r="904">
      <c r="A904" s="26" t="n"/>
      <c r="B904" s="14" t="n"/>
      <c r="C904" s="14" t="n"/>
      <c r="D904" s="14" t="n"/>
      <c r="E904" s="27" t="n"/>
      <c r="F904" s="27">
        <f>IF(E904="","",E904*0.065)</f>
        <v/>
      </c>
      <c r="G904" s="27">
        <f>IF(E904="","",E904*0.03+0.25)</f>
        <v/>
      </c>
      <c r="H904" s="27" t="n"/>
      <c r="I904" s="27" t="n"/>
      <c r="J904" s="27" t="n"/>
      <c r="K904" s="27" t="n"/>
      <c r="L904" s="27" t="n"/>
      <c r="M904" s="27">
        <f>IF(E904="","",F904+G904+H904+I904+J904+K904+L904)</f>
        <v/>
      </c>
      <c r="N904" s="27">
        <f>IF(E904="","",E904-M904)</f>
        <v/>
      </c>
      <c r="O904" s="14" t="n"/>
    </row>
    <row r="905">
      <c r="A905" s="24" t="n"/>
      <c r="B905" s="15" t="n"/>
      <c r="C905" s="15" t="n"/>
      <c r="D905" s="15" t="n"/>
      <c r="E905" s="25" t="n"/>
      <c r="F905" s="25">
        <f>IF(E905="","",E905*0.065)</f>
        <v/>
      </c>
      <c r="G905" s="25">
        <f>IF(E905="","",E905*0.03+0.25)</f>
        <v/>
      </c>
      <c r="H905" s="25" t="n"/>
      <c r="I905" s="25" t="n"/>
      <c r="J905" s="25" t="n"/>
      <c r="K905" s="25" t="n"/>
      <c r="L905" s="25" t="n"/>
      <c r="M905" s="25">
        <f>IF(E905="","",F905+G905+H905+I905+J905+K905+L905)</f>
        <v/>
      </c>
      <c r="N905" s="25">
        <f>IF(E905="","",E905-M905)</f>
        <v/>
      </c>
      <c r="O905" s="15" t="n"/>
    </row>
    <row r="906">
      <c r="A906" s="26" t="n"/>
      <c r="B906" s="14" t="n"/>
      <c r="C906" s="14" t="n"/>
      <c r="D906" s="14" t="n"/>
      <c r="E906" s="27" t="n"/>
      <c r="F906" s="27">
        <f>IF(E906="","",E906*0.065)</f>
        <v/>
      </c>
      <c r="G906" s="27">
        <f>IF(E906="","",E906*0.03+0.25)</f>
        <v/>
      </c>
      <c r="H906" s="27" t="n"/>
      <c r="I906" s="27" t="n"/>
      <c r="J906" s="27" t="n"/>
      <c r="K906" s="27" t="n"/>
      <c r="L906" s="27" t="n"/>
      <c r="M906" s="27">
        <f>IF(E906="","",F906+G906+H906+I906+J906+K906+L906)</f>
        <v/>
      </c>
      <c r="N906" s="27">
        <f>IF(E906="","",E906-M906)</f>
        <v/>
      </c>
      <c r="O906" s="14" t="n"/>
    </row>
    <row r="907">
      <c r="A907" s="24" t="n"/>
      <c r="B907" s="15" t="n"/>
      <c r="C907" s="15" t="n"/>
      <c r="D907" s="15" t="n"/>
      <c r="E907" s="25" t="n"/>
      <c r="F907" s="25">
        <f>IF(E907="","",E907*0.065)</f>
        <v/>
      </c>
      <c r="G907" s="25">
        <f>IF(E907="","",E907*0.03+0.25)</f>
        <v/>
      </c>
      <c r="H907" s="25" t="n"/>
      <c r="I907" s="25" t="n"/>
      <c r="J907" s="25" t="n"/>
      <c r="K907" s="25" t="n"/>
      <c r="L907" s="25" t="n"/>
      <c r="M907" s="25">
        <f>IF(E907="","",F907+G907+H907+I907+J907+K907+L907)</f>
        <v/>
      </c>
      <c r="N907" s="25">
        <f>IF(E907="","",E907-M907)</f>
        <v/>
      </c>
      <c r="O907" s="15" t="n"/>
    </row>
    <row r="908">
      <c r="A908" s="26" t="n"/>
      <c r="B908" s="14" t="n"/>
      <c r="C908" s="14" t="n"/>
      <c r="D908" s="14" t="n"/>
      <c r="E908" s="27" t="n"/>
      <c r="F908" s="27">
        <f>IF(E908="","",E908*0.065)</f>
        <v/>
      </c>
      <c r="G908" s="27">
        <f>IF(E908="","",E908*0.03+0.25)</f>
        <v/>
      </c>
      <c r="H908" s="27" t="n"/>
      <c r="I908" s="27" t="n"/>
      <c r="J908" s="27" t="n"/>
      <c r="K908" s="27" t="n"/>
      <c r="L908" s="27" t="n"/>
      <c r="M908" s="27">
        <f>IF(E908="","",F908+G908+H908+I908+J908+K908+L908)</f>
        <v/>
      </c>
      <c r="N908" s="27">
        <f>IF(E908="","",E908-M908)</f>
        <v/>
      </c>
      <c r="O908" s="14" t="n"/>
    </row>
    <row r="909">
      <c r="A909" s="24" t="n"/>
      <c r="B909" s="15" t="n"/>
      <c r="C909" s="15" t="n"/>
      <c r="D909" s="15" t="n"/>
      <c r="E909" s="25" t="n"/>
      <c r="F909" s="25">
        <f>IF(E909="","",E909*0.065)</f>
        <v/>
      </c>
      <c r="G909" s="25">
        <f>IF(E909="","",E909*0.03+0.25)</f>
        <v/>
      </c>
      <c r="H909" s="25" t="n"/>
      <c r="I909" s="25" t="n"/>
      <c r="J909" s="25" t="n"/>
      <c r="K909" s="25" t="n"/>
      <c r="L909" s="25" t="n"/>
      <c r="M909" s="25">
        <f>IF(E909="","",F909+G909+H909+I909+J909+K909+L909)</f>
        <v/>
      </c>
      <c r="N909" s="25">
        <f>IF(E909="","",E909-M909)</f>
        <v/>
      </c>
      <c r="O909" s="15" t="n"/>
    </row>
    <row r="910">
      <c r="A910" s="26" t="n"/>
      <c r="B910" s="14" t="n"/>
      <c r="C910" s="14" t="n"/>
      <c r="D910" s="14" t="n"/>
      <c r="E910" s="27" t="n"/>
      <c r="F910" s="27">
        <f>IF(E910="","",E910*0.065)</f>
        <v/>
      </c>
      <c r="G910" s="27">
        <f>IF(E910="","",E910*0.03+0.25)</f>
        <v/>
      </c>
      <c r="H910" s="27" t="n"/>
      <c r="I910" s="27" t="n"/>
      <c r="J910" s="27" t="n"/>
      <c r="K910" s="27" t="n"/>
      <c r="L910" s="27" t="n"/>
      <c r="M910" s="27">
        <f>IF(E910="","",F910+G910+H910+I910+J910+K910+L910)</f>
        <v/>
      </c>
      <c r="N910" s="27">
        <f>IF(E910="","",E910-M910)</f>
        <v/>
      </c>
      <c r="O910" s="14" t="n"/>
    </row>
    <row r="911">
      <c r="A911" s="24" t="n"/>
      <c r="B911" s="15" t="n"/>
      <c r="C911" s="15" t="n"/>
      <c r="D911" s="15" t="n"/>
      <c r="E911" s="25" t="n"/>
      <c r="F911" s="25">
        <f>IF(E911="","",E911*0.065)</f>
        <v/>
      </c>
      <c r="G911" s="25">
        <f>IF(E911="","",E911*0.03+0.25)</f>
        <v/>
      </c>
      <c r="H911" s="25" t="n"/>
      <c r="I911" s="25" t="n"/>
      <c r="J911" s="25" t="n"/>
      <c r="K911" s="25" t="n"/>
      <c r="L911" s="25" t="n"/>
      <c r="M911" s="25">
        <f>IF(E911="","",F911+G911+H911+I911+J911+K911+L911)</f>
        <v/>
      </c>
      <c r="N911" s="25">
        <f>IF(E911="","",E911-M911)</f>
        <v/>
      </c>
      <c r="O911" s="15" t="n"/>
    </row>
    <row r="912">
      <c r="A912" s="26" t="n"/>
      <c r="B912" s="14" t="n"/>
      <c r="C912" s="14" t="n"/>
      <c r="D912" s="14" t="n"/>
      <c r="E912" s="27" t="n"/>
      <c r="F912" s="27">
        <f>IF(E912="","",E912*0.065)</f>
        <v/>
      </c>
      <c r="G912" s="27">
        <f>IF(E912="","",E912*0.03+0.25)</f>
        <v/>
      </c>
      <c r="H912" s="27" t="n"/>
      <c r="I912" s="27" t="n"/>
      <c r="J912" s="27" t="n"/>
      <c r="K912" s="27" t="n"/>
      <c r="L912" s="27" t="n"/>
      <c r="M912" s="27">
        <f>IF(E912="","",F912+G912+H912+I912+J912+K912+L912)</f>
        <v/>
      </c>
      <c r="N912" s="27">
        <f>IF(E912="","",E912-M912)</f>
        <v/>
      </c>
      <c r="O912" s="14" t="n"/>
    </row>
    <row r="913">
      <c r="A913" s="24" t="n"/>
      <c r="B913" s="15" t="n"/>
      <c r="C913" s="15" t="n"/>
      <c r="D913" s="15" t="n"/>
      <c r="E913" s="25" t="n"/>
      <c r="F913" s="25">
        <f>IF(E913="","",E913*0.065)</f>
        <v/>
      </c>
      <c r="G913" s="25">
        <f>IF(E913="","",E913*0.03+0.25)</f>
        <v/>
      </c>
      <c r="H913" s="25" t="n"/>
      <c r="I913" s="25" t="n"/>
      <c r="J913" s="25" t="n"/>
      <c r="K913" s="25" t="n"/>
      <c r="L913" s="25" t="n"/>
      <c r="M913" s="25">
        <f>IF(E913="","",F913+G913+H913+I913+J913+K913+L913)</f>
        <v/>
      </c>
      <c r="N913" s="25">
        <f>IF(E913="","",E913-M913)</f>
        <v/>
      </c>
      <c r="O913" s="15" t="n"/>
    </row>
    <row r="914">
      <c r="A914" s="26" t="n"/>
      <c r="B914" s="14" t="n"/>
      <c r="C914" s="14" t="n"/>
      <c r="D914" s="14" t="n"/>
      <c r="E914" s="27" t="n"/>
      <c r="F914" s="27">
        <f>IF(E914="","",E914*0.065)</f>
        <v/>
      </c>
      <c r="G914" s="27">
        <f>IF(E914="","",E914*0.03+0.25)</f>
        <v/>
      </c>
      <c r="H914" s="27" t="n"/>
      <c r="I914" s="27" t="n"/>
      <c r="J914" s="27" t="n"/>
      <c r="K914" s="27" t="n"/>
      <c r="L914" s="27" t="n"/>
      <c r="M914" s="27">
        <f>IF(E914="","",F914+G914+H914+I914+J914+K914+L914)</f>
        <v/>
      </c>
      <c r="N914" s="27">
        <f>IF(E914="","",E914-M914)</f>
        <v/>
      </c>
      <c r="O914" s="14" t="n"/>
    </row>
    <row r="915">
      <c r="A915" s="24" t="n"/>
      <c r="B915" s="15" t="n"/>
      <c r="C915" s="15" t="n"/>
      <c r="D915" s="15" t="n"/>
      <c r="E915" s="25" t="n"/>
      <c r="F915" s="25">
        <f>IF(E915="","",E915*0.065)</f>
        <v/>
      </c>
      <c r="G915" s="25">
        <f>IF(E915="","",E915*0.03+0.25)</f>
        <v/>
      </c>
      <c r="H915" s="25" t="n"/>
      <c r="I915" s="25" t="n"/>
      <c r="J915" s="25" t="n"/>
      <c r="K915" s="25" t="n"/>
      <c r="L915" s="25" t="n"/>
      <c r="M915" s="25">
        <f>IF(E915="","",F915+G915+H915+I915+J915+K915+L915)</f>
        <v/>
      </c>
      <c r="N915" s="25">
        <f>IF(E915="","",E915-M915)</f>
        <v/>
      </c>
      <c r="O915" s="15" t="n"/>
    </row>
    <row r="916">
      <c r="A916" s="26" t="n"/>
      <c r="B916" s="14" t="n"/>
      <c r="C916" s="14" t="n"/>
      <c r="D916" s="14" t="n"/>
      <c r="E916" s="27" t="n"/>
      <c r="F916" s="27">
        <f>IF(E916="","",E916*0.065)</f>
        <v/>
      </c>
      <c r="G916" s="27">
        <f>IF(E916="","",E916*0.03+0.25)</f>
        <v/>
      </c>
      <c r="H916" s="27" t="n"/>
      <c r="I916" s="27" t="n"/>
      <c r="J916" s="27" t="n"/>
      <c r="K916" s="27" t="n"/>
      <c r="L916" s="27" t="n"/>
      <c r="M916" s="27">
        <f>IF(E916="","",F916+G916+H916+I916+J916+K916+L916)</f>
        <v/>
      </c>
      <c r="N916" s="27">
        <f>IF(E916="","",E916-M916)</f>
        <v/>
      </c>
      <c r="O916" s="14" t="n"/>
    </row>
    <row r="917">
      <c r="A917" s="24" t="n"/>
      <c r="B917" s="15" t="n"/>
      <c r="C917" s="15" t="n"/>
      <c r="D917" s="15" t="n"/>
      <c r="E917" s="25" t="n"/>
      <c r="F917" s="25">
        <f>IF(E917="","",E917*0.065)</f>
        <v/>
      </c>
      <c r="G917" s="25">
        <f>IF(E917="","",E917*0.03+0.25)</f>
        <v/>
      </c>
      <c r="H917" s="25" t="n"/>
      <c r="I917" s="25" t="n"/>
      <c r="J917" s="25" t="n"/>
      <c r="K917" s="25" t="n"/>
      <c r="L917" s="25" t="n"/>
      <c r="M917" s="25">
        <f>IF(E917="","",F917+G917+H917+I917+J917+K917+L917)</f>
        <v/>
      </c>
      <c r="N917" s="25">
        <f>IF(E917="","",E917-M917)</f>
        <v/>
      </c>
      <c r="O917" s="15" t="n"/>
    </row>
    <row r="918">
      <c r="A918" s="26" t="n"/>
      <c r="B918" s="14" t="n"/>
      <c r="C918" s="14" t="n"/>
      <c r="D918" s="14" t="n"/>
      <c r="E918" s="27" t="n"/>
      <c r="F918" s="27">
        <f>IF(E918="","",E918*0.065)</f>
        <v/>
      </c>
      <c r="G918" s="27">
        <f>IF(E918="","",E918*0.03+0.25)</f>
        <v/>
      </c>
      <c r="H918" s="27" t="n"/>
      <c r="I918" s="27" t="n"/>
      <c r="J918" s="27" t="n"/>
      <c r="K918" s="27" t="n"/>
      <c r="L918" s="27" t="n"/>
      <c r="M918" s="27">
        <f>IF(E918="","",F918+G918+H918+I918+J918+K918+L918)</f>
        <v/>
      </c>
      <c r="N918" s="27">
        <f>IF(E918="","",E918-M918)</f>
        <v/>
      </c>
      <c r="O918" s="14" t="n"/>
    </row>
    <row r="919">
      <c r="A919" s="24" t="n"/>
      <c r="B919" s="15" t="n"/>
      <c r="C919" s="15" t="n"/>
      <c r="D919" s="15" t="n"/>
      <c r="E919" s="25" t="n"/>
      <c r="F919" s="25">
        <f>IF(E919="","",E919*0.065)</f>
        <v/>
      </c>
      <c r="G919" s="25">
        <f>IF(E919="","",E919*0.03+0.25)</f>
        <v/>
      </c>
      <c r="H919" s="25" t="n"/>
      <c r="I919" s="25" t="n"/>
      <c r="J919" s="25" t="n"/>
      <c r="K919" s="25" t="n"/>
      <c r="L919" s="25" t="n"/>
      <c r="M919" s="25">
        <f>IF(E919="","",F919+G919+H919+I919+J919+K919+L919)</f>
        <v/>
      </c>
      <c r="N919" s="25">
        <f>IF(E919="","",E919-M919)</f>
        <v/>
      </c>
      <c r="O919" s="15" t="n"/>
    </row>
    <row r="920">
      <c r="A920" s="26" t="n"/>
      <c r="B920" s="14" t="n"/>
      <c r="C920" s="14" t="n"/>
      <c r="D920" s="14" t="n"/>
      <c r="E920" s="27" t="n"/>
      <c r="F920" s="27">
        <f>IF(E920="","",E920*0.065)</f>
        <v/>
      </c>
      <c r="G920" s="27">
        <f>IF(E920="","",E920*0.03+0.25)</f>
        <v/>
      </c>
      <c r="H920" s="27" t="n"/>
      <c r="I920" s="27" t="n"/>
      <c r="J920" s="27" t="n"/>
      <c r="K920" s="27" t="n"/>
      <c r="L920" s="27" t="n"/>
      <c r="M920" s="27">
        <f>IF(E920="","",F920+G920+H920+I920+J920+K920+L920)</f>
        <v/>
      </c>
      <c r="N920" s="27">
        <f>IF(E920="","",E920-M920)</f>
        <v/>
      </c>
      <c r="O920" s="14" t="n"/>
    </row>
    <row r="921">
      <c r="A921" s="24" t="n"/>
      <c r="B921" s="15" t="n"/>
      <c r="C921" s="15" t="n"/>
      <c r="D921" s="15" t="n"/>
      <c r="E921" s="25" t="n"/>
      <c r="F921" s="25">
        <f>IF(E921="","",E921*0.065)</f>
        <v/>
      </c>
      <c r="G921" s="25">
        <f>IF(E921="","",E921*0.03+0.25)</f>
        <v/>
      </c>
      <c r="H921" s="25" t="n"/>
      <c r="I921" s="25" t="n"/>
      <c r="J921" s="25" t="n"/>
      <c r="K921" s="25" t="n"/>
      <c r="L921" s="25" t="n"/>
      <c r="M921" s="25">
        <f>IF(E921="","",F921+G921+H921+I921+J921+K921+L921)</f>
        <v/>
      </c>
      <c r="N921" s="25">
        <f>IF(E921="","",E921-M921)</f>
        <v/>
      </c>
      <c r="O921" s="15" t="n"/>
    </row>
    <row r="922">
      <c r="A922" s="26" t="n"/>
      <c r="B922" s="14" t="n"/>
      <c r="C922" s="14" t="n"/>
      <c r="D922" s="14" t="n"/>
      <c r="E922" s="27" t="n"/>
      <c r="F922" s="27">
        <f>IF(E922="","",E922*0.065)</f>
        <v/>
      </c>
      <c r="G922" s="27">
        <f>IF(E922="","",E922*0.03+0.25)</f>
        <v/>
      </c>
      <c r="H922" s="27" t="n"/>
      <c r="I922" s="27" t="n"/>
      <c r="J922" s="27" t="n"/>
      <c r="K922" s="27" t="n"/>
      <c r="L922" s="27" t="n"/>
      <c r="M922" s="27">
        <f>IF(E922="","",F922+G922+H922+I922+J922+K922+L922)</f>
        <v/>
      </c>
      <c r="N922" s="27">
        <f>IF(E922="","",E922-M922)</f>
        <v/>
      </c>
      <c r="O922" s="14" t="n"/>
    </row>
    <row r="923">
      <c r="A923" s="24" t="n"/>
      <c r="B923" s="15" t="n"/>
      <c r="C923" s="15" t="n"/>
      <c r="D923" s="15" t="n"/>
      <c r="E923" s="25" t="n"/>
      <c r="F923" s="25">
        <f>IF(E923="","",E923*0.065)</f>
        <v/>
      </c>
      <c r="G923" s="25">
        <f>IF(E923="","",E923*0.03+0.25)</f>
        <v/>
      </c>
      <c r="H923" s="25" t="n"/>
      <c r="I923" s="25" t="n"/>
      <c r="J923" s="25" t="n"/>
      <c r="K923" s="25" t="n"/>
      <c r="L923" s="25" t="n"/>
      <c r="M923" s="25">
        <f>IF(E923="","",F923+G923+H923+I923+J923+K923+L923)</f>
        <v/>
      </c>
      <c r="N923" s="25">
        <f>IF(E923="","",E923-M923)</f>
        <v/>
      </c>
      <c r="O923" s="15" t="n"/>
    </row>
    <row r="924">
      <c r="A924" s="26" t="n"/>
      <c r="B924" s="14" t="n"/>
      <c r="C924" s="14" t="n"/>
      <c r="D924" s="14" t="n"/>
      <c r="E924" s="27" t="n"/>
      <c r="F924" s="27">
        <f>IF(E924="","",E924*0.065)</f>
        <v/>
      </c>
      <c r="G924" s="27">
        <f>IF(E924="","",E924*0.03+0.25)</f>
        <v/>
      </c>
      <c r="H924" s="27" t="n"/>
      <c r="I924" s="27" t="n"/>
      <c r="J924" s="27" t="n"/>
      <c r="K924" s="27" t="n"/>
      <c r="L924" s="27" t="n"/>
      <c r="M924" s="27">
        <f>IF(E924="","",F924+G924+H924+I924+J924+K924+L924)</f>
        <v/>
      </c>
      <c r="N924" s="27">
        <f>IF(E924="","",E924-M924)</f>
        <v/>
      </c>
      <c r="O924" s="14" t="n"/>
    </row>
    <row r="925">
      <c r="A925" s="24" t="n"/>
      <c r="B925" s="15" t="n"/>
      <c r="C925" s="15" t="n"/>
      <c r="D925" s="15" t="n"/>
      <c r="E925" s="25" t="n"/>
      <c r="F925" s="25">
        <f>IF(E925="","",E925*0.065)</f>
        <v/>
      </c>
      <c r="G925" s="25">
        <f>IF(E925="","",E925*0.03+0.25)</f>
        <v/>
      </c>
      <c r="H925" s="25" t="n"/>
      <c r="I925" s="25" t="n"/>
      <c r="J925" s="25" t="n"/>
      <c r="K925" s="25" t="n"/>
      <c r="L925" s="25" t="n"/>
      <c r="M925" s="25">
        <f>IF(E925="","",F925+G925+H925+I925+J925+K925+L925)</f>
        <v/>
      </c>
      <c r="N925" s="25">
        <f>IF(E925="","",E925-M925)</f>
        <v/>
      </c>
      <c r="O925" s="15" t="n"/>
    </row>
    <row r="926">
      <c r="A926" s="26" t="n"/>
      <c r="B926" s="14" t="n"/>
      <c r="C926" s="14" t="n"/>
      <c r="D926" s="14" t="n"/>
      <c r="E926" s="27" t="n"/>
      <c r="F926" s="27">
        <f>IF(E926="","",E926*0.065)</f>
        <v/>
      </c>
      <c r="G926" s="27">
        <f>IF(E926="","",E926*0.03+0.25)</f>
        <v/>
      </c>
      <c r="H926" s="27" t="n"/>
      <c r="I926" s="27" t="n"/>
      <c r="J926" s="27" t="n"/>
      <c r="K926" s="27" t="n"/>
      <c r="L926" s="27" t="n"/>
      <c r="M926" s="27">
        <f>IF(E926="","",F926+G926+H926+I926+J926+K926+L926)</f>
        <v/>
      </c>
      <c r="N926" s="27">
        <f>IF(E926="","",E926-M926)</f>
        <v/>
      </c>
      <c r="O926" s="14" t="n"/>
    </row>
    <row r="927">
      <c r="A927" s="24" t="n"/>
      <c r="B927" s="15" t="n"/>
      <c r="C927" s="15" t="n"/>
      <c r="D927" s="15" t="n"/>
      <c r="E927" s="25" t="n"/>
      <c r="F927" s="25">
        <f>IF(E927="","",E927*0.065)</f>
        <v/>
      </c>
      <c r="G927" s="25">
        <f>IF(E927="","",E927*0.03+0.25)</f>
        <v/>
      </c>
      <c r="H927" s="25" t="n"/>
      <c r="I927" s="25" t="n"/>
      <c r="J927" s="25" t="n"/>
      <c r="K927" s="25" t="n"/>
      <c r="L927" s="25" t="n"/>
      <c r="M927" s="25">
        <f>IF(E927="","",F927+G927+H927+I927+J927+K927+L927)</f>
        <v/>
      </c>
      <c r="N927" s="25">
        <f>IF(E927="","",E927-M927)</f>
        <v/>
      </c>
      <c r="O927" s="15" t="n"/>
    </row>
    <row r="928">
      <c r="A928" s="26" t="n"/>
      <c r="B928" s="14" t="n"/>
      <c r="C928" s="14" t="n"/>
      <c r="D928" s="14" t="n"/>
      <c r="E928" s="27" t="n"/>
      <c r="F928" s="27">
        <f>IF(E928="","",E928*0.065)</f>
        <v/>
      </c>
      <c r="G928" s="27">
        <f>IF(E928="","",E928*0.03+0.25)</f>
        <v/>
      </c>
      <c r="H928" s="27" t="n"/>
      <c r="I928" s="27" t="n"/>
      <c r="J928" s="27" t="n"/>
      <c r="K928" s="27" t="n"/>
      <c r="L928" s="27" t="n"/>
      <c r="M928" s="27">
        <f>IF(E928="","",F928+G928+H928+I928+J928+K928+L928)</f>
        <v/>
      </c>
      <c r="N928" s="27">
        <f>IF(E928="","",E928-M928)</f>
        <v/>
      </c>
      <c r="O928" s="14" t="n"/>
    </row>
    <row r="929">
      <c r="A929" s="24" t="n"/>
      <c r="B929" s="15" t="n"/>
      <c r="C929" s="15" t="n"/>
      <c r="D929" s="15" t="n"/>
      <c r="E929" s="25" t="n"/>
      <c r="F929" s="25">
        <f>IF(E929="","",E929*0.065)</f>
        <v/>
      </c>
      <c r="G929" s="25">
        <f>IF(E929="","",E929*0.03+0.25)</f>
        <v/>
      </c>
      <c r="H929" s="25" t="n"/>
      <c r="I929" s="25" t="n"/>
      <c r="J929" s="25" t="n"/>
      <c r="K929" s="25" t="n"/>
      <c r="L929" s="25" t="n"/>
      <c r="M929" s="25">
        <f>IF(E929="","",F929+G929+H929+I929+J929+K929+L929)</f>
        <v/>
      </c>
      <c r="N929" s="25">
        <f>IF(E929="","",E929-M929)</f>
        <v/>
      </c>
      <c r="O929" s="15" t="n"/>
    </row>
    <row r="930">
      <c r="A930" s="26" t="n"/>
      <c r="B930" s="14" t="n"/>
      <c r="C930" s="14" t="n"/>
      <c r="D930" s="14" t="n"/>
      <c r="E930" s="27" t="n"/>
      <c r="F930" s="27">
        <f>IF(E930="","",E930*0.065)</f>
        <v/>
      </c>
      <c r="G930" s="27">
        <f>IF(E930="","",E930*0.03+0.25)</f>
        <v/>
      </c>
      <c r="H930" s="27" t="n"/>
      <c r="I930" s="27" t="n"/>
      <c r="J930" s="27" t="n"/>
      <c r="K930" s="27" t="n"/>
      <c r="L930" s="27" t="n"/>
      <c r="M930" s="27">
        <f>IF(E930="","",F930+G930+H930+I930+J930+K930+L930)</f>
        <v/>
      </c>
      <c r="N930" s="27">
        <f>IF(E930="","",E930-M930)</f>
        <v/>
      </c>
      <c r="O930" s="14" t="n"/>
    </row>
    <row r="931">
      <c r="A931" s="24" t="n"/>
      <c r="B931" s="15" t="n"/>
      <c r="C931" s="15" t="n"/>
      <c r="D931" s="15" t="n"/>
      <c r="E931" s="25" t="n"/>
      <c r="F931" s="25">
        <f>IF(E931="","",E931*0.065)</f>
        <v/>
      </c>
      <c r="G931" s="25">
        <f>IF(E931="","",E931*0.03+0.25)</f>
        <v/>
      </c>
      <c r="H931" s="25" t="n"/>
      <c r="I931" s="25" t="n"/>
      <c r="J931" s="25" t="n"/>
      <c r="K931" s="25" t="n"/>
      <c r="L931" s="25" t="n"/>
      <c r="M931" s="25">
        <f>IF(E931="","",F931+G931+H931+I931+J931+K931+L931)</f>
        <v/>
      </c>
      <c r="N931" s="25">
        <f>IF(E931="","",E931-M931)</f>
        <v/>
      </c>
      <c r="O931" s="15" t="n"/>
    </row>
    <row r="932">
      <c r="A932" s="26" t="n"/>
      <c r="B932" s="14" t="n"/>
      <c r="C932" s="14" t="n"/>
      <c r="D932" s="14" t="n"/>
      <c r="E932" s="27" t="n"/>
      <c r="F932" s="27">
        <f>IF(E932="","",E932*0.065)</f>
        <v/>
      </c>
      <c r="G932" s="27">
        <f>IF(E932="","",E932*0.03+0.25)</f>
        <v/>
      </c>
      <c r="H932" s="27" t="n"/>
      <c r="I932" s="27" t="n"/>
      <c r="J932" s="27" t="n"/>
      <c r="K932" s="27" t="n"/>
      <c r="L932" s="27" t="n"/>
      <c r="M932" s="27">
        <f>IF(E932="","",F932+G932+H932+I932+J932+K932+L932)</f>
        <v/>
      </c>
      <c r="N932" s="27">
        <f>IF(E932="","",E932-M932)</f>
        <v/>
      </c>
      <c r="O932" s="14" t="n"/>
    </row>
    <row r="933">
      <c r="A933" s="24" t="n"/>
      <c r="B933" s="15" t="n"/>
      <c r="C933" s="15" t="n"/>
      <c r="D933" s="15" t="n"/>
      <c r="E933" s="25" t="n"/>
      <c r="F933" s="25">
        <f>IF(E933="","",E933*0.065)</f>
        <v/>
      </c>
      <c r="G933" s="25">
        <f>IF(E933="","",E933*0.03+0.25)</f>
        <v/>
      </c>
      <c r="H933" s="25" t="n"/>
      <c r="I933" s="25" t="n"/>
      <c r="J933" s="25" t="n"/>
      <c r="K933" s="25" t="n"/>
      <c r="L933" s="25" t="n"/>
      <c r="M933" s="25">
        <f>IF(E933="","",F933+G933+H933+I933+J933+K933+L933)</f>
        <v/>
      </c>
      <c r="N933" s="25">
        <f>IF(E933="","",E933-M933)</f>
        <v/>
      </c>
      <c r="O933" s="15" t="n"/>
    </row>
    <row r="934">
      <c r="A934" s="26" t="n"/>
      <c r="B934" s="14" t="n"/>
      <c r="C934" s="14" t="n"/>
      <c r="D934" s="14" t="n"/>
      <c r="E934" s="27" t="n"/>
      <c r="F934" s="27">
        <f>IF(E934="","",E934*0.065)</f>
        <v/>
      </c>
      <c r="G934" s="27">
        <f>IF(E934="","",E934*0.03+0.25)</f>
        <v/>
      </c>
      <c r="H934" s="27" t="n"/>
      <c r="I934" s="27" t="n"/>
      <c r="J934" s="27" t="n"/>
      <c r="K934" s="27" t="n"/>
      <c r="L934" s="27" t="n"/>
      <c r="M934" s="27">
        <f>IF(E934="","",F934+G934+H934+I934+J934+K934+L934)</f>
        <v/>
      </c>
      <c r="N934" s="27">
        <f>IF(E934="","",E934-M934)</f>
        <v/>
      </c>
      <c r="O934" s="14" t="n"/>
    </row>
    <row r="935">
      <c r="A935" s="24" t="n"/>
      <c r="B935" s="15" t="n"/>
      <c r="C935" s="15" t="n"/>
      <c r="D935" s="15" t="n"/>
      <c r="E935" s="25" t="n"/>
      <c r="F935" s="25">
        <f>IF(E935="","",E935*0.065)</f>
        <v/>
      </c>
      <c r="G935" s="25">
        <f>IF(E935="","",E935*0.03+0.25)</f>
        <v/>
      </c>
      <c r="H935" s="25" t="n"/>
      <c r="I935" s="25" t="n"/>
      <c r="J935" s="25" t="n"/>
      <c r="K935" s="25" t="n"/>
      <c r="L935" s="25" t="n"/>
      <c r="M935" s="25">
        <f>IF(E935="","",F935+G935+H935+I935+J935+K935+L935)</f>
        <v/>
      </c>
      <c r="N935" s="25">
        <f>IF(E935="","",E935-M935)</f>
        <v/>
      </c>
      <c r="O935" s="15" t="n"/>
    </row>
    <row r="936">
      <c r="A936" s="26" t="n"/>
      <c r="B936" s="14" t="n"/>
      <c r="C936" s="14" t="n"/>
      <c r="D936" s="14" t="n"/>
      <c r="E936" s="27" t="n"/>
      <c r="F936" s="27">
        <f>IF(E936="","",E936*0.065)</f>
        <v/>
      </c>
      <c r="G936" s="27">
        <f>IF(E936="","",E936*0.03+0.25)</f>
        <v/>
      </c>
      <c r="H936" s="27" t="n"/>
      <c r="I936" s="27" t="n"/>
      <c r="J936" s="27" t="n"/>
      <c r="K936" s="27" t="n"/>
      <c r="L936" s="27" t="n"/>
      <c r="M936" s="27">
        <f>IF(E936="","",F936+G936+H936+I936+J936+K936+L936)</f>
        <v/>
      </c>
      <c r="N936" s="27">
        <f>IF(E936="","",E936-M936)</f>
        <v/>
      </c>
      <c r="O936" s="14" t="n"/>
    </row>
    <row r="937">
      <c r="A937" s="24" t="n"/>
      <c r="B937" s="15" t="n"/>
      <c r="C937" s="15" t="n"/>
      <c r="D937" s="15" t="n"/>
      <c r="E937" s="25" t="n"/>
      <c r="F937" s="25">
        <f>IF(E937="","",E937*0.065)</f>
        <v/>
      </c>
      <c r="G937" s="25">
        <f>IF(E937="","",E937*0.03+0.25)</f>
        <v/>
      </c>
      <c r="H937" s="25" t="n"/>
      <c r="I937" s="25" t="n"/>
      <c r="J937" s="25" t="n"/>
      <c r="K937" s="25" t="n"/>
      <c r="L937" s="25" t="n"/>
      <c r="M937" s="25">
        <f>IF(E937="","",F937+G937+H937+I937+J937+K937+L937)</f>
        <v/>
      </c>
      <c r="N937" s="25">
        <f>IF(E937="","",E937-M937)</f>
        <v/>
      </c>
      <c r="O937" s="15" t="n"/>
    </row>
    <row r="938">
      <c r="A938" s="26" t="n"/>
      <c r="B938" s="14" t="n"/>
      <c r="C938" s="14" t="n"/>
      <c r="D938" s="14" t="n"/>
      <c r="E938" s="27" t="n"/>
      <c r="F938" s="27">
        <f>IF(E938="","",E938*0.065)</f>
        <v/>
      </c>
      <c r="G938" s="27">
        <f>IF(E938="","",E938*0.03+0.25)</f>
        <v/>
      </c>
      <c r="H938" s="27" t="n"/>
      <c r="I938" s="27" t="n"/>
      <c r="J938" s="27" t="n"/>
      <c r="K938" s="27" t="n"/>
      <c r="L938" s="27" t="n"/>
      <c r="M938" s="27">
        <f>IF(E938="","",F938+G938+H938+I938+J938+K938+L938)</f>
        <v/>
      </c>
      <c r="N938" s="27">
        <f>IF(E938="","",E938-M938)</f>
        <v/>
      </c>
      <c r="O938" s="14" t="n"/>
    </row>
    <row r="939">
      <c r="A939" s="24" t="n"/>
      <c r="B939" s="15" t="n"/>
      <c r="C939" s="15" t="n"/>
      <c r="D939" s="15" t="n"/>
      <c r="E939" s="25" t="n"/>
      <c r="F939" s="25">
        <f>IF(E939="","",E939*0.065)</f>
        <v/>
      </c>
      <c r="G939" s="25">
        <f>IF(E939="","",E939*0.03+0.25)</f>
        <v/>
      </c>
      <c r="H939" s="25" t="n"/>
      <c r="I939" s="25" t="n"/>
      <c r="J939" s="25" t="n"/>
      <c r="K939" s="25" t="n"/>
      <c r="L939" s="25" t="n"/>
      <c r="M939" s="25">
        <f>IF(E939="","",F939+G939+H939+I939+J939+K939+L939)</f>
        <v/>
      </c>
      <c r="N939" s="25">
        <f>IF(E939="","",E939-M939)</f>
        <v/>
      </c>
      <c r="O939" s="15" t="n"/>
    </row>
    <row r="940">
      <c r="A940" s="26" t="n"/>
      <c r="B940" s="14" t="n"/>
      <c r="C940" s="14" t="n"/>
      <c r="D940" s="14" t="n"/>
      <c r="E940" s="27" t="n"/>
      <c r="F940" s="27">
        <f>IF(E940="","",E940*0.065)</f>
        <v/>
      </c>
      <c r="G940" s="27">
        <f>IF(E940="","",E940*0.03+0.25)</f>
        <v/>
      </c>
      <c r="H940" s="27" t="n"/>
      <c r="I940" s="27" t="n"/>
      <c r="J940" s="27" t="n"/>
      <c r="K940" s="27" t="n"/>
      <c r="L940" s="27" t="n"/>
      <c r="M940" s="27">
        <f>IF(E940="","",F940+G940+H940+I940+J940+K940+L940)</f>
        <v/>
      </c>
      <c r="N940" s="27">
        <f>IF(E940="","",E940-M940)</f>
        <v/>
      </c>
      <c r="O940" s="14" t="n"/>
    </row>
    <row r="941">
      <c r="A941" s="24" t="n"/>
      <c r="B941" s="15" t="n"/>
      <c r="C941" s="15" t="n"/>
      <c r="D941" s="15" t="n"/>
      <c r="E941" s="25" t="n"/>
      <c r="F941" s="25">
        <f>IF(E941="","",E941*0.065)</f>
        <v/>
      </c>
      <c r="G941" s="25">
        <f>IF(E941="","",E941*0.03+0.25)</f>
        <v/>
      </c>
      <c r="H941" s="25" t="n"/>
      <c r="I941" s="25" t="n"/>
      <c r="J941" s="25" t="n"/>
      <c r="K941" s="25" t="n"/>
      <c r="L941" s="25" t="n"/>
      <c r="M941" s="25">
        <f>IF(E941="","",F941+G941+H941+I941+J941+K941+L941)</f>
        <v/>
      </c>
      <c r="N941" s="25">
        <f>IF(E941="","",E941-M941)</f>
        <v/>
      </c>
      <c r="O941" s="15" t="n"/>
    </row>
    <row r="942">
      <c r="A942" s="26" t="n"/>
      <c r="B942" s="14" t="n"/>
      <c r="C942" s="14" t="n"/>
      <c r="D942" s="14" t="n"/>
      <c r="E942" s="27" t="n"/>
      <c r="F942" s="27">
        <f>IF(E942="","",E942*0.065)</f>
        <v/>
      </c>
      <c r="G942" s="27">
        <f>IF(E942="","",E942*0.03+0.25)</f>
        <v/>
      </c>
      <c r="H942" s="27" t="n"/>
      <c r="I942" s="27" t="n"/>
      <c r="J942" s="27" t="n"/>
      <c r="K942" s="27" t="n"/>
      <c r="L942" s="27" t="n"/>
      <c r="M942" s="27">
        <f>IF(E942="","",F942+G942+H942+I942+J942+K942+L942)</f>
        <v/>
      </c>
      <c r="N942" s="27">
        <f>IF(E942="","",E942-M942)</f>
        <v/>
      </c>
      <c r="O942" s="14" t="n"/>
    </row>
    <row r="943">
      <c r="A943" s="24" t="n"/>
      <c r="B943" s="15" t="n"/>
      <c r="C943" s="15" t="n"/>
      <c r="D943" s="15" t="n"/>
      <c r="E943" s="25" t="n"/>
      <c r="F943" s="25">
        <f>IF(E943="","",E943*0.065)</f>
        <v/>
      </c>
      <c r="G943" s="25">
        <f>IF(E943="","",E943*0.03+0.25)</f>
        <v/>
      </c>
      <c r="H943" s="25" t="n"/>
      <c r="I943" s="25" t="n"/>
      <c r="J943" s="25" t="n"/>
      <c r="K943" s="25" t="n"/>
      <c r="L943" s="25" t="n"/>
      <c r="M943" s="25">
        <f>IF(E943="","",F943+G943+H943+I943+J943+K943+L943)</f>
        <v/>
      </c>
      <c r="N943" s="25">
        <f>IF(E943="","",E943-M943)</f>
        <v/>
      </c>
      <c r="O943" s="15" t="n"/>
    </row>
    <row r="944">
      <c r="A944" s="26" t="n"/>
      <c r="B944" s="14" t="n"/>
      <c r="C944" s="14" t="n"/>
      <c r="D944" s="14" t="n"/>
      <c r="E944" s="27" t="n"/>
      <c r="F944" s="27">
        <f>IF(E944="","",E944*0.065)</f>
        <v/>
      </c>
      <c r="G944" s="27">
        <f>IF(E944="","",E944*0.03+0.25)</f>
        <v/>
      </c>
      <c r="H944" s="27" t="n"/>
      <c r="I944" s="27" t="n"/>
      <c r="J944" s="27" t="n"/>
      <c r="K944" s="27" t="n"/>
      <c r="L944" s="27" t="n"/>
      <c r="M944" s="27">
        <f>IF(E944="","",F944+G944+H944+I944+J944+K944+L944)</f>
        <v/>
      </c>
      <c r="N944" s="27">
        <f>IF(E944="","",E944-M944)</f>
        <v/>
      </c>
      <c r="O944" s="14" t="n"/>
    </row>
    <row r="945">
      <c r="A945" s="24" t="n"/>
      <c r="B945" s="15" t="n"/>
      <c r="C945" s="15" t="n"/>
      <c r="D945" s="15" t="n"/>
      <c r="E945" s="25" t="n"/>
      <c r="F945" s="25">
        <f>IF(E945="","",E945*0.065)</f>
        <v/>
      </c>
      <c r="G945" s="25">
        <f>IF(E945="","",E945*0.03+0.25)</f>
        <v/>
      </c>
      <c r="H945" s="25" t="n"/>
      <c r="I945" s="25" t="n"/>
      <c r="J945" s="25" t="n"/>
      <c r="K945" s="25" t="n"/>
      <c r="L945" s="25" t="n"/>
      <c r="M945" s="25">
        <f>IF(E945="","",F945+G945+H945+I945+J945+K945+L945)</f>
        <v/>
      </c>
      <c r="N945" s="25">
        <f>IF(E945="","",E945-M945)</f>
        <v/>
      </c>
      <c r="O945" s="15" t="n"/>
    </row>
    <row r="946">
      <c r="A946" s="26" t="n"/>
      <c r="B946" s="14" t="n"/>
      <c r="C946" s="14" t="n"/>
      <c r="D946" s="14" t="n"/>
      <c r="E946" s="27" t="n"/>
      <c r="F946" s="27">
        <f>IF(E946="","",E946*0.065)</f>
        <v/>
      </c>
      <c r="G946" s="27">
        <f>IF(E946="","",E946*0.03+0.25)</f>
        <v/>
      </c>
      <c r="H946" s="27" t="n"/>
      <c r="I946" s="27" t="n"/>
      <c r="J946" s="27" t="n"/>
      <c r="K946" s="27" t="n"/>
      <c r="L946" s="27" t="n"/>
      <c r="M946" s="27">
        <f>IF(E946="","",F946+G946+H946+I946+J946+K946+L946)</f>
        <v/>
      </c>
      <c r="N946" s="27">
        <f>IF(E946="","",E946-M946)</f>
        <v/>
      </c>
      <c r="O946" s="14" t="n"/>
    </row>
    <row r="947">
      <c r="A947" s="24" t="n"/>
      <c r="B947" s="15" t="n"/>
      <c r="C947" s="15" t="n"/>
      <c r="D947" s="15" t="n"/>
      <c r="E947" s="25" t="n"/>
      <c r="F947" s="25">
        <f>IF(E947="","",E947*0.065)</f>
        <v/>
      </c>
      <c r="G947" s="25">
        <f>IF(E947="","",E947*0.03+0.25)</f>
        <v/>
      </c>
      <c r="H947" s="25" t="n"/>
      <c r="I947" s="25" t="n"/>
      <c r="J947" s="25" t="n"/>
      <c r="K947" s="25" t="n"/>
      <c r="L947" s="25" t="n"/>
      <c r="M947" s="25">
        <f>IF(E947="","",F947+G947+H947+I947+J947+K947+L947)</f>
        <v/>
      </c>
      <c r="N947" s="25">
        <f>IF(E947="","",E947-M947)</f>
        <v/>
      </c>
      <c r="O947" s="15" t="n"/>
    </row>
    <row r="948">
      <c r="A948" s="26" t="n"/>
      <c r="B948" s="14" t="n"/>
      <c r="C948" s="14" t="n"/>
      <c r="D948" s="14" t="n"/>
      <c r="E948" s="27" t="n"/>
      <c r="F948" s="27">
        <f>IF(E948="","",E948*0.065)</f>
        <v/>
      </c>
      <c r="G948" s="27">
        <f>IF(E948="","",E948*0.03+0.25)</f>
        <v/>
      </c>
      <c r="H948" s="27" t="n"/>
      <c r="I948" s="27" t="n"/>
      <c r="J948" s="27" t="n"/>
      <c r="K948" s="27" t="n"/>
      <c r="L948" s="27" t="n"/>
      <c r="M948" s="27">
        <f>IF(E948="","",F948+G948+H948+I948+J948+K948+L948)</f>
        <v/>
      </c>
      <c r="N948" s="27">
        <f>IF(E948="","",E948-M948)</f>
        <v/>
      </c>
      <c r="O948" s="14" t="n"/>
    </row>
    <row r="949">
      <c r="A949" s="24" t="n"/>
      <c r="B949" s="15" t="n"/>
      <c r="C949" s="15" t="n"/>
      <c r="D949" s="15" t="n"/>
      <c r="E949" s="25" t="n"/>
      <c r="F949" s="25">
        <f>IF(E949="","",E949*0.065)</f>
        <v/>
      </c>
      <c r="G949" s="25">
        <f>IF(E949="","",E949*0.03+0.25)</f>
        <v/>
      </c>
      <c r="H949" s="25" t="n"/>
      <c r="I949" s="25" t="n"/>
      <c r="J949" s="25" t="n"/>
      <c r="K949" s="25" t="n"/>
      <c r="L949" s="25" t="n"/>
      <c r="M949" s="25">
        <f>IF(E949="","",F949+G949+H949+I949+J949+K949+L949)</f>
        <v/>
      </c>
      <c r="N949" s="25">
        <f>IF(E949="","",E949-M949)</f>
        <v/>
      </c>
      <c r="O949" s="15" t="n"/>
    </row>
    <row r="950">
      <c r="A950" s="26" t="n"/>
      <c r="B950" s="14" t="n"/>
      <c r="C950" s="14" t="n"/>
      <c r="D950" s="14" t="n"/>
      <c r="E950" s="27" t="n"/>
      <c r="F950" s="27">
        <f>IF(E950="","",E950*0.065)</f>
        <v/>
      </c>
      <c r="G950" s="27">
        <f>IF(E950="","",E950*0.03+0.25)</f>
        <v/>
      </c>
      <c r="H950" s="27" t="n"/>
      <c r="I950" s="27" t="n"/>
      <c r="J950" s="27" t="n"/>
      <c r="K950" s="27" t="n"/>
      <c r="L950" s="27" t="n"/>
      <c r="M950" s="27">
        <f>IF(E950="","",F950+G950+H950+I950+J950+K950+L950)</f>
        <v/>
      </c>
      <c r="N950" s="27">
        <f>IF(E950="","",E950-M950)</f>
        <v/>
      </c>
      <c r="O950" s="14" t="n"/>
    </row>
    <row r="951">
      <c r="A951" s="24" t="n"/>
      <c r="B951" s="15" t="n"/>
      <c r="C951" s="15" t="n"/>
      <c r="D951" s="15" t="n"/>
      <c r="E951" s="25" t="n"/>
      <c r="F951" s="25">
        <f>IF(E951="","",E951*0.065)</f>
        <v/>
      </c>
      <c r="G951" s="25">
        <f>IF(E951="","",E951*0.03+0.25)</f>
        <v/>
      </c>
      <c r="H951" s="25" t="n"/>
      <c r="I951" s="25" t="n"/>
      <c r="J951" s="25" t="n"/>
      <c r="K951" s="25" t="n"/>
      <c r="L951" s="25" t="n"/>
      <c r="M951" s="25">
        <f>IF(E951="","",F951+G951+H951+I951+J951+K951+L951)</f>
        <v/>
      </c>
      <c r="N951" s="25">
        <f>IF(E951="","",E951-M951)</f>
        <v/>
      </c>
      <c r="O951" s="15" t="n"/>
    </row>
    <row r="952">
      <c r="A952" s="26" t="n"/>
      <c r="B952" s="14" t="n"/>
      <c r="C952" s="14" t="n"/>
      <c r="D952" s="14" t="n"/>
      <c r="E952" s="27" t="n"/>
      <c r="F952" s="27">
        <f>IF(E952="","",E952*0.065)</f>
        <v/>
      </c>
      <c r="G952" s="27">
        <f>IF(E952="","",E952*0.03+0.25)</f>
        <v/>
      </c>
      <c r="H952" s="27" t="n"/>
      <c r="I952" s="27" t="n"/>
      <c r="J952" s="27" t="n"/>
      <c r="K952" s="27" t="n"/>
      <c r="L952" s="27" t="n"/>
      <c r="M952" s="27">
        <f>IF(E952="","",F952+G952+H952+I952+J952+K952+L952)</f>
        <v/>
      </c>
      <c r="N952" s="27">
        <f>IF(E952="","",E952-M952)</f>
        <v/>
      </c>
      <c r="O952" s="14" t="n"/>
    </row>
    <row r="953">
      <c r="A953" s="24" t="n"/>
      <c r="B953" s="15" t="n"/>
      <c r="C953" s="15" t="n"/>
      <c r="D953" s="15" t="n"/>
      <c r="E953" s="25" t="n"/>
      <c r="F953" s="25">
        <f>IF(E953="","",E953*0.065)</f>
        <v/>
      </c>
      <c r="G953" s="25">
        <f>IF(E953="","",E953*0.03+0.25)</f>
        <v/>
      </c>
      <c r="H953" s="25" t="n"/>
      <c r="I953" s="25" t="n"/>
      <c r="J953" s="25" t="n"/>
      <c r="K953" s="25" t="n"/>
      <c r="L953" s="25" t="n"/>
      <c r="M953" s="25">
        <f>IF(E953="","",F953+G953+H953+I953+J953+K953+L953)</f>
        <v/>
      </c>
      <c r="N953" s="25">
        <f>IF(E953="","",E953-M953)</f>
        <v/>
      </c>
      <c r="O953" s="15" t="n"/>
    </row>
    <row r="954">
      <c r="A954" s="26" t="n"/>
      <c r="B954" s="14" t="n"/>
      <c r="C954" s="14" t="n"/>
      <c r="D954" s="14" t="n"/>
      <c r="E954" s="27" t="n"/>
      <c r="F954" s="27">
        <f>IF(E954="","",E954*0.065)</f>
        <v/>
      </c>
      <c r="G954" s="27">
        <f>IF(E954="","",E954*0.03+0.25)</f>
        <v/>
      </c>
      <c r="H954" s="27" t="n"/>
      <c r="I954" s="27" t="n"/>
      <c r="J954" s="27" t="n"/>
      <c r="K954" s="27" t="n"/>
      <c r="L954" s="27" t="n"/>
      <c r="M954" s="27">
        <f>IF(E954="","",F954+G954+H954+I954+J954+K954+L954)</f>
        <v/>
      </c>
      <c r="N954" s="27">
        <f>IF(E954="","",E954-M954)</f>
        <v/>
      </c>
      <c r="O954" s="14" t="n"/>
    </row>
    <row r="955">
      <c r="A955" s="24" t="n"/>
      <c r="B955" s="15" t="n"/>
      <c r="C955" s="15" t="n"/>
      <c r="D955" s="15" t="n"/>
      <c r="E955" s="25" t="n"/>
      <c r="F955" s="25">
        <f>IF(E955="","",E955*0.065)</f>
        <v/>
      </c>
      <c r="G955" s="25">
        <f>IF(E955="","",E955*0.03+0.25)</f>
        <v/>
      </c>
      <c r="H955" s="25" t="n"/>
      <c r="I955" s="25" t="n"/>
      <c r="J955" s="25" t="n"/>
      <c r="K955" s="25" t="n"/>
      <c r="L955" s="25" t="n"/>
      <c r="M955" s="25">
        <f>IF(E955="","",F955+G955+H955+I955+J955+K955+L955)</f>
        <v/>
      </c>
      <c r="N955" s="25">
        <f>IF(E955="","",E955-M955)</f>
        <v/>
      </c>
      <c r="O955" s="15" t="n"/>
    </row>
    <row r="956">
      <c r="A956" s="26" t="n"/>
      <c r="B956" s="14" t="n"/>
      <c r="C956" s="14" t="n"/>
      <c r="D956" s="14" t="n"/>
      <c r="E956" s="27" t="n"/>
      <c r="F956" s="27">
        <f>IF(E956="","",E956*0.065)</f>
        <v/>
      </c>
      <c r="G956" s="27">
        <f>IF(E956="","",E956*0.03+0.25)</f>
        <v/>
      </c>
      <c r="H956" s="27" t="n"/>
      <c r="I956" s="27" t="n"/>
      <c r="J956" s="27" t="n"/>
      <c r="K956" s="27" t="n"/>
      <c r="L956" s="27" t="n"/>
      <c r="M956" s="27">
        <f>IF(E956="","",F956+G956+H956+I956+J956+K956+L956)</f>
        <v/>
      </c>
      <c r="N956" s="27">
        <f>IF(E956="","",E956-M956)</f>
        <v/>
      </c>
      <c r="O956" s="14" t="n"/>
    </row>
    <row r="957">
      <c r="A957" s="24" t="n"/>
      <c r="B957" s="15" t="n"/>
      <c r="C957" s="15" t="n"/>
      <c r="D957" s="15" t="n"/>
      <c r="E957" s="25" t="n"/>
      <c r="F957" s="25">
        <f>IF(E957="","",E957*0.065)</f>
        <v/>
      </c>
      <c r="G957" s="25">
        <f>IF(E957="","",E957*0.03+0.25)</f>
        <v/>
      </c>
      <c r="H957" s="25" t="n"/>
      <c r="I957" s="25" t="n"/>
      <c r="J957" s="25" t="n"/>
      <c r="K957" s="25" t="n"/>
      <c r="L957" s="25" t="n"/>
      <c r="M957" s="25">
        <f>IF(E957="","",F957+G957+H957+I957+J957+K957+L957)</f>
        <v/>
      </c>
      <c r="N957" s="25">
        <f>IF(E957="","",E957-M957)</f>
        <v/>
      </c>
      <c r="O957" s="15" t="n"/>
    </row>
    <row r="958">
      <c r="A958" s="26" t="n"/>
      <c r="B958" s="14" t="n"/>
      <c r="C958" s="14" t="n"/>
      <c r="D958" s="14" t="n"/>
      <c r="E958" s="27" t="n"/>
      <c r="F958" s="27">
        <f>IF(E958="","",E958*0.065)</f>
        <v/>
      </c>
      <c r="G958" s="27">
        <f>IF(E958="","",E958*0.03+0.25)</f>
        <v/>
      </c>
      <c r="H958" s="27" t="n"/>
      <c r="I958" s="27" t="n"/>
      <c r="J958" s="27" t="n"/>
      <c r="K958" s="27" t="n"/>
      <c r="L958" s="27" t="n"/>
      <c r="M958" s="27">
        <f>IF(E958="","",F958+G958+H958+I958+J958+K958+L958)</f>
        <v/>
      </c>
      <c r="N958" s="27">
        <f>IF(E958="","",E958-M958)</f>
        <v/>
      </c>
      <c r="O958" s="14" t="n"/>
    </row>
    <row r="959">
      <c r="A959" s="24" t="n"/>
      <c r="B959" s="15" t="n"/>
      <c r="C959" s="15" t="n"/>
      <c r="D959" s="15" t="n"/>
      <c r="E959" s="25" t="n"/>
      <c r="F959" s="25">
        <f>IF(E959="","",E959*0.065)</f>
        <v/>
      </c>
      <c r="G959" s="25">
        <f>IF(E959="","",E959*0.03+0.25)</f>
        <v/>
      </c>
      <c r="H959" s="25" t="n"/>
      <c r="I959" s="25" t="n"/>
      <c r="J959" s="25" t="n"/>
      <c r="K959" s="25" t="n"/>
      <c r="L959" s="25" t="n"/>
      <c r="M959" s="25">
        <f>IF(E959="","",F959+G959+H959+I959+J959+K959+L959)</f>
        <v/>
      </c>
      <c r="N959" s="25">
        <f>IF(E959="","",E959-M959)</f>
        <v/>
      </c>
      <c r="O959" s="15" t="n"/>
    </row>
    <row r="960">
      <c r="A960" s="26" t="n"/>
      <c r="B960" s="14" t="n"/>
      <c r="C960" s="14" t="n"/>
      <c r="D960" s="14" t="n"/>
      <c r="E960" s="27" t="n"/>
      <c r="F960" s="27">
        <f>IF(E960="","",E960*0.065)</f>
        <v/>
      </c>
      <c r="G960" s="27">
        <f>IF(E960="","",E960*0.03+0.25)</f>
        <v/>
      </c>
      <c r="H960" s="27" t="n"/>
      <c r="I960" s="27" t="n"/>
      <c r="J960" s="27" t="n"/>
      <c r="K960" s="27" t="n"/>
      <c r="L960" s="27" t="n"/>
      <c r="M960" s="27">
        <f>IF(E960="","",F960+G960+H960+I960+J960+K960+L960)</f>
        <v/>
      </c>
      <c r="N960" s="27">
        <f>IF(E960="","",E960-M960)</f>
        <v/>
      </c>
      <c r="O960" s="14" t="n"/>
    </row>
    <row r="961">
      <c r="A961" s="24" t="n"/>
      <c r="B961" s="15" t="n"/>
      <c r="C961" s="15" t="n"/>
      <c r="D961" s="15" t="n"/>
      <c r="E961" s="25" t="n"/>
      <c r="F961" s="25">
        <f>IF(E961="","",E961*0.065)</f>
        <v/>
      </c>
      <c r="G961" s="25">
        <f>IF(E961="","",E961*0.03+0.25)</f>
        <v/>
      </c>
      <c r="H961" s="25" t="n"/>
      <c r="I961" s="25" t="n"/>
      <c r="J961" s="25" t="n"/>
      <c r="K961" s="25" t="n"/>
      <c r="L961" s="25" t="n"/>
      <c r="M961" s="25">
        <f>IF(E961="","",F961+G961+H961+I961+J961+K961+L961)</f>
        <v/>
      </c>
      <c r="N961" s="25">
        <f>IF(E961="","",E961-M961)</f>
        <v/>
      </c>
      <c r="O961" s="15" t="n"/>
    </row>
    <row r="962">
      <c r="A962" s="26" t="n"/>
      <c r="B962" s="14" t="n"/>
      <c r="C962" s="14" t="n"/>
      <c r="D962" s="14" t="n"/>
      <c r="E962" s="27" t="n"/>
      <c r="F962" s="27">
        <f>IF(E962="","",E962*0.065)</f>
        <v/>
      </c>
      <c r="G962" s="27">
        <f>IF(E962="","",E962*0.03+0.25)</f>
        <v/>
      </c>
      <c r="H962" s="27" t="n"/>
      <c r="I962" s="27" t="n"/>
      <c r="J962" s="27" t="n"/>
      <c r="K962" s="27" t="n"/>
      <c r="L962" s="27" t="n"/>
      <c r="M962" s="27">
        <f>IF(E962="","",F962+G962+H962+I962+J962+K962+L962)</f>
        <v/>
      </c>
      <c r="N962" s="27">
        <f>IF(E962="","",E962-M962)</f>
        <v/>
      </c>
      <c r="O962" s="14" t="n"/>
    </row>
    <row r="963">
      <c r="A963" s="24" t="n"/>
      <c r="B963" s="15" t="n"/>
      <c r="C963" s="15" t="n"/>
      <c r="D963" s="15" t="n"/>
      <c r="E963" s="25" t="n"/>
      <c r="F963" s="25">
        <f>IF(E963="","",E963*0.065)</f>
        <v/>
      </c>
      <c r="G963" s="25">
        <f>IF(E963="","",E963*0.03+0.25)</f>
        <v/>
      </c>
      <c r="H963" s="25" t="n"/>
      <c r="I963" s="25" t="n"/>
      <c r="J963" s="25" t="n"/>
      <c r="K963" s="25" t="n"/>
      <c r="L963" s="25" t="n"/>
      <c r="M963" s="25">
        <f>IF(E963="","",F963+G963+H963+I963+J963+K963+L963)</f>
        <v/>
      </c>
      <c r="N963" s="25">
        <f>IF(E963="","",E963-M963)</f>
        <v/>
      </c>
      <c r="O963" s="15" t="n"/>
    </row>
    <row r="964">
      <c r="A964" s="26" t="n"/>
      <c r="B964" s="14" t="n"/>
      <c r="C964" s="14" t="n"/>
      <c r="D964" s="14" t="n"/>
      <c r="E964" s="27" t="n"/>
      <c r="F964" s="27">
        <f>IF(E964="","",E964*0.065)</f>
        <v/>
      </c>
      <c r="G964" s="27">
        <f>IF(E964="","",E964*0.03+0.25)</f>
        <v/>
      </c>
      <c r="H964" s="27" t="n"/>
      <c r="I964" s="27" t="n"/>
      <c r="J964" s="27" t="n"/>
      <c r="K964" s="27" t="n"/>
      <c r="L964" s="27" t="n"/>
      <c r="M964" s="27">
        <f>IF(E964="","",F964+G964+H964+I964+J964+K964+L964)</f>
        <v/>
      </c>
      <c r="N964" s="27">
        <f>IF(E964="","",E964-M964)</f>
        <v/>
      </c>
      <c r="O964" s="14" t="n"/>
    </row>
    <row r="965">
      <c r="A965" s="24" t="n"/>
      <c r="B965" s="15" t="n"/>
      <c r="C965" s="15" t="n"/>
      <c r="D965" s="15" t="n"/>
      <c r="E965" s="25" t="n"/>
      <c r="F965" s="25">
        <f>IF(E965="","",E965*0.065)</f>
        <v/>
      </c>
      <c r="G965" s="25">
        <f>IF(E965="","",E965*0.03+0.25)</f>
        <v/>
      </c>
      <c r="H965" s="25" t="n"/>
      <c r="I965" s="25" t="n"/>
      <c r="J965" s="25" t="n"/>
      <c r="K965" s="25" t="n"/>
      <c r="L965" s="25" t="n"/>
      <c r="M965" s="25">
        <f>IF(E965="","",F965+G965+H965+I965+J965+K965+L965)</f>
        <v/>
      </c>
      <c r="N965" s="25">
        <f>IF(E965="","",E965-M965)</f>
        <v/>
      </c>
      <c r="O965" s="15" t="n"/>
    </row>
    <row r="966">
      <c r="A966" s="26" t="n"/>
      <c r="B966" s="14" t="n"/>
      <c r="C966" s="14" t="n"/>
      <c r="D966" s="14" t="n"/>
      <c r="E966" s="27" t="n"/>
      <c r="F966" s="27">
        <f>IF(E966="","",E966*0.065)</f>
        <v/>
      </c>
      <c r="G966" s="27">
        <f>IF(E966="","",E966*0.03+0.25)</f>
        <v/>
      </c>
      <c r="H966" s="27" t="n"/>
      <c r="I966" s="27" t="n"/>
      <c r="J966" s="27" t="n"/>
      <c r="K966" s="27" t="n"/>
      <c r="L966" s="27" t="n"/>
      <c r="M966" s="27">
        <f>IF(E966="","",F966+G966+H966+I966+J966+K966+L966)</f>
        <v/>
      </c>
      <c r="N966" s="27">
        <f>IF(E966="","",E966-M966)</f>
        <v/>
      </c>
      <c r="O966" s="14" t="n"/>
    </row>
    <row r="967">
      <c r="A967" s="24" t="n"/>
      <c r="B967" s="15" t="n"/>
      <c r="C967" s="15" t="n"/>
      <c r="D967" s="15" t="n"/>
      <c r="E967" s="25" t="n"/>
      <c r="F967" s="25">
        <f>IF(E967="","",E967*0.065)</f>
        <v/>
      </c>
      <c r="G967" s="25">
        <f>IF(E967="","",E967*0.03+0.25)</f>
        <v/>
      </c>
      <c r="H967" s="25" t="n"/>
      <c r="I967" s="25" t="n"/>
      <c r="J967" s="25" t="n"/>
      <c r="K967" s="25" t="n"/>
      <c r="L967" s="25" t="n"/>
      <c r="M967" s="25">
        <f>IF(E967="","",F967+G967+H967+I967+J967+K967+L967)</f>
        <v/>
      </c>
      <c r="N967" s="25">
        <f>IF(E967="","",E967-M967)</f>
        <v/>
      </c>
      <c r="O967" s="15" t="n"/>
    </row>
    <row r="968">
      <c r="A968" s="26" t="n"/>
      <c r="B968" s="14" t="n"/>
      <c r="C968" s="14" t="n"/>
      <c r="D968" s="14" t="n"/>
      <c r="E968" s="27" t="n"/>
      <c r="F968" s="27">
        <f>IF(E968="","",E968*0.065)</f>
        <v/>
      </c>
      <c r="G968" s="27">
        <f>IF(E968="","",E968*0.03+0.25)</f>
        <v/>
      </c>
      <c r="H968" s="27" t="n"/>
      <c r="I968" s="27" t="n"/>
      <c r="J968" s="27" t="n"/>
      <c r="K968" s="27" t="n"/>
      <c r="L968" s="27" t="n"/>
      <c r="M968" s="27">
        <f>IF(E968="","",F968+G968+H968+I968+J968+K968+L968)</f>
        <v/>
      </c>
      <c r="N968" s="27">
        <f>IF(E968="","",E968-M968)</f>
        <v/>
      </c>
      <c r="O968" s="14" t="n"/>
    </row>
    <row r="969">
      <c r="A969" s="24" t="n"/>
      <c r="B969" s="15" t="n"/>
      <c r="C969" s="15" t="n"/>
      <c r="D969" s="15" t="n"/>
      <c r="E969" s="25" t="n"/>
      <c r="F969" s="25">
        <f>IF(E969="","",E969*0.065)</f>
        <v/>
      </c>
      <c r="G969" s="25">
        <f>IF(E969="","",E969*0.03+0.25)</f>
        <v/>
      </c>
      <c r="H969" s="25" t="n"/>
      <c r="I969" s="25" t="n"/>
      <c r="J969" s="25" t="n"/>
      <c r="K969" s="25" t="n"/>
      <c r="L969" s="25" t="n"/>
      <c r="M969" s="25">
        <f>IF(E969="","",F969+G969+H969+I969+J969+K969+L969)</f>
        <v/>
      </c>
      <c r="N969" s="25">
        <f>IF(E969="","",E969-M969)</f>
        <v/>
      </c>
      <c r="O969" s="15" t="n"/>
    </row>
    <row r="970">
      <c r="A970" s="26" t="n"/>
      <c r="B970" s="14" t="n"/>
      <c r="C970" s="14" t="n"/>
      <c r="D970" s="14" t="n"/>
      <c r="E970" s="27" t="n"/>
      <c r="F970" s="27">
        <f>IF(E970="","",E970*0.065)</f>
        <v/>
      </c>
      <c r="G970" s="27">
        <f>IF(E970="","",E970*0.03+0.25)</f>
        <v/>
      </c>
      <c r="H970" s="27" t="n"/>
      <c r="I970" s="27" t="n"/>
      <c r="J970" s="27" t="n"/>
      <c r="K970" s="27" t="n"/>
      <c r="L970" s="27" t="n"/>
      <c r="M970" s="27">
        <f>IF(E970="","",F970+G970+H970+I970+J970+K970+L970)</f>
        <v/>
      </c>
      <c r="N970" s="27">
        <f>IF(E970="","",E970-M970)</f>
        <v/>
      </c>
      <c r="O970" s="14" t="n"/>
    </row>
    <row r="971">
      <c r="A971" s="24" t="n"/>
      <c r="B971" s="15" t="n"/>
      <c r="C971" s="15" t="n"/>
      <c r="D971" s="15" t="n"/>
      <c r="E971" s="25" t="n"/>
      <c r="F971" s="25">
        <f>IF(E971="","",E971*0.065)</f>
        <v/>
      </c>
      <c r="G971" s="25">
        <f>IF(E971="","",E971*0.03+0.25)</f>
        <v/>
      </c>
      <c r="H971" s="25" t="n"/>
      <c r="I971" s="25" t="n"/>
      <c r="J971" s="25" t="n"/>
      <c r="K971" s="25" t="n"/>
      <c r="L971" s="25" t="n"/>
      <c r="M971" s="25">
        <f>IF(E971="","",F971+G971+H971+I971+J971+K971+L971)</f>
        <v/>
      </c>
      <c r="N971" s="25">
        <f>IF(E971="","",E971-M971)</f>
        <v/>
      </c>
      <c r="O971" s="15" t="n"/>
    </row>
    <row r="972">
      <c r="A972" s="26" t="n"/>
      <c r="B972" s="14" t="n"/>
      <c r="C972" s="14" t="n"/>
      <c r="D972" s="14" t="n"/>
      <c r="E972" s="27" t="n"/>
      <c r="F972" s="27">
        <f>IF(E972="","",E972*0.065)</f>
        <v/>
      </c>
      <c r="G972" s="27">
        <f>IF(E972="","",E972*0.03+0.25)</f>
        <v/>
      </c>
      <c r="H972" s="27" t="n"/>
      <c r="I972" s="27" t="n"/>
      <c r="J972" s="27" t="n"/>
      <c r="K972" s="27" t="n"/>
      <c r="L972" s="27" t="n"/>
      <c r="M972" s="27">
        <f>IF(E972="","",F972+G972+H972+I972+J972+K972+L972)</f>
        <v/>
      </c>
      <c r="N972" s="27">
        <f>IF(E972="","",E972-M972)</f>
        <v/>
      </c>
      <c r="O972" s="14" t="n"/>
    </row>
    <row r="973">
      <c r="A973" s="24" t="n"/>
      <c r="B973" s="15" t="n"/>
      <c r="C973" s="15" t="n"/>
      <c r="D973" s="15" t="n"/>
      <c r="E973" s="25" t="n"/>
      <c r="F973" s="25">
        <f>IF(E973="","",E973*0.065)</f>
        <v/>
      </c>
      <c r="G973" s="25">
        <f>IF(E973="","",E973*0.03+0.25)</f>
        <v/>
      </c>
      <c r="H973" s="25" t="n"/>
      <c r="I973" s="25" t="n"/>
      <c r="J973" s="25" t="n"/>
      <c r="K973" s="25" t="n"/>
      <c r="L973" s="25" t="n"/>
      <c r="M973" s="25">
        <f>IF(E973="","",F973+G973+H973+I973+J973+K973+L973)</f>
        <v/>
      </c>
      <c r="N973" s="25">
        <f>IF(E973="","",E973-M973)</f>
        <v/>
      </c>
      <c r="O973" s="15" t="n"/>
    </row>
    <row r="974">
      <c r="A974" s="26" t="n"/>
      <c r="B974" s="14" t="n"/>
      <c r="C974" s="14" t="n"/>
      <c r="D974" s="14" t="n"/>
      <c r="E974" s="27" t="n"/>
      <c r="F974" s="27">
        <f>IF(E974="","",E974*0.065)</f>
        <v/>
      </c>
      <c r="G974" s="27">
        <f>IF(E974="","",E974*0.03+0.25)</f>
        <v/>
      </c>
      <c r="H974" s="27" t="n"/>
      <c r="I974" s="27" t="n"/>
      <c r="J974" s="27" t="n"/>
      <c r="K974" s="27" t="n"/>
      <c r="L974" s="27" t="n"/>
      <c r="M974" s="27">
        <f>IF(E974="","",F974+G974+H974+I974+J974+K974+L974)</f>
        <v/>
      </c>
      <c r="N974" s="27">
        <f>IF(E974="","",E974-M974)</f>
        <v/>
      </c>
      <c r="O974" s="14" t="n"/>
    </row>
    <row r="975">
      <c r="A975" s="24" t="n"/>
      <c r="B975" s="15" t="n"/>
      <c r="C975" s="15" t="n"/>
      <c r="D975" s="15" t="n"/>
      <c r="E975" s="25" t="n"/>
      <c r="F975" s="25">
        <f>IF(E975="","",E975*0.065)</f>
        <v/>
      </c>
      <c r="G975" s="25">
        <f>IF(E975="","",E975*0.03+0.25)</f>
        <v/>
      </c>
      <c r="H975" s="25" t="n"/>
      <c r="I975" s="25" t="n"/>
      <c r="J975" s="25" t="n"/>
      <c r="K975" s="25" t="n"/>
      <c r="L975" s="25" t="n"/>
      <c r="M975" s="25">
        <f>IF(E975="","",F975+G975+H975+I975+J975+K975+L975)</f>
        <v/>
      </c>
      <c r="N975" s="25">
        <f>IF(E975="","",E975-M975)</f>
        <v/>
      </c>
      <c r="O975" s="15" t="n"/>
    </row>
    <row r="976">
      <c r="A976" s="26" t="n"/>
      <c r="B976" s="14" t="n"/>
      <c r="C976" s="14" t="n"/>
      <c r="D976" s="14" t="n"/>
      <c r="E976" s="27" t="n"/>
      <c r="F976" s="27">
        <f>IF(E976="","",E976*0.065)</f>
        <v/>
      </c>
      <c r="G976" s="27">
        <f>IF(E976="","",E976*0.03+0.25)</f>
        <v/>
      </c>
      <c r="H976" s="27" t="n"/>
      <c r="I976" s="27" t="n"/>
      <c r="J976" s="27" t="n"/>
      <c r="K976" s="27" t="n"/>
      <c r="L976" s="27" t="n"/>
      <c r="M976" s="27">
        <f>IF(E976="","",F976+G976+H976+I976+J976+K976+L976)</f>
        <v/>
      </c>
      <c r="N976" s="27">
        <f>IF(E976="","",E976-M976)</f>
        <v/>
      </c>
      <c r="O976" s="14" t="n"/>
    </row>
    <row r="977">
      <c r="A977" s="24" t="n"/>
      <c r="B977" s="15" t="n"/>
      <c r="C977" s="15" t="n"/>
      <c r="D977" s="15" t="n"/>
      <c r="E977" s="25" t="n"/>
      <c r="F977" s="25">
        <f>IF(E977="","",E977*0.065)</f>
        <v/>
      </c>
      <c r="G977" s="25">
        <f>IF(E977="","",E977*0.03+0.25)</f>
        <v/>
      </c>
      <c r="H977" s="25" t="n"/>
      <c r="I977" s="25" t="n"/>
      <c r="J977" s="25" t="n"/>
      <c r="K977" s="25" t="n"/>
      <c r="L977" s="25" t="n"/>
      <c r="M977" s="25">
        <f>IF(E977="","",F977+G977+H977+I977+J977+K977+L977)</f>
        <v/>
      </c>
      <c r="N977" s="25">
        <f>IF(E977="","",E977-M977)</f>
        <v/>
      </c>
      <c r="O977" s="15" t="n"/>
    </row>
    <row r="978">
      <c r="A978" s="26" t="n"/>
      <c r="B978" s="14" t="n"/>
      <c r="C978" s="14" t="n"/>
      <c r="D978" s="14" t="n"/>
      <c r="E978" s="27" t="n"/>
      <c r="F978" s="27">
        <f>IF(E978="","",E978*0.065)</f>
        <v/>
      </c>
      <c r="G978" s="27">
        <f>IF(E978="","",E978*0.03+0.25)</f>
        <v/>
      </c>
      <c r="H978" s="27" t="n"/>
      <c r="I978" s="27" t="n"/>
      <c r="J978" s="27" t="n"/>
      <c r="K978" s="27" t="n"/>
      <c r="L978" s="27" t="n"/>
      <c r="M978" s="27">
        <f>IF(E978="","",F978+G978+H978+I978+J978+K978+L978)</f>
        <v/>
      </c>
      <c r="N978" s="27">
        <f>IF(E978="","",E978-M978)</f>
        <v/>
      </c>
      <c r="O978" s="14" t="n"/>
    </row>
    <row r="979">
      <c r="A979" s="24" t="n"/>
      <c r="B979" s="15" t="n"/>
      <c r="C979" s="15" t="n"/>
      <c r="D979" s="15" t="n"/>
      <c r="E979" s="25" t="n"/>
      <c r="F979" s="25">
        <f>IF(E979="","",E979*0.065)</f>
        <v/>
      </c>
      <c r="G979" s="25">
        <f>IF(E979="","",E979*0.03+0.25)</f>
        <v/>
      </c>
      <c r="H979" s="25" t="n"/>
      <c r="I979" s="25" t="n"/>
      <c r="J979" s="25" t="n"/>
      <c r="K979" s="25" t="n"/>
      <c r="L979" s="25" t="n"/>
      <c r="M979" s="25">
        <f>IF(E979="","",F979+G979+H979+I979+J979+K979+L979)</f>
        <v/>
      </c>
      <c r="N979" s="25">
        <f>IF(E979="","",E979-M979)</f>
        <v/>
      </c>
      <c r="O979" s="15" t="n"/>
    </row>
    <row r="980">
      <c r="A980" s="26" t="n"/>
      <c r="B980" s="14" t="n"/>
      <c r="C980" s="14" t="n"/>
      <c r="D980" s="14" t="n"/>
      <c r="E980" s="27" t="n"/>
      <c r="F980" s="27">
        <f>IF(E980="","",E980*0.065)</f>
        <v/>
      </c>
      <c r="G980" s="27">
        <f>IF(E980="","",E980*0.03+0.25)</f>
        <v/>
      </c>
      <c r="H980" s="27" t="n"/>
      <c r="I980" s="27" t="n"/>
      <c r="J980" s="27" t="n"/>
      <c r="K980" s="27" t="n"/>
      <c r="L980" s="27" t="n"/>
      <c r="M980" s="27">
        <f>IF(E980="","",F980+G980+H980+I980+J980+K980+L980)</f>
        <v/>
      </c>
      <c r="N980" s="27">
        <f>IF(E980="","",E980-M980)</f>
        <v/>
      </c>
      <c r="O980" s="14" t="n"/>
    </row>
    <row r="981">
      <c r="A981" s="24" t="n"/>
      <c r="B981" s="15" t="n"/>
      <c r="C981" s="15" t="n"/>
      <c r="D981" s="15" t="n"/>
      <c r="E981" s="25" t="n"/>
      <c r="F981" s="25">
        <f>IF(E981="","",E981*0.065)</f>
        <v/>
      </c>
      <c r="G981" s="25">
        <f>IF(E981="","",E981*0.03+0.25)</f>
        <v/>
      </c>
      <c r="H981" s="25" t="n"/>
      <c r="I981" s="25" t="n"/>
      <c r="J981" s="25" t="n"/>
      <c r="K981" s="25" t="n"/>
      <c r="L981" s="25" t="n"/>
      <c r="M981" s="25">
        <f>IF(E981="","",F981+G981+H981+I981+J981+K981+L981)</f>
        <v/>
      </c>
      <c r="N981" s="25">
        <f>IF(E981="","",E981-M981)</f>
        <v/>
      </c>
      <c r="O981" s="15" t="n"/>
    </row>
    <row r="982">
      <c r="A982" s="26" t="n"/>
      <c r="B982" s="14" t="n"/>
      <c r="C982" s="14" t="n"/>
      <c r="D982" s="14" t="n"/>
      <c r="E982" s="27" t="n"/>
      <c r="F982" s="27">
        <f>IF(E982="","",E982*0.065)</f>
        <v/>
      </c>
      <c r="G982" s="27">
        <f>IF(E982="","",E982*0.03+0.25)</f>
        <v/>
      </c>
      <c r="H982" s="27" t="n"/>
      <c r="I982" s="27" t="n"/>
      <c r="J982" s="27" t="n"/>
      <c r="K982" s="27" t="n"/>
      <c r="L982" s="27" t="n"/>
      <c r="M982" s="27">
        <f>IF(E982="","",F982+G982+H982+I982+J982+K982+L982)</f>
        <v/>
      </c>
      <c r="N982" s="27">
        <f>IF(E982="","",E982-M982)</f>
        <v/>
      </c>
      <c r="O982" s="14" t="n"/>
    </row>
    <row r="983">
      <c r="A983" s="24" t="n"/>
      <c r="B983" s="15" t="n"/>
      <c r="C983" s="15" t="n"/>
      <c r="D983" s="15" t="n"/>
      <c r="E983" s="25" t="n"/>
      <c r="F983" s="25">
        <f>IF(E983="","",E983*0.065)</f>
        <v/>
      </c>
      <c r="G983" s="25">
        <f>IF(E983="","",E983*0.03+0.25)</f>
        <v/>
      </c>
      <c r="H983" s="25" t="n"/>
      <c r="I983" s="25" t="n"/>
      <c r="J983" s="25" t="n"/>
      <c r="K983" s="25" t="n"/>
      <c r="L983" s="25" t="n"/>
      <c r="M983" s="25">
        <f>IF(E983="","",F983+G983+H983+I983+J983+K983+L983)</f>
        <v/>
      </c>
      <c r="N983" s="25">
        <f>IF(E983="","",E983-M983)</f>
        <v/>
      </c>
      <c r="O983" s="15" t="n"/>
    </row>
    <row r="984">
      <c r="A984" s="26" t="n"/>
      <c r="B984" s="14" t="n"/>
      <c r="C984" s="14" t="n"/>
      <c r="D984" s="14" t="n"/>
      <c r="E984" s="27" t="n"/>
      <c r="F984" s="27">
        <f>IF(E984="","",E984*0.065)</f>
        <v/>
      </c>
      <c r="G984" s="27">
        <f>IF(E984="","",E984*0.03+0.25)</f>
        <v/>
      </c>
      <c r="H984" s="27" t="n"/>
      <c r="I984" s="27" t="n"/>
      <c r="J984" s="27" t="n"/>
      <c r="K984" s="27" t="n"/>
      <c r="L984" s="27" t="n"/>
      <c r="M984" s="27">
        <f>IF(E984="","",F984+G984+H984+I984+J984+K984+L984)</f>
        <v/>
      </c>
      <c r="N984" s="27">
        <f>IF(E984="","",E984-M984)</f>
        <v/>
      </c>
      <c r="O984" s="14" t="n"/>
    </row>
    <row r="985">
      <c r="A985" s="24" t="n"/>
      <c r="B985" s="15" t="n"/>
      <c r="C985" s="15" t="n"/>
      <c r="D985" s="15" t="n"/>
      <c r="E985" s="25" t="n"/>
      <c r="F985" s="25">
        <f>IF(E985="","",E985*0.065)</f>
        <v/>
      </c>
      <c r="G985" s="25">
        <f>IF(E985="","",E985*0.03+0.25)</f>
        <v/>
      </c>
      <c r="H985" s="25" t="n"/>
      <c r="I985" s="25" t="n"/>
      <c r="J985" s="25" t="n"/>
      <c r="K985" s="25" t="n"/>
      <c r="L985" s="25" t="n"/>
      <c r="M985" s="25">
        <f>IF(E985="","",F985+G985+H985+I985+J985+K985+L985)</f>
        <v/>
      </c>
      <c r="N985" s="25">
        <f>IF(E985="","",E985-M985)</f>
        <v/>
      </c>
      <c r="O985" s="15" t="n"/>
    </row>
    <row r="986">
      <c r="A986" s="26" t="n"/>
      <c r="B986" s="14" t="n"/>
      <c r="C986" s="14" t="n"/>
      <c r="D986" s="14" t="n"/>
      <c r="E986" s="27" t="n"/>
      <c r="F986" s="27">
        <f>IF(E986="","",E986*0.065)</f>
        <v/>
      </c>
      <c r="G986" s="27">
        <f>IF(E986="","",E986*0.03+0.25)</f>
        <v/>
      </c>
      <c r="H986" s="27" t="n"/>
      <c r="I986" s="27" t="n"/>
      <c r="J986" s="27" t="n"/>
      <c r="K986" s="27" t="n"/>
      <c r="L986" s="27" t="n"/>
      <c r="M986" s="27">
        <f>IF(E986="","",F986+G986+H986+I986+J986+K986+L986)</f>
        <v/>
      </c>
      <c r="N986" s="27">
        <f>IF(E986="","",E986-M986)</f>
        <v/>
      </c>
      <c r="O986" s="14" t="n"/>
    </row>
    <row r="987">
      <c r="A987" s="24" t="n"/>
      <c r="B987" s="15" t="n"/>
      <c r="C987" s="15" t="n"/>
      <c r="D987" s="15" t="n"/>
      <c r="E987" s="25" t="n"/>
      <c r="F987" s="25">
        <f>IF(E987="","",E987*0.065)</f>
        <v/>
      </c>
      <c r="G987" s="25">
        <f>IF(E987="","",E987*0.03+0.25)</f>
        <v/>
      </c>
      <c r="H987" s="25" t="n"/>
      <c r="I987" s="25" t="n"/>
      <c r="J987" s="25" t="n"/>
      <c r="K987" s="25" t="n"/>
      <c r="L987" s="25" t="n"/>
      <c r="M987" s="25">
        <f>IF(E987="","",F987+G987+H987+I987+J987+K987+L987)</f>
        <v/>
      </c>
      <c r="N987" s="25">
        <f>IF(E987="","",E987-M987)</f>
        <v/>
      </c>
      <c r="O987" s="15" t="n"/>
    </row>
    <row r="988">
      <c r="A988" s="26" t="n"/>
      <c r="B988" s="14" t="n"/>
      <c r="C988" s="14" t="n"/>
      <c r="D988" s="14" t="n"/>
      <c r="E988" s="27" t="n"/>
      <c r="F988" s="27">
        <f>IF(E988="","",E988*0.065)</f>
        <v/>
      </c>
      <c r="G988" s="27">
        <f>IF(E988="","",E988*0.03+0.25)</f>
        <v/>
      </c>
      <c r="H988" s="27" t="n"/>
      <c r="I988" s="27" t="n"/>
      <c r="J988" s="27" t="n"/>
      <c r="K988" s="27" t="n"/>
      <c r="L988" s="27" t="n"/>
      <c r="M988" s="27">
        <f>IF(E988="","",F988+G988+H988+I988+J988+K988+L988)</f>
        <v/>
      </c>
      <c r="N988" s="27">
        <f>IF(E988="","",E988-M988)</f>
        <v/>
      </c>
      <c r="O988" s="14" t="n"/>
    </row>
    <row r="989">
      <c r="A989" s="24" t="n"/>
      <c r="B989" s="15" t="n"/>
      <c r="C989" s="15" t="n"/>
      <c r="D989" s="15" t="n"/>
      <c r="E989" s="25" t="n"/>
      <c r="F989" s="25">
        <f>IF(E989="","",E989*0.065)</f>
        <v/>
      </c>
      <c r="G989" s="25">
        <f>IF(E989="","",E989*0.03+0.25)</f>
        <v/>
      </c>
      <c r="H989" s="25" t="n"/>
      <c r="I989" s="25" t="n"/>
      <c r="J989" s="25" t="n"/>
      <c r="K989" s="25" t="n"/>
      <c r="L989" s="25" t="n"/>
      <c r="M989" s="25">
        <f>IF(E989="","",F989+G989+H989+I989+J989+K989+L989)</f>
        <v/>
      </c>
      <c r="N989" s="25">
        <f>IF(E989="","",E989-M989)</f>
        <v/>
      </c>
      <c r="O989" s="15" t="n"/>
    </row>
    <row r="990">
      <c r="A990" s="26" t="n"/>
      <c r="B990" s="14" t="n"/>
      <c r="C990" s="14" t="n"/>
      <c r="D990" s="14" t="n"/>
      <c r="E990" s="27" t="n"/>
      <c r="F990" s="27">
        <f>IF(E990="","",E990*0.065)</f>
        <v/>
      </c>
      <c r="G990" s="27">
        <f>IF(E990="","",E990*0.03+0.25)</f>
        <v/>
      </c>
      <c r="H990" s="27" t="n"/>
      <c r="I990" s="27" t="n"/>
      <c r="J990" s="27" t="n"/>
      <c r="K990" s="27" t="n"/>
      <c r="L990" s="27" t="n"/>
      <c r="M990" s="27">
        <f>IF(E990="","",F990+G990+H990+I990+J990+K990+L990)</f>
        <v/>
      </c>
      <c r="N990" s="27">
        <f>IF(E990="","",E990-M990)</f>
        <v/>
      </c>
      <c r="O990" s="14" t="n"/>
    </row>
    <row r="991">
      <c r="A991" s="24" t="n"/>
      <c r="B991" s="15" t="n"/>
      <c r="C991" s="15" t="n"/>
      <c r="D991" s="15" t="n"/>
      <c r="E991" s="25" t="n"/>
      <c r="F991" s="25">
        <f>IF(E991="","",E991*0.065)</f>
        <v/>
      </c>
      <c r="G991" s="25">
        <f>IF(E991="","",E991*0.03+0.25)</f>
        <v/>
      </c>
      <c r="H991" s="25" t="n"/>
      <c r="I991" s="25" t="n"/>
      <c r="J991" s="25" t="n"/>
      <c r="K991" s="25" t="n"/>
      <c r="L991" s="25" t="n"/>
      <c r="M991" s="25">
        <f>IF(E991="","",F991+G991+H991+I991+J991+K991+L991)</f>
        <v/>
      </c>
      <c r="N991" s="25">
        <f>IF(E991="","",E991-M991)</f>
        <v/>
      </c>
      <c r="O991" s="15" t="n"/>
    </row>
    <row r="992">
      <c r="A992" s="26" t="n"/>
      <c r="B992" s="14" t="n"/>
      <c r="C992" s="14" t="n"/>
      <c r="D992" s="14" t="n"/>
      <c r="E992" s="27" t="n"/>
      <c r="F992" s="27">
        <f>IF(E992="","",E992*0.065)</f>
        <v/>
      </c>
      <c r="G992" s="27">
        <f>IF(E992="","",E992*0.03+0.25)</f>
        <v/>
      </c>
      <c r="H992" s="27" t="n"/>
      <c r="I992" s="27" t="n"/>
      <c r="J992" s="27" t="n"/>
      <c r="K992" s="27" t="n"/>
      <c r="L992" s="27" t="n"/>
      <c r="M992" s="27">
        <f>IF(E992="","",F992+G992+H992+I992+J992+K992+L992)</f>
        <v/>
      </c>
      <c r="N992" s="27">
        <f>IF(E992="","",E992-M992)</f>
        <v/>
      </c>
      <c r="O992" s="14" t="n"/>
    </row>
    <row r="993">
      <c r="A993" s="24" t="n"/>
      <c r="B993" s="15" t="n"/>
      <c r="C993" s="15" t="n"/>
      <c r="D993" s="15" t="n"/>
      <c r="E993" s="25" t="n"/>
      <c r="F993" s="25">
        <f>IF(E993="","",E993*0.065)</f>
        <v/>
      </c>
      <c r="G993" s="25">
        <f>IF(E993="","",E993*0.03+0.25)</f>
        <v/>
      </c>
      <c r="H993" s="25" t="n"/>
      <c r="I993" s="25" t="n"/>
      <c r="J993" s="25" t="n"/>
      <c r="K993" s="25" t="n"/>
      <c r="L993" s="25" t="n"/>
      <c r="M993" s="25">
        <f>IF(E993="","",F993+G993+H993+I993+J993+K993+L993)</f>
        <v/>
      </c>
      <c r="N993" s="25">
        <f>IF(E993="","",E993-M993)</f>
        <v/>
      </c>
      <c r="O993" s="15" t="n"/>
    </row>
    <row r="994">
      <c r="A994" s="26" t="n"/>
      <c r="B994" s="14" t="n"/>
      <c r="C994" s="14" t="n"/>
      <c r="D994" s="14" t="n"/>
      <c r="E994" s="27" t="n"/>
      <c r="F994" s="27">
        <f>IF(E994="","",E994*0.065)</f>
        <v/>
      </c>
      <c r="G994" s="27">
        <f>IF(E994="","",E994*0.03+0.25)</f>
        <v/>
      </c>
      <c r="H994" s="27" t="n"/>
      <c r="I994" s="27" t="n"/>
      <c r="J994" s="27" t="n"/>
      <c r="K994" s="27" t="n"/>
      <c r="L994" s="27" t="n"/>
      <c r="M994" s="27">
        <f>IF(E994="","",F994+G994+H994+I994+J994+K994+L994)</f>
        <v/>
      </c>
      <c r="N994" s="27">
        <f>IF(E994="","",E994-M994)</f>
        <v/>
      </c>
      <c r="O994" s="14" t="n"/>
    </row>
    <row r="995">
      <c r="A995" s="24" t="n"/>
      <c r="B995" s="15" t="n"/>
      <c r="C995" s="15" t="n"/>
      <c r="D995" s="15" t="n"/>
      <c r="E995" s="25" t="n"/>
      <c r="F995" s="25">
        <f>IF(E995="","",E995*0.065)</f>
        <v/>
      </c>
      <c r="G995" s="25">
        <f>IF(E995="","",E995*0.03+0.25)</f>
        <v/>
      </c>
      <c r="H995" s="25" t="n"/>
      <c r="I995" s="25" t="n"/>
      <c r="J995" s="25" t="n"/>
      <c r="K995" s="25" t="n"/>
      <c r="L995" s="25" t="n"/>
      <c r="M995" s="25">
        <f>IF(E995="","",F995+G995+H995+I995+J995+K995+L995)</f>
        <v/>
      </c>
      <c r="N995" s="25">
        <f>IF(E995="","",E995-M995)</f>
        <v/>
      </c>
      <c r="O995" s="15" t="n"/>
    </row>
    <row r="996">
      <c r="A996" s="26" t="n"/>
      <c r="B996" s="14" t="n"/>
      <c r="C996" s="14" t="n"/>
      <c r="D996" s="14" t="n"/>
      <c r="E996" s="27" t="n"/>
      <c r="F996" s="27">
        <f>IF(E996="","",E996*0.065)</f>
        <v/>
      </c>
      <c r="G996" s="27">
        <f>IF(E996="","",E996*0.03+0.25)</f>
        <v/>
      </c>
      <c r="H996" s="27" t="n"/>
      <c r="I996" s="27" t="n"/>
      <c r="J996" s="27" t="n"/>
      <c r="K996" s="27" t="n"/>
      <c r="L996" s="27" t="n"/>
      <c r="M996" s="27">
        <f>IF(E996="","",F996+G996+H996+I996+J996+K996+L996)</f>
        <v/>
      </c>
      <c r="N996" s="27">
        <f>IF(E996="","",E996-M996)</f>
        <v/>
      </c>
      <c r="O996" s="14" t="n"/>
    </row>
    <row r="997">
      <c r="A997" s="24" t="n"/>
      <c r="B997" s="15" t="n"/>
      <c r="C997" s="15" t="n"/>
      <c r="D997" s="15" t="n"/>
      <c r="E997" s="25" t="n"/>
      <c r="F997" s="25">
        <f>IF(E997="","",E997*0.065)</f>
        <v/>
      </c>
      <c r="G997" s="25">
        <f>IF(E997="","",E997*0.03+0.25)</f>
        <v/>
      </c>
      <c r="H997" s="25" t="n"/>
      <c r="I997" s="25" t="n"/>
      <c r="J997" s="25" t="n"/>
      <c r="K997" s="25" t="n"/>
      <c r="L997" s="25" t="n"/>
      <c r="M997" s="25">
        <f>IF(E997="","",F997+G997+H997+I997+J997+K997+L997)</f>
        <v/>
      </c>
      <c r="N997" s="25">
        <f>IF(E997="","",E997-M997)</f>
        <v/>
      </c>
      <c r="O997" s="15" t="n"/>
    </row>
    <row r="998">
      <c r="A998" s="26" t="n"/>
      <c r="B998" s="14" t="n"/>
      <c r="C998" s="14" t="n"/>
      <c r="D998" s="14" t="n"/>
      <c r="E998" s="27" t="n"/>
      <c r="F998" s="27">
        <f>IF(E998="","",E998*0.065)</f>
        <v/>
      </c>
      <c r="G998" s="27">
        <f>IF(E998="","",E998*0.03+0.25)</f>
        <v/>
      </c>
      <c r="H998" s="27" t="n"/>
      <c r="I998" s="27" t="n"/>
      <c r="J998" s="27" t="n"/>
      <c r="K998" s="27" t="n"/>
      <c r="L998" s="27" t="n"/>
      <c r="M998" s="27">
        <f>IF(E998="","",F998+G998+H998+I998+J998+K998+L998)</f>
        <v/>
      </c>
      <c r="N998" s="27">
        <f>IF(E998="","",E998-M998)</f>
        <v/>
      </c>
      <c r="O998" s="14" t="n"/>
    </row>
    <row r="999">
      <c r="A999" s="24" t="n"/>
      <c r="B999" s="15" t="n"/>
      <c r="C999" s="15" t="n"/>
      <c r="D999" s="15" t="n"/>
      <c r="E999" s="25" t="n"/>
      <c r="F999" s="25">
        <f>IF(E999="","",E999*0.065)</f>
        <v/>
      </c>
      <c r="G999" s="25">
        <f>IF(E999="","",E999*0.03+0.25)</f>
        <v/>
      </c>
      <c r="H999" s="25" t="n"/>
      <c r="I999" s="25" t="n"/>
      <c r="J999" s="25" t="n"/>
      <c r="K999" s="25" t="n"/>
      <c r="L999" s="25" t="n"/>
      <c r="M999" s="25">
        <f>IF(E999="","",F999+G999+H999+I999+J999+K999+L999)</f>
        <v/>
      </c>
      <c r="N999" s="25">
        <f>IF(E999="","",E999-M999)</f>
        <v/>
      </c>
      <c r="O999" s="15" t="n"/>
    </row>
    <row r="1000">
      <c r="A1000" s="26" t="n"/>
      <c r="B1000" s="14" t="n"/>
      <c r="C1000" s="14" t="n"/>
      <c r="D1000" s="14" t="n"/>
      <c r="E1000" s="27" t="n"/>
      <c r="F1000" s="27">
        <f>IF(E1000="","",E1000*0.065)</f>
        <v/>
      </c>
      <c r="G1000" s="27">
        <f>IF(E1000="","",E1000*0.03+0.25)</f>
        <v/>
      </c>
      <c r="H1000" s="27" t="n"/>
      <c r="I1000" s="27" t="n"/>
      <c r="J1000" s="27" t="n"/>
      <c r="K1000" s="27" t="n"/>
      <c r="L1000" s="27" t="n"/>
      <c r="M1000" s="27">
        <f>IF(E1000="","",F1000+G1000+H1000+I1000+J1000+K1000+L1000)</f>
        <v/>
      </c>
      <c r="N1000" s="27">
        <f>IF(E1000="","",E1000-M1000)</f>
        <v/>
      </c>
      <c r="O1000" s="14" t="n"/>
    </row>
    <row r="1001">
      <c r="A1001" s="24" t="n"/>
      <c r="B1001" s="15" t="n"/>
      <c r="C1001" s="15" t="n"/>
      <c r="D1001" s="15" t="n"/>
      <c r="E1001" s="25" t="n"/>
      <c r="F1001" s="25">
        <f>IF(E1001="","",E1001*0.065)</f>
        <v/>
      </c>
      <c r="G1001" s="25">
        <f>IF(E1001="","",E1001*0.03+0.25)</f>
        <v/>
      </c>
      <c r="H1001" s="25" t="n"/>
      <c r="I1001" s="25" t="n"/>
      <c r="J1001" s="25" t="n"/>
      <c r="K1001" s="25" t="n"/>
      <c r="L1001" s="25" t="n"/>
      <c r="M1001" s="25">
        <f>IF(E1001="","",F1001+G1001+H1001+I1001+J1001+K1001+L1001)</f>
        <v/>
      </c>
      <c r="N1001" s="25">
        <f>IF(E1001="","",E1001-M1001)</f>
        <v/>
      </c>
      <c r="O1001" s="15" t="n"/>
    </row>
    <row r="1002">
      <c r="A1002" s="26" t="n"/>
      <c r="B1002" s="14" t="n"/>
      <c r="C1002" s="14" t="n"/>
      <c r="D1002" s="14" t="n"/>
      <c r="E1002" s="27" t="n"/>
      <c r="F1002" s="27">
        <f>IF(E1002="","",E1002*0.065)</f>
        <v/>
      </c>
      <c r="G1002" s="27">
        <f>IF(E1002="","",E1002*0.03+0.25)</f>
        <v/>
      </c>
      <c r="H1002" s="27" t="n"/>
      <c r="I1002" s="27" t="n"/>
      <c r="J1002" s="27" t="n"/>
      <c r="K1002" s="27" t="n"/>
      <c r="L1002" s="27" t="n"/>
      <c r="M1002" s="27">
        <f>IF(E1002="","",F1002+G1002+H1002+I1002+J1002+K1002+L1002)</f>
        <v/>
      </c>
      <c r="N1002" s="27">
        <f>IF(E1002="","",E1002-M1002)</f>
        <v/>
      </c>
      <c r="O1002" s="14" t="n"/>
    </row>
  </sheetData>
  <mergeCells count="2">
    <mergeCell ref="A2:D2"/>
    <mergeCell ref="A1:N1"/>
  </mergeCells>
  <conditionalFormatting sqref="N5:N100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8DBC9"/>
    <outlinePr summaryBelow="1" summaryRight="1"/>
    <pageSetUpPr/>
  </sheetPr>
  <dimension ref="A1:H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</cols>
  <sheetData>
    <row r="1" ht="36" customHeight="1">
      <c r="A1" s="28" t="inlineStr">
        <is>
          <t>COST OF GOODS SOLD (COGS) PER PRODUCT</t>
        </is>
      </c>
    </row>
    <row r="2" ht="36" customHeight="1">
      <c r="A2" s="12" t="inlineStr">
        <is>
          <t>Product Name</t>
        </is>
      </c>
      <c r="B2" s="12" t="inlineStr">
        <is>
          <t>Category</t>
        </is>
      </c>
      <c r="C2" s="12" t="inlineStr">
        <is>
          <t>Materials
Cost</t>
        </is>
      </c>
      <c r="D2" s="12" t="inlineStr">
        <is>
          <t>Labor Hrs</t>
        </is>
      </c>
      <c r="E2" s="12" t="inlineStr">
        <is>
          <t>Hourly
Rate</t>
        </is>
      </c>
      <c r="F2" s="12" t="inlineStr">
        <is>
          <t>Total COGS</t>
        </is>
      </c>
      <c r="G2" s="12" t="inlineStr">
        <is>
          <t>Selling
Price</t>
        </is>
      </c>
      <c r="H2" s="12" t="inlineStr">
        <is>
          <t>Gross
Margin %</t>
        </is>
      </c>
    </row>
    <row r="3">
      <c r="A3" s="15" t="n"/>
      <c r="B3" s="15" t="n"/>
      <c r="C3" s="25" t="n"/>
      <c r="D3" s="15" t="n"/>
      <c r="E3" s="25" t="n"/>
      <c r="F3" s="25">
        <f>IF(C3="","",C3+(D3*E3))</f>
        <v/>
      </c>
      <c r="G3" s="25" t="n"/>
      <c r="H3" s="29">
        <f>IF(G3=0,"",IF(G3="","",(G3-F3)/G3))</f>
        <v/>
      </c>
    </row>
    <row r="4">
      <c r="A4" s="14" t="n"/>
      <c r="B4" s="14" t="n"/>
      <c r="C4" s="27" t="n"/>
      <c r="D4" s="14" t="n"/>
      <c r="E4" s="27" t="n"/>
      <c r="F4" s="27">
        <f>IF(C4="","",C4+(D4*E4))</f>
        <v/>
      </c>
      <c r="G4" s="27" t="n"/>
      <c r="H4" s="30">
        <f>IF(G4=0,"",IF(G4="","",(G4-F4)/G4))</f>
        <v/>
      </c>
    </row>
    <row r="5">
      <c r="A5" s="15" t="n"/>
      <c r="B5" s="15" t="n"/>
      <c r="C5" s="25" t="n"/>
      <c r="D5" s="15" t="n"/>
      <c r="E5" s="25" t="n"/>
      <c r="F5" s="25">
        <f>IF(C5="","",C5+(D5*E5))</f>
        <v/>
      </c>
      <c r="G5" s="25" t="n"/>
      <c r="H5" s="29">
        <f>IF(G5=0,"",IF(G5="","",(G5-F5)/G5))</f>
        <v/>
      </c>
    </row>
    <row r="6">
      <c r="A6" s="14" t="n"/>
      <c r="B6" s="14" t="n"/>
      <c r="C6" s="27" t="n"/>
      <c r="D6" s="14" t="n"/>
      <c r="E6" s="27" t="n"/>
      <c r="F6" s="27">
        <f>IF(C6="","",C6+(D6*E6))</f>
        <v/>
      </c>
      <c r="G6" s="27" t="n"/>
      <c r="H6" s="30">
        <f>IF(G6=0,"",IF(G6="","",(G6-F6)/G6))</f>
        <v/>
      </c>
    </row>
    <row r="7">
      <c r="A7" s="15" t="n"/>
      <c r="B7" s="15" t="n"/>
      <c r="C7" s="25" t="n"/>
      <c r="D7" s="15" t="n"/>
      <c r="E7" s="25" t="n"/>
      <c r="F7" s="25">
        <f>IF(C7="","",C7+(D7*E7))</f>
        <v/>
      </c>
      <c r="G7" s="25" t="n"/>
      <c r="H7" s="29">
        <f>IF(G7=0,"",IF(G7="","",(G7-F7)/G7))</f>
        <v/>
      </c>
    </row>
    <row r="8">
      <c r="A8" s="14" t="n"/>
      <c r="B8" s="14" t="n"/>
      <c r="C8" s="27" t="n"/>
      <c r="D8" s="14" t="n"/>
      <c r="E8" s="27" t="n"/>
      <c r="F8" s="27">
        <f>IF(C8="","",C8+(D8*E8))</f>
        <v/>
      </c>
      <c r="G8" s="27" t="n"/>
      <c r="H8" s="30">
        <f>IF(G8=0,"",IF(G8="","",(G8-F8)/G8))</f>
        <v/>
      </c>
    </row>
    <row r="9">
      <c r="A9" s="15" t="n"/>
      <c r="B9" s="15" t="n"/>
      <c r="C9" s="25" t="n"/>
      <c r="D9" s="15" t="n"/>
      <c r="E9" s="25" t="n"/>
      <c r="F9" s="25">
        <f>IF(C9="","",C9+(D9*E9))</f>
        <v/>
      </c>
      <c r="G9" s="25" t="n"/>
      <c r="H9" s="29">
        <f>IF(G9=0,"",IF(G9="","",(G9-F9)/G9))</f>
        <v/>
      </c>
    </row>
    <row r="10">
      <c r="A10" s="14" t="n"/>
      <c r="B10" s="14" t="n"/>
      <c r="C10" s="27" t="n"/>
      <c r="D10" s="14" t="n"/>
      <c r="E10" s="27" t="n"/>
      <c r="F10" s="27">
        <f>IF(C10="","",C10+(D10*E10))</f>
        <v/>
      </c>
      <c r="G10" s="27" t="n"/>
      <c r="H10" s="30">
        <f>IF(G10=0,"",IF(G10="","",(G10-F10)/G10))</f>
        <v/>
      </c>
    </row>
    <row r="11">
      <c r="A11" s="15" t="n"/>
      <c r="B11" s="15" t="n"/>
      <c r="C11" s="25" t="n"/>
      <c r="D11" s="15" t="n"/>
      <c r="E11" s="25" t="n"/>
      <c r="F11" s="25">
        <f>IF(C11="","",C11+(D11*E11))</f>
        <v/>
      </c>
      <c r="G11" s="25" t="n"/>
      <c r="H11" s="29">
        <f>IF(G11=0,"",IF(G11="","",(G11-F11)/G11))</f>
        <v/>
      </c>
    </row>
    <row r="12">
      <c r="A12" s="14" t="n"/>
      <c r="B12" s="14" t="n"/>
      <c r="C12" s="27" t="n"/>
      <c r="D12" s="14" t="n"/>
      <c r="E12" s="27" t="n"/>
      <c r="F12" s="27">
        <f>IF(C12="","",C12+(D12*E12))</f>
        <v/>
      </c>
      <c r="G12" s="27" t="n"/>
      <c r="H12" s="30">
        <f>IF(G12=0,"",IF(G12="","",(G12-F12)/G12))</f>
        <v/>
      </c>
    </row>
    <row r="13">
      <c r="A13" s="15" t="n"/>
      <c r="B13" s="15" t="n"/>
      <c r="C13" s="25" t="n"/>
      <c r="D13" s="15" t="n"/>
      <c r="E13" s="25" t="n"/>
      <c r="F13" s="25">
        <f>IF(C13="","",C13+(D13*E13))</f>
        <v/>
      </c>
      <c r="G13" s="25" t="n"/>
      <c r="H13" s="29">
        <f>IF(G13=0,"",IF(G13="","",(G13-F13)/G13))</f>
        <v/>
      </c>
    </row>
    <row r="14">
      <c r="A14" s="14" t="n"/>
      <c r="B14" s="14" t="n"/>
      <c r="C14" s="27" t="n"/>
      <c r="D14" s="14" t="n"/>
      <c r="E14" s="27" t="n"/>
      <c r="F14" s="27">
        <f>IF(C14="","",C14+(D14*E14))</f>
        <v/>
      </c>
      <c r="G14" s="27" t="n"/>
      <c r="H14" s="30">
        <f>IF(G14=0,"",IF(G14="","",(G14-F14)/G14))</f>
        <v/>
      </c>
    </row>
    <row r="15">
      <c r="A15" s="15" t="n"/>
      <c r="B15" s="15" t="n"/>
      <c r="C15" s="25" t="n"/>
      <c r="D15" s="15" t="n"/>
      <c r="E15" s="25" t="n"/>
      <c r="F15" s="25">
        <f>IF(C15="","",C15+(D15*E15))</f>
        <v/>
      </c>
      <c r="G15" s="25" t="n"/>
      <c r="H15" s="29">
        <f>IF(G15=0,"",IF(G15="","",(G15-F15)/G15))</f>
        <v/>
      </c>
    </row>
    <row r="16">
      <c r="A16" s="14" t="n"/>
      <c r="B16" s="14" t="n"/>
      <c r="C16" s="27" t="n"/>
      <c r="D16" s="14" t="n"/>
      <c r="E16" s="27" t="n"/>
      <c r="F16" s="27">
        <f>IF(C16="","",C16+(D16*E16))</f>
        <v/>
      </c>
      <c r="G16" s="27" t="n"/>
      <c r="H16" s="30">
        <f>IF(G16=0,"",IF(G16="","",(G16-F16)/G16))</f>
        <v/>
      </c>
    </row>
    <row r="17">
      <c r="A17" s="15" t="n"/>
      <c r="B17" s="15" t="n"/>
      <c r="C17" s="25" t="n"/>
      <c r="D17" s="15" t="n"/>
      <c r="E17" s="25" t="n"/>
      <c r="F17" s="25">
        <f>IF(C17="","",C17+(D17*E17))</f>
        <v/>
      </c>
      <c r="G17" s="25" t="n"/>
      <c r="H17" s="29">
        <f>IF(G17=0,"",IF(G17="","",(G17-F17)/G17))</f>
        <v/>
      </c>
    </row>
    <row r="18">
      <c r="A18" s="14" t="n"/>
      <c r="B18" s="14" t="n"/>
      <c r="C18" s="27" t="n"/>
      <c r="D18" s="14" t="n"/>
      <c r="E18" s="27" t="n"/>
      <c r="F18" s="27">
        <f>IF(C18="","",C18+(D18*E18))</f>
        <v/>
      </c>
      <c r="G18" s="27" t="n"/>
      <c r="H18" s="30">
        <f>IF(G18=0,"",IF(G18="","",(G18-F18)/G18))</f>
        <v/>
      </c>
    </row>
    <row r="19">
      <c r="A19" s="15" t="n"/>
      <c r="B19" s="15" t="n"/>
      <c r="C19" s="25" t="n"/>
      <c r="D19" s="15" t="n"/>
      <c r="E19" s="25" t="n"/>
      <c r="F19" s="25">
        <f>IF(C19="","",C19+(D19*E19))</f>
        <v/>
      </c>
      <c r="G19" s="25" t="n"/>
      <c r="H19" s="29">
        <f>IF(G19=0,"",IF(G19="","",(G19-F19)/G19))</f>
        <v/>
      </c>
    </row>
    <row r="20">
      <c r="A20" s="14" t="n"/>
      <c r="B20" s="14" t="n"/>
      <c r="C20" s="27" t="n"/>
      <c r="D20" s="14" t="n"/>
      <c r="E20" s="27" t="n"/>
      <c r="F20" s="27">
        <f>IF(C20="","",C20+(D20*E20))</f>
        <v/>
      </c>
      <c r="G20" s="27" t="n"/>
      <c r="H20" s="30">
        <f>IF(G20=0,"",IF(G20="","",(G20-F20)/G20))</f>
        <v/>
      </c>
    </row>
    <row r="21">
      <c r="A21" s="15" t="n"/>
      <c r="B21" s="15" t="n"/>
      <c r="C21" s="25" t="n"/>
      <c r="D21" s="15" t="n"/>
      <c r="E21" s="25" t="n"/>
      <c r="F21" s="25">
        <f>IF(C21="","",C21+(D21*E21))</f>
        <v/>
      </c>
      <c r="G21" s="25" t="n"/>
      <c r="H21" s="29">
        <f>IF(G21=0,"",IF(G21="","",(G21-F21)/G21))</f>
        <v/>
      </c>
    </row>
    <row r="22">
      <c r="A22" s="14" t="n"/>
      <c r="B22" s="14" t="n"/>
      <c r="C22" s="27" t="n"/>
      <c r="D22" s="14" t="n"/>
      <c r="E22" s="27" t="n"/>
      <c r="F22" s="27">
        <f>IF(C22="","",C22+(D22*E22))</f>
        <v/>
      </c>
      <c r="G22" s="27" t="n"/>
      <c r="H22" s="30">
        <f>IF(G22=0,"",IF(G22="","",(G22-F22)/G22))</f>
        <v/>
      </c>
    </row>
    <row r="23">
      <c r="A23" s="15" t="n"/>
      <c r="B23" s="15" t="n"/>
      <c r="C23" s="25" t="n"/>
      <c r="D23" s="15" t="n"/>
      <c r="E23" s="25" t="n"/>
      <c r="F23" s="25">
        <f>IF(C23="","",C23+(D23*E23))</f>
        <v/>
      </c>
      <c r="G23" s="25" t="n"/>
      <c r="H23" s="29">
        <f>IF(G23=0,"",IF(G23="","",(G23-F23)/G23))</f>
        <v/>
      </c>
    </row>
    <row r="24">
      <c r="A24" s="14" t="n"/>
      <c r="B24" s="14" t="n"/>
      <c r="C24" s="27" t="n"/>
      <c r="D24" s="14" t="n"/>
      <c r="E24" s="27" t="n"/>
      <c r="F24" s="27">
        <f>IF(C24="","",C24+(D24*E24))</f>
        <v/>
      </c>
      <c r="G24" s="27" t="n"/>
      <c r="H24" s="30">
        <f>IF(G24=0,"",IF(G24="","",(G24-F24)/G24))</f>
        <v/>
      </c>
    </row>
    <row r="25">
      <c r="A25" s="15" t="n"/>
      <c r="B25" s="15" t="n"/>
      <c r="C25" s="25" t="n"/>
      <c r="D25" s="15" t="n"/>
      <c r="E25" s="25" t="n"/>
      <c r="F25" s="25">
        <f>IF(C25="","",C25+(D25*E25))</f>
        <v/>
      </c>
      <c r="G25" s="25" t="n"/>
      <c r="H25" s="29">
        <f>IF(G25=0,"",IF(G25="","",(G25-F25)/G25))</f>
        <v/>
      </c>
    </row>
    <row r="26">
      <c r="A26" s="14" t="n"/>
      <c r="B26" s="14" t="n"/>
      <c r="C26" s="27" t="n"/>
      <c r="D26" s="14" t="n"/>
      <c r="E26" s="27" t="n"/>
      <c r="F26" s="27">
        <f>IF(C26="","",C26+(D26*E26))</f>
        <v/>
      </c>
      <c r="G26" s="27" t="n"/>
      <c r="H26" s="30">
        <f>IF(G26=0,"",IF(G26="","",(G26-F26)/G26))</f>
        <v/>
      </c>
    </row>
    <row r="27">
      <c r="A27" s="15" t="n"/>
      <c r="B27" s="15" t="n"/>
      <c r="C27" s="25" t="n"/>
      <c r="D27" s="15" t="n"/>
      <c r="E27" s="25" t="n"/>
      <c r="F27" s="25">
        <f>IF(C27="","",C27+(D27*E27))</f>
        <v/>
      </c>
      <c r="G27" s="25" t="n"/>
      <c r="H27" s="29">
        <f>IF(G27=0,"",IF(G27="","",(G27-F27)/G27))</f>
        <v/>
      </c>
    </row>
    <row r="28">
      <c r="A28" s="14" t="n"/>
      <c r="B28" s="14" t="n"/>
      <c r="C28" s="27" t="n"/>
      <c r="D28" s="14" t="n"/>
      <c r="E28" s="27" t="n"/>
      <c r="F28" s="27">
        <f>IF(C28="","",C28+(D28*E28))</f>
        <v/>
      </c>
      <c r="G28" s="27" t="n"/>
      <c r="H28" s="30">
        <f>IF(G28=0,"",IF(G28="","",(G28-F28)/G28))</f>
        <v/>
      </c>
    </row>
    <row r="29">
      <c r="A29" s="15" t="n"/>
      <c r="B29" s="15" t="n"/>
      <c r="C29" s="25" t="n"/>
      <c r="D29" s="15" t="n"/>
      <c r="E29" s="25" t="n"/>
      <c r="F29" s="25">
        <f>IF(C29="","",C29+(D29*E29))</f>
        <v/>
      </c>
      <c r="G29" s="25" t="n"/>
      <c r="H29" s="29">
        <f>IF(G29=0,"",IF(G29="","",(G29-F29)/G29))</f>
        <v/>
      </c>
    </row>
    <row r="30">
      <c r="A30" s="14" t="n"/>
      <c r="B30" s="14" t="n"/>
      <c r="C30" s="27" t="n"/>
      <c r="D30" s="14" t="n"/>
      <c r="E30" s="27" t="n"/>
      <c r="F30" s="27">
        <f>IF(C30="","",C30+(D30*E30))</f>
        <v/>
      </c>
      <c r="G30" s="27" t="n"/>
      <c r="H30" s="30">
        <f>IF(G30=0,"",IF(G30="","",(G30-F30)/G30))</f>
        <v/>
      </c>
    </row>
    <row r="31">
      <c r="A31" s="15" t="n"/>
      <c r="B31" s="15" t="n"/>
      <c r="C31" s="25" t="n"/>
      <c r="D31" s="15" t="n"/>
      <c r="E31" s="25" t="n"/>
      <c r="F31" s="25">
        <f>IF(C31="","",C31+(D31*E31))</f>
        <v/>
      </c>
      <c r="G31" s="25" t="n"/>
      <c r="H31" s="29">
        <f>IF(G31=0,"",IF(G31="","",(G31-F31)/G31))</f>
        <v/>
      </c>
    </row>
    <row r="32">
      <c r="A32" s="14" t="n"/>
      <c r="B32" s="14" t="n"/>
      <c r="C32" s="27" t="n"/>
      <c r="D32" s="14" t="n"/>
      <c r="E32" s="27" t="n"/>
      <c r="F32" s="27">
        <f>IF(C32="","",C32+(D32*E32))</f>
        <v/>
      </c>
      <c r="G32" s="27" t="n"/>
      <c r="H32" s="30">
        <f>IF(G32=0,"",IF(G32="","",(G32-F32)/G32))</f>
        <v/>
      </c>
    </row>
    <row r="33">
      <c r="A33" s="15" t="n"/>
      <c r="B33" s="15" t="n"/>
      <c r="C33" s="25" t="n"/>
      <c r="D33" s="15" t="n"/>
      <c r="E33" s="25" t="n"/>
      <c r="F33" s="25">
        <f>IF(C33="","",C33+(D33*E33))</f>
        <v/>
      </c>
      <c r="G33" s="25" t="n"/>
      <c r="H33" s="29">
        <f>IF(G33=0,"",IF(G33="","",(G33-F33)/G33))</f>
        <v/>
      </c>
    </row>
    <row r="34">
      <c r="A34" s="14" t="n"/>
      <c r="B34" s="14" t="n"/>
      <c r="C34" s="27" t="n"/>
      <c r="D34" s="14" t="n"/>
      <c r="E34" s="27" t="n"/>
      <c r="F34" s="27">
        <f>IF(C34="","",C34+(D34*E34))</f>
        <v/>
      </c>
      <c r="G34" s="27" t="n"/>
      <c r="H34" s="30">
        <f>IF(G34=0,"",IF(G34="","",(G34-F34)/G34))</f>
        <v/>
      </c>
    </row>
    <row r="35">
      <c r="A35" s="15" t="n"/>
      <c r="B35" s="15" t="n"/>
      <c r="C35" s="25" t="n"/>
      <c r="D35" s="15" t="n"/>
      <c r="E35" s="25" t="n"/>
      <c r="F35" s="25">
        <f>IF(C35="","",C35+(D35*E35))</f>
        <v/>
      </c>
      <c r="G35" s="25" t="n"/>
      <c r="H35" s="29">
        <f>IF(G35=0,"",IF(G35="","",(G35-F35)/G35))</f>
        <v/>
      </c>
    </row>
    <row r="36">
      <c r="A36" s="14" t="n"/>
      <c r="B36" s="14" t="n"/>
      <c r="C36" s="27" t="n"/>
      <c r="D36" s="14" t="n"/>
      <c r="E36" s="27" t="n"/>
      <c r="F36" s="27">
        <f>IF(C36="","",C36+(D36*E36))</f>
        <v/>
      </c>
      <c r="G36" s="27" t="n"/>
      <c r="H36" s="30">
        <f>IF(G36=0,"",IF(G36="","",(G36-F36)/G36))</f>
        <v/>
      </c>
    </row>
    <row r="37">
      <c r="A37" s="15" t="n"/>
      <c r="B37" s="15" t="n"/>
      <c r="C37" s="25" t="n"/>
      <c r="D37" s="15" t="n"/>
      <c r="E37" s="25" t="n"/>
      <c r="F37" s="25">
        <f>IF(C37="","",C37+(D37*E37))</f>
        <v/>
      </c>
      <c r="G37" s="25" t="n"/>
      <c r="H37" s="29">
        <f>IF(G37=0,"",IF(G37="","",(G37-F37)/G37))</f>
        <v/>
      </c>
    </row>
    <row r="38">
      <c r="A38" s="14" t="n"/>
      <c r="B38" s="14" t="n"/>
      <c r="C38" s="27" t="n"/>
      <c r="D38" s="14" t="n"/>
      <c r="E38" s="27" t="n"/>
      <c r="F38" s="27">
        <f>IF(C38="","",C38+(D38*E38))</f>
        <v/>
      </c>
      <c r="G38" s="27" t="n"/>
      <c r="H38" s="30">
        <f>IF(G38=0,"",IF(G38="","",(G38-F38)/G38))</f>
        <v/>
      </c>
    </row>
    <row r="39">
      <c r="A39" s="15" t="n"/>
      <c r="B39" s="15" t="n"/>
      <c r="C39" s="25" t="n"/>
      <c r="D39" s="15" t="n"/>
      <c r="E39" s="25" t="n"/>
      <c r="F39" s="25">
        <f>IF(C39="","",C39+(D39*E39))</f>
        <v/>
      </c>
      <c r="G39" s="25" t="n"/>
      <c r="H39" s="29">
        <f>IF(G39=0,"",IF(G39="","",(G39-F39)/G39))</f>
        <v/>
      </c>
    </row>
    <row r="40">
      <c r="A40" s="14" t="n"/>
      <c r="B40" s="14" t="n"/>
      <c r="C40" s="27" t="n"/>
      <c r="D40" s="14" t="n"/>
      <c r="E40" s="27" t="n"/>
      <c r="F40" s="27">
        <f>IF(C40="","",C40+(D40*E40))</f>
        <v/>
      </c>
      <c r="G40" s="27" t="n"/>
      <c r="H40" s="30">
        <f>IF(G40=0,"",IF(G40="","",(G40-F40)/G40))</f>
        <v/>
      </c>
    </row>
    <row r="41">
      <c r="A41" s="15" t="n"/>
      <c r="B41" s="15" t="n"/>
      <c r="C41" s="25" t="n"/>
      <c r="D41" s="15" t="n"/>
      <c r="E41" s="25" t="n"/>
      <c r="F41" s="25">
        <f>IF(C41="","",C41+(D41*E41))</f>
        <v/>
      </c>
      <c r="G41" s="25" t="n"/>
      <c r="H41" s="29">
        <f>IF(G41=0,"",IF(G41="","",(G41-F41)/G41))</f>
        <v/>
      </c>
    </row>
    <row r="42">
      <c r="A42" s="14" t="n"/>
      <c r="B42" s="14" t="n"/>
      <c r="C42" s="27" t="n"/>
      <c r="D42" s="14" t="n"/>
      <c r="E42" s="27" t="n"/>
      <c r="F42" s="27">
        <f>IF(C42="","",C42+(D42*E42))</f>
        <v/>
      </c>
      <c r="G42" s="27" t="n"/>
      <c r="H42" s="30">
        <f>IF(G42=0,"",IF(G42="","",(G42-F42)/G42))</f>
        <v/>
      </c>
    </row>
    <row r="43">
      <c r="A43" s="15" t="n"/>
      <c r="B43" s="15" t="n"/>
      <c r="C43" s="25" t="n"/>
      <c r="D43" s="15" t="n"/>
      <c r="E43" s="25" t="n"/>
      <c r="F43" s="25">
        <f>IF(C43="","",C43+(D43*E43))</f>
        <v/>
      </c>
      <c r="G43" s="25" t="n"/>
      <c r="H43" s="29">
        <f>IF(G43=0,"",IF(G43="","",(G43-F43)/G43))</f>
        <v/>
      </c>
    </row>
    <row r="44">
      <c r="A44" s="14" t="n"/>
      <c r="B44" s="14" t="n"/>
      <c r="C44" s="27" t="n"/>
      <c r="D44" s="14" t="n"/>
      <c r="E44" s="27" t="n"/>
      <c r="F44" s="27">
        <f>IF(C44="","",C44+(D44*E44))</f>
        <v/>
      </c>
      <c r="G44" s="27" t="n"/>
      <c r="H44" s="30">
        <f>IF(G44=0,"",IF(G44="","",(G44-F44)/G44))</f>
        <v/>
      </c>
    </row>
    <row r="45">
      <c r="A45" s="15" t="n"/>
      <c r="B45" s="15" t="n"/>
      <c r="C45" s="25" t="n"/>
      <c r="D45" s="15" t="n"/>
      <c r="E45" s="25" t="n"/>
      <c r="F45" s="25">
        <f>IF(C45="","",C45+(D45*E45))</f>
        <v/>
      </c>
      <c r="G45" s="25" t="n"/>
      <c r="H45" s="29">
        <f>IF(G45=0,"",IF(G45="","",(G45-F45)/G45))</f>
        <v/>
      </c>
    </row>
    <row r="46">
      <c r="A46" s="14" t="n"/>
      <c r="B46" s="14" t="n"/>
      <c r="C46" s="27" t="n"/>
      <c r="D46" s="14" t="n"/>
      <c r="E46" s="27" t="n"/>
      <c r="F46" s="27">
        <f>IF(C46="","",C46+(D46*E46))</f>
        <v/>
      </c>
      <c r="G46" s="27" t="n"/>
      <c r="H46" s="30">
        <f>IF(G46=0,"",IF(G46="","",(G46-F46)/G46))</f>
        <v/>
      </c>
    </row>
    <row r="47">
      <c r="A47" s="15" t="n"/>
      <c r="B47" s="15" t="n"/>
      <c r="C47" s="25" t="n"/>
      <c r="D47" s="15" t="n"/>
      <c r="E47" s="25" t="n"/>
      <c r="F47" s="25">
        <f>IF(C47="","",C47+(D47*E47))</f>
        <v/>
      </c>
      <c r="G47" s="25" t="n"/>
      <c r="H47" s="29">
        <f>IF(G47=0,"",IF(G47="","",(G47-F47)/G47))</f>
        <v/>
      </c>
    </row>
    <row r="48">
      <c r="A48" s="14" t="n"/>
      <c r="B48" s="14" t="n"/>
      <c r="C48" s="27" t="n"/>
      <c r="D48" s="14" t="n"/>
      <c r="E48" s="27" t="n"/>
      <c r="F48" s="27">
        <f>IF(C48="","",C48+(D48*E48))</f>
        <v/>
      </c>
      <c r="G48" s="27" t="n"/>
      <c r="H48" s="30">
        <f>IF(G48=0,"",IF(G48="","",(G48-F48)/G48))</f>
        <v/>
      </c>
    </row>
    <row r="49">
      <c r="A49" s="15" t="n"/>
      <c r="B49" s="15" t="n"/>
      <c r="C49" s="25" t="n"/>
      <c r="D49" s="15" t="n"/>
      <c r="E49" s="25" t="n"/>
      <c r="F49" s="25">
        <f>IF(C49="","",C49+(D49*E49))</f>
        <v/>
      </c>
      <c r="G49" s="25" t="n"/>
      <c r="H49" s="29">
        <f>IF(G49=0,"",IF(G49="","",(G49-F49)/G49))</f>
        <v/>
      </c>
    </row>
    <row r="50">
      <c r="A50" s="14" t="n"/>
      <c r="B50" s="14" t="n"/>
      <c r="C50" s="27" t="n"/>
      <c r="D50" s="14" t="n"/>
      <c r="E50" s="27" t="n"/>
      <c r="F50" s="27">
        <f>IF(C50="","",C50+(D50*E50))</f>
        <v/>
      </c>
      <c r="G50" s="27" t="n"/>
      <c r="H50" s="30">
        <f>IF(G50=0,"",IF(G50="","",(G50-F50)/G50))</f>
        <v/>
      </c>
    </row>
    <row r="51">
      <c r="A51" s="15" t="n"/>
      <c r="B51" s="15" t="n"/>
      <c r="C51" s="25" t="n"/>
      <c r="D51" s="15" t="n"/>
      <c r="E51" s="25" t="n"/>
      <c r="F51" s="25">
        <f>IF(C51="","",C51+(D51*E51))</f>
        <v/>
      </c>
      <c r="G51" s="25" t="n"/>
      <c r="H51" s="29">
        <f>IF(G51=0,"",IF(G51="","",(G51-F51)/G51))</f>
        <v/>
      </c>
    </row>
    <row r="52">
      <c r="A52" s="14" t="n"/>
      <c r="B52" s="14" t="n"/>
      <c r="C52" s="27" t="n"/>
      <c r="D52" s="14" t="n"/>
      <c r="E52" s="27" t="n"/>
      <c r="F52" s="27">
        <f>IF(C52="","",C52+(D52*E52))</f>
        <v/>
      </c>
      <c r="G52" s="27" t="n"/>
      <c r="H52" s="30">
        <f>IF(G52=0,"",IF(G52="","",(G52-F52)/G52))</f>
        <v/>
      </c>
    </row>
    <row r="53">
      <c r="A53" s="15" t="n"/>
      <c r="B53" s="15" t="n"/>
      <c r="C53" s="25" t="n"/>
      <c r="D53" s="15" t="n"/>
      <c r="E53" s="25" t="n"/>
      <c r="F53" s="25">
        <f>IF(C53="","",C53+(D53*E53))</f>
        <v/>
      </c>
      <c r="G53" s="25" t="n"/>
      <c r="H53" s="29">
        <f>IF(G53=0,"",IF(G53="","",(G53-F53)/G53))</f>
        <v/>
      </c>
    </row>
    <row r="54">
      <c r="A54" s="14" t="n"/>
      <c r="B54" s="14" t="n"/>
      <c r="C54" s="27" t="n"/>
      <c r="D54" s="14" t="n"/>
      <c r="E54" s="27" t="n"/>
      <c r="F54" s="27">
        <f>IF(C54="","",C54+(D54*E54))</f>
        <v/>
      </c>
      <c r="G54" s="27" t="n"/>
      <c r="H54" s="30">
        <f>IF(G54=0,"",IF(G54="","",(G54-F54)/G54))</f>
        <v/>
      </c>
    </row>
    <row r="55">
      <c r="A55" s="15" t="n"/>
      <c r="B55" s="15" t="n"/>
      <c r="C55" s="25" t="n"/>
      <c r="D55" s="15" t="n"/>
      <c r="E55" s="25" t="n"/>
      <c r="F55" s="25">
        <f>IF(C55="","",C55+(D55*E55))</f>
        <v/>
      </c>
      <c r="G55" s="25" t="n"/>
      <c r="H55" s="29">
        <f>IF(G55=0,"",IF(G55="","",(G55-F55)/G55))</f>
        <v/>
      </c>
    </row>
    <row r="56">
      <c r="A56" s="14" t="n"/>
      <c r="B56" s="14" t="n"/>
      <c r="C56" s="27" t="n"/>
      <c r="D56" s="14" t="n"/>
      <c r="E56" s="27" t="n"/>
      <c r="F56" s="27">
        <f>IF(C56="","",C56+(D56*E56))</f>
        <v/>
      </c>
      <c r="G56" s="27" t="n"/>
      <c r="H56" s="30">
        <f>IF(G56=0,"",IF(G56="","",(G56-F56)/G56))</f>
        <v/>
      </c>
    </row>
    <row r="57">
      <c r="A57" s="15" t="n"/>
      <c r="B57" s="15" t="n"/>
      <c r="C57" s="25" t="n"/>
      <c r="D57" s="15" t="n"/>
      <c r="E57" s="25" t="n"/>
      <c r="F57" s="25">
        <f>IF(C57="","",C57+(D57*E57))</f>
        <v/>
      </c>
      <c r="G57" s="25" t="n"/>
      <c r="H57" s="29">
        <f>IF(G57=0,"",IF(G57="","",(G57-F57)/G57))</f>
        <v/>
      </c>
    </row>
    <row r="58">
      <c r="A58" s="14" t="n"/>
      <c r="B58" s="14" t="n"/>
      <c r="C58" s="27" t="n"/>
      <c r="D58" s="14" t="n"/>
      <c r="E58" s="27" t="n"/>
      <c r="F58" s="27">
        <f>IF(C58="","",C58+(D58*E58))</f>
        <v/>
      </c>
      <c r="G58" s="27" t="n"/>
      <c r="H58" s="30">
        <f>IF(G58=0,"",IF(G58="","",(G58-F58)/G58))</f>
        <v/>
      </c>
    </row>
    <row r="59">
      <c r="A59" s="15" t="n"/>
      <c r="B59" s="15" t="n"/>
      <c r="C59" s="25" t="n"/>
      <c r="D59" s="15" t="n"/>
      <c r="E59" s="25" t="n"/>
      <c r="F59" s="25">
        <f>IF(C59="","",C59+(D59*E59))</f>
        <v/>
      </c>
      <c r="G59" s="25" t="n"/>
      <c r="H59" s="29">
        <f>IF(G59=0,"",IF(G59="","",(G59-F59)/G59))</f>
        <v/>
      </c>
    </row>
    <row r="60">
      <c r="A60" s="14" t="n"/>
      <c r="B60" s="14" t="n"/>
      <c r="C60" s="27" t="n"/>
      <c r="D60" s="14" t="n"/>
      <c r="E60" s="27" t="n"/>
      <c r="F60" s="27">
        <f>IF(C60="","",C60+(D60*E60))</f>
        <v/>
      </c>
      <c r="G60" s="27" t="n"/>
      <c r="H60" s="30">
        <f>IF(G60=0,"",IF(G60="","",(G60-F60)/G60))</f>
        <v/>
      </c>
    </row>
    <row r="61">
      <c r="A61" s="15" t="n"/>
      <c r="B61" s="15" t="n"/>
      <c r="C61" s="25" t="n"/>
      <c r="D61" s="15" t="n"/>
      <c r="E61" s="25" t="n"/>
      <c r="F61" s="25">
        <f>IF(C61="","",C61+(D61*E61))</f>
        <v/>
      </c>
      <c r="G61" s="25" t="n"/>
      <c r="H61" s="29">
        <f>IF(G61=0,"",IF(G61="","",(G61-F61)/G61))</f>
        <v/>
      </c>
    </row>
    <row r="62">
      <c r="A62" s="14" t="n"/>
      <c r="B62" s="14" t="n"/>
      <c r="C62" s="27" t="n"/>
      <c r="D62" s="14" t="n"/>
      <c r="E62" s="27" t="n"/>
      <c r="F62" s="27">
        <f>IF(C62="","",C62+(D62*E62))</f>
        <v/>
      </c>
      <c r="G62" s="27" t="n"/>
      <c r="H62" s="30">
        <f>IF(G62=0,"",IF(G62="","",(G62-F62)/G62))</f>
        <v/>
      </c>
    </row>
    <row r="63">
      <c r="A63" s="15" t="n"/>
      <c r="B63" s="15" t="n"/>
      <c r="C63" s="25" t="n"/>
      <c r="D63" s="15" t="n"/>
      <c r="E63" s="25" t="n"/>
      <c r="F63" s="25">
        <f>IF(C63="","",C63+(D63*E63))</f>
        <v/>
      </c>
      <c r="G63" s="25" t="n"/>
      <c r="H63" s="29">
        <f>IF(G63=0,"",IF(G63="","",(G63-F63)/G63))</f>
        <v/>
      </c>
    </row>
    <row r="64">
      <c r="A64" s="14" t="n"/>
      <c r="B64" s="14" t="n"/>
      <c r="C64" s="27" t="n"/>
      <c r="D64" s="14" t="n"/>
      <c r="E64" s="27" t="n"/>
      <c r="F64" s="27">
        <f>IF(C64="","",C64+(D64*E64))</f>
        <v/>
      </c>
      <c r="G64" s="27" t="n"/>
      <c r="H64" s="30">
        <f>IF(G64=0,"",IF(G64="","",(G64-F64)/G64))</f>
        <v/>
      </c>
    </row>
    <row r="65">
      <c r="A65" s="15" t="n"/>
      <c r="B65" s="15" t="n"/>
      <c r="C65" s="25" t="n"/>
      <c r="D65" s="15" t="n"/>
      <c r="E65" s="25" t="n"/>
      <c r="F65" s="25">
        <f>IF(C65="","",C65+(D65*E65))</f>
        <v/>
      </c>
      <c r="G65" s="25" t="n"/>
      <c r="H65" s="29">
        <f>IF(G65=0,"",IF(G65="","",(G65-F65)/G65))</f>
        <v/>
      </c>
    </row>
    <row r="66">
      <c r="A66" s="14" t="n"/>
      <c r="B66" s="14" t="n"/>
      <c r="C66" s="27" t="n"/>
      <c r="D66" s="14" t="n"/>
      <c r="E66" s="27" t="n"/>
      <c r="F66" s="27">
        <f>IF(C66="","",C66+(D66*E66))</f>
        <v/>
      </c>
      <c r="G66" s="27" t="n"/>
      <c r="H66" s="30">
        <f>IF(G66=0,"",IF(G66="","",(G66-F66)/G66))</f>
        <v/>
      </c>
    </row>
    <row r="67">
      <c r="A67" s="15" t="n"/>
      <c r="B67" s="15" t="n"/>
      <c r="C67" s="25" t="n"/>
      <c r="D67" s="15" t="n"/>
      <c r="E67" s="25" t="n"/>
      <c r="F67" s="25">
        <f>IF(C67="","",C67+(D67*E67))</f>
        <v/>
      </c>
      <c r="G67" s="25" t="n"/>
      <c r="H67" s="29">
        <f>IF(G67=0,"",IF(G67="","",(G67-F67)/G67))</f>
        <v/>
      </c>
    </row>
    <row r="68">
      <c r="A68" s="14" t="n"/>
      <c r="B68" s="14" t="n"/>
      <c r="C68" s="27" t="n"/>
      <c r="D68" s="14" t="n"/>
      <c r="E68" s="27" t="n"/>
      <c r="F68" s="27">
        <f>IF(C68="","",C68+(D68*E68))</f>
        <v/>
      </c>
      <c r="G68" s="27" t="n"/>
      <c r="H68" s="30">
        <f>IF(G68=0,"",IF(G68="","",(G68-F68)/G68))</f>
        <v/>
      </c>
    </row>
    <row r="69">
      <c r="A69" s="15" t="n"/>
      <c r="B69" s="15" t="n"/>
      <c r="C69" s="25" t="n"/>
      <c r="D69" s="15" t="n"/>
      <c r="E69" s="25" t="n"/>
      <c r="F69" s="25">
        <f>IF(C69="","",C69+(D69*E69))</f>
        <v/>
      </c>
      <c r="G69" s="25" t="n"/>
      <c r="H69" s="29">
        <f>IF(G69=0,"",IF(G69="","",(G69-F69)/G69))</f>
        <v/>
      </c>
    </row>
    <row r="70">
      <c r="A70" s="14" t="n"/>
      <c r="B70" s="14" t="n"/>
      <c r="C70" s="27" t="n"/>
      <c r="D70" s="14" t="n"/>
      <c r="E70" s="27" t="n"/>
      <c r="F70" s="27">
        <f>IF(C70="","",C70+(D70*E70))</f>
        <v/>
      </c>
      <c r="G70" s="27" t="n"/>
      <c r="H70" s="30">
        <f>IF(G70=0,"",IF(G70="","",(G70-F70)/G70))</f>
        <v/>
      </c>
    </row>
    <row r="71">
      <c r="A71" s="15" t="n"/>
      <c r="B71" s="15" t="n"/>
      <c r="C71" s="25" t="n"/>
      <c r="D71" s="15" t="n"/>
      <c r="E71" s="25" t="n"/>
      <c r="F71" s="25">
        <f>IF(C71="","",C71+(D71*E71))</f>
        <v/>
      </c>
      <c r="G71" s="25" t="n"/>
      <c r="H71" s="29">
        <f>IF(G71=0,"",IF(G71="","",(G71-F71)/G71))</f>
        <v/>
      </c>
    </row>
    <row r="72">
      <c r="A72" s="14" t="n"/>
      <c r="B72" s="14" t="n"/>
      <c r="C72" s="27" t="n"/>
      <c r="D72" s="14" t="n"/>
      <c r="E72" s="27" t="n"/>
      <c r="F72" s="27">
        <f>IF(C72="","",C72+(D72*E72))</f>
        <v/>
      </c>
      <c r="G72" s="27" t="n"/>
      <c r="H72" s="30">
        <f>IF(G72=0,"",IF(G72="","",(G72-F72)/G72))</f>
        <v/>
      </c>
    </row>
    <row r="73">
      <c r="A73" s="15" t="n"/>
      <c r="B73" s="15" t="n"/>
      <c r="C73" s="25" t="n"/>
      <c r="D73" s="15" t="n"/>
      <c r="E73" s="25" t="n"/>
      <c r="F73" s="25">
        <f>IF(C73="","",C73+(D73*E73))</f>
        <v/>
      </c>
      <c r="G73" s="25" t="n"/>
      <c r="H73" s="29">
        <f>IF(G73=0,"",IF(G73="","",(G73-F73)/G73))</f>
        <v/>
      </c>
    </row>
    <row r="74">
      <c r="A74" s="14" t="n"/>
      <c r="B74" s="14" t="n"/>
      <c r="C74" s="27" t="n"/>
      <c r="D74" s="14" t="n"/>
      <c r="E74" s="27" t="n"/>
      <c r="F74" s="27">
        <f>IF(C74="","",C74+(D74*E74))</f>
        <v/>
      </c>
      <c r="G74" s="27" t="n"/>
      <c r="H74" s="30">
        <f>IF(G74=0,"",IF(G74="","",(G74-F74)/G74))</f>
        <v/>
      </c>
    </row>
    <row r="75">
      <c r="A75" s="15" t="n"/>
      <c r="B75" s="15" t="n"/>
      <c r="C75" s="25" t="n"/>
      <c r="D75" s="15" t="n"/>
      <c r="E75" s="25" t="n"/>
      <c r="F75" s="25">
        <f>IF(C75="","",C75+(D75*E75))</f>
        <v/>
      </c>
      <c r="G75" s="25" t="n"/>
      <c r="H75" s="29">
        <f>IF(G75=0,"",IF(G75="","",(G75-F75)/G75))</f>
        <v/>
      </c>
    </row>
    <row r="76">
      <c r="A76" s="14" t="n"/>
      <c r="B76" s="14" t="n"/>
      <c r="C76" s="27" t="n"/>
      <c r="D76" s="14" t="n"/>
      <c r="E76" s="27" t="n"/>
      <c r="F76" s="27">
        <f>IF(C76="","",C76+(D76*E76))</f>
        <v/>
      </c>
      <c r="G76" s="27" t="n"/>
      <c r="H76" s="30">
        <f>IF(G76=0,"",IF(G76="","",(G76-F76)/G76))</f>
        <v/>
      </c>
    </row>
    <row r="77">
      <c r="A77" s="15" t="n"/>
      <c r="B77" s="15" t="n"/>
      <c r="C77" s="25" t="n"/>
      <c r="D77" s="15" t="n"/>
      <c r="E77" s="25" t="n"/>
      <c r="F77" s="25">
        <f>IF(C77="","",C77+(D77*E77))</f>
        <v/>
      </c>
      <c r="G77" s="25" t="n"/>
      <c r="H77" s="29">
        <f>IF(G77=0,"",IF(G77="","",(G77-F77)/G77))</f>
        <v/>
      </c>
    </row>
    <row r="78">
      <c r="A78" s="14" t="n"/>
      <c r="B78" s="14" t="n"/>
      <c r="C78" s="27" t="n"/>
      <c r="D78" s="14" t="n"/>
      <c r="E78" s="27" t="n"/>
      <c r="F78" s="27">
        <f>IF(C78="","",C78+(D78*E78))</f>
        <v/>
      </c>
      <c r="G78" s="27" t="n"/>
      <c r="H78" s="30">
        <f>IF(G78=0,"",IF(G78="","",(G78-F78)/G78))</f>
        <v/>
      </c>
    </row>
    <row r="79">
      <c r="A79" s="15" t="n"/>
      <c r="B79" s="15" t="n"/>
      <c r="C79" s="25" t="n"/>
      <c r="D79" s="15" t="n"/>
      <c r="E79" s="25" t="n"/>
      <c r="F79" s="25">
        <f>IF(C79="","",C79+(D79*E79))</f>
        <v/>
      </c>
      <c r="G79" s="25" t="n"/>
      <c r="H79" s="29">
        <f>IF(G79=0,"",IF(G79="","",(G79-F79)/G79))</f>
        <v/>
      </c>
    </row>
    <row r="80">
      <c r="A80" s="14" t="n"/>
      <c r="B80" s="14" t="n"/>
      <c r="C80" s="27" t="n"/>
      <c r="D80" s="14" t="n"/>
      <c r="E80" s="27" t="n"/>
      <c r="F80" s="27">
        <f>IF(C80="","",C80+(D80*E80))</f>
        <v/>
      </c>
      <c r="G80" s="27" t="n"/>
      <c r="H80" s="30">
        <f>IF(G80=0,"",IF(G80="","",(G80-F80)/G80))</f>
        <v/>
      </c>
    </row>
    <row r="81">
      <c r="A81" s="15" t="n"/>
      <c r="B81" s="15" t="n"/>
      <c r="C81" s="25" t="n"/>
      <c r="D81" s="15" t="n"/>
      <c r="E81" s="25" t="n"/>
      <c r="F81" s="25">
        <f>IF(C81="","",C81+(D81*E81))</f>
        <v/>
      </c>
      <c r="G81" s="25" t="n"/>
      <c r="H81" s="29">
        <f>IF(G81=0,"",IF(G81="","",(G81-F81)/G81))</f>
        <v/>
      </c>
    </row>
    <row r="82">
      <c r="A82" s="14" t="n"/>
      <c r="B82" s="14" t="n"/>
      <c r="C82" s="27" t="n"/>
      <c r="D82" s="14" t="n"/>
      <c r="E82" s="27" t="n"/>
      <c r="F82" s="27">
        <f>IF(C82="","",C82+(D82*E82))</f>
        <v/>
      </c>
      <c r="G82" s="27" t="n"/>
      <c r="H82" s="30">
        <f>IF(G82=0,"",IF(G82="","",(G82-F82)/G82))</f>
        <v/>
      </c>
    </row>
    <row r="83">
      <c r="A83" s="15" t="n"/>
      <c r="B83" s="15" t="n"/>
      <c r="C83" s="25" t="n"/>
      <c r="D83" s="15" t="n"/>
      <c r="E83" s="25" t="n"/>
      <c r="F83" s="25">
        <f>IF(C83="","",C83+(D83*E83))</f>
        <v/>
      </c>
      <c r="G83" s="25" t="n"/>
      <c r="H83" s="29">
        <f>IF(G83=0,"",IF(G83="","",(G83-F83)/G83))</f>
        <v/>
      </c>
    </row>
    <row r="84">
      <c r="A84" s="14" t="n"/>
      <c r="B84" s="14" t="n"/>
      <c r="C84" s="27" t="n"/>
      <c r="D84" s="14" t="n"/>
      <c r="E84" s="27" t="n"/>
      <c r="F84" s="27">
        <f>IF(C84="","",C84+(D84*E84))</f>
        <v/>
      </c>
      <c r="G84" s="27" t="n"/>
      <c r="H84" s="30">
        <f>IF(G84=0,"",IF(G84="","",(G84-F84)/G84))</f>
        <v/>
      </c>
    </row>
    <row r="85">
      <c r="A85" s="15" t="n"/>
      <c r="B85" s="15" t="n"/>
      <c r="C85" s="25" t="n"/>
      <c r="D85" s="15" t="n"/>
      <c r="E85" s="25" t="n"/>
      <c r="F85" s="25">
        <f>IF(C85="","",C85+(D85*E85))</f>
        <v/>
      </c>
      <c r="G85" s="25" t="n"/>
      <c r="H85" s="29">
        <f>IF(G85=0,"",IF(G85="","",(G85-F85)/G85))</f>
        <v/>
      </c>
    </row>
    <row r="86">
      <c r="A86" s="14" t="n"/>
      <c r="B86" s="14" t="n"/>
      <c r="C86" s="27" t="n"/>
      <c r="D86" s="14" t="n"/>
      <c r="E86" s="27" t="n"/>
      <c r="F86" s="27">
        <f>IF(C86="","",C86+(D86*E86))</f>
        <v/>
      </c>
      <c r="G86" s="27" t="n"/>
      <c r="H86" s="30">
        <f>IF(G86=0,"",IF(G86="","",(G86-F86)/G86))</f>
        <v/>
      </c>
    </row>
    <row r="87">
      <c r="A87" s="15" t="n"/>
      <c r="B87" s="15" t="n"/>
      <c r="C87" s="25" t="n"/>
      <c r="D87" s="15" t="n"/>
      <c r="E87" s="25" t="n"/>
      <c r="F87" s="25">
        <f>IF(C87="","",C87+(D87*E87))</f>
        <v/>
      </c>
      <c r="G87" s="25" t="n"/>
      <c r="H87" s="29">
        <f>IF(G87=0,"",IF(G87="","",(G87-F87)/G87))</f>
        <v/>
      </c>
    </row>
    <row r="88">
      <c r="A88" s="14" t="n"/>
      <c r="B88" s="14" t="n"/>
      <c r="C88" s="27" t="n"/>
      <c r="D88" s="14" t="n"/>
      <c r="E88" s="27" t="n"/>
      <c r="F88" s="27">
        <f>IF(C88="","",C88+(D88*E88))</f>
        <v/>
      </c>
      <c r="G88" s="27" t="n"/>
      <c r="H88" s="30">
        <f>IF(G88=0,"",IF(G88="","",(G88-F88)/G88))</f>
        <v/>
      </c>
    </row>
    <row r="89">
      <c r="A89" s="15" t="n"/>
      <c r="B89" s="15" t="n"/>
      <c r="C89" s="25" t="n"/>
      <c r="D89" s="15" t="n"/>
      <c r="E89" s="25" t="n"/>
      <c r="F89" s="25">
        <f>IF(C89="","",C89+(D89*E89))</f>
        <v/>
      </c>
      <c r="G89" s="25" t="n"/>
      <c r="H89" s="29">
        <f>IF(G89=0,"",IF(G89="","",(G89-F89)/G89))</f>
        <v/>
      </c>
    </row>
    <row r="90">
      <c r="A90" s="14" t="n"/>
      <c r="B90" s="14" t="n"/>
      <c r="C90" s="27" t="n"/>
      <c r="D90" s="14" t="n"/>
      <c r="E90" s="27" t="n"/>
      <c r="F90" s="27">
        <f>IF(C90="","",C90+(D90*E90))</f>
        <v/>
      </c>
      <c r="G90" s="27" t="n"/>
      <c r="H90" s="30">
        <f>IF(G90=0,"",IF(G90="","",(G90-F90)/G90))</f>
        <v/>
      </c>
    </row>
    <row r="91">
      <c r="A91" s="15" t="n"/>
      <c r="B91" s="15" t="n"/>
      <c r="C91" s="25" t="n"/>
      <c r="D91" s="15" t="n"/>
      <c r="E91" s="25" t="n"/>
      <c r="F91" s="25">
        <f>IF(C91="","",C91+(D91*E91))</f>
        <v/>
      </c>
      <c r="G91" s="25" t="n"/>
      <c r="H91" s="29">
        <f>IF(G91=0,"",IF(G91="","",(G91-F91)/G91))</f>
        <v/>
      </c>
    </row>
    <row r="92">
      <c r="A92" s="14" t="n"/>
      <c r="B92" s="14" t="n"/>
      <c r="C92" s="27" t="n"/>
      <c r="D92" s="14" t="n"/>
      <c r="E92" s="27" t="n"/>
      <c r="F92" s="27">
        <f>IF(C92="","",C92+(D92*E92))</f>
        <v/>
      </c>
      <c r="G92" s="27" t="n"/>
      <c r="H92" s="30">
        <f>IF(G92=0,"",IF(G92="","",(G92-F92)/G92))</f>
        <v/>
      </c>
    </row>
    <row r="93">
      <c r="A93" s="15" t="n"/>
      <c r="B93" s="15" t="n"/>
      <c r="C93" s="25" t="n"/>
      <c r="D93" s="15" t="n"/>
      <c r="E93" s="25" t="n"/>
      <c r="F93" s="25">
        <f>IF(C93="","",C93+(D93*E93))</f>
        <v/>
      </c>
      <c r="G93" s="25" t="n"/>
      <c r="H93" s="29">
        <f>IF(G93=0,"",IF(G93="","",(G93-F93)/G93))</f>
        <v/>
      </c>
    </row>
    <row r="94">
      <c r="A94" s="14" t="n"/>
      <c r="B94" s="14" t="n"/>
      <c r="C94" s="27" t="n"/>
      <c r="D94" s="14" t="n"/>
      <c r="E94" s="27" t="n"/>
      <c r="F94" s="27">
        <f>IF(C94="","",C94+(D94*E94))</f>
        <v/>
      </c>
      <c r="G94" s="27" t="n"/>
      <c r="H94" s="30">
        <f>IF(G94=0,"",IF(G94="","",(G94-F94)/G94))</f>
        <v/>
      </c>
    </row>
    <row r="95">
      <c r="A95" s="15" t="n"/>
      <c r="B95" s="15" t="n"/>
      <c r="C95" s="25" t="n"/>
      <c r="D95" s="15" t="n"/>
      <c r="E95" s="25" t="n"/>
      <c r="F95" s="25">
        <f>IF(C95="","",C95+(D95*E95))</f>
        <v/>
      </c>
      <c r="G95" s="25" t="n"/>
      <c r="H95" s="29">
        <f>IF(G95=0,"",IF(G95="","",(G95-F95)/G95))</f>
        <v/>
      </c>
    </row>
    <row r="96">
      <c r="A96" s="14" t="n"/>
      <c r="B96" s="14" t="n"/>
      <c r="C96" s="27" t="n"/>
      <c r="D96" s="14" t="n"/>
      <c r="E96" s="27" t="n"/>
      <c r="F96" s="27">
        <f>IF(C96="","",C96+(D96*E96))</f>
        <v/>
      </c>
      <c r="G96" s="27" t="n"/>
      <c r="H96" s="30">
        <f>IF(G96=0,"",IF(G96="","",(G96-F96)/G96))</f>
        <v/>
      </c>
    </row>
    <row r="97">
      <c r="A97" s="15" t="n"/>
      <c r="B97" s="15" t="n"/>
      <c r="C97" s="25" t="n"/>
      <c r="D97" s="15" t="n"/>
      <c r="E97" s="25" t="n"/>
      <c r="F97" s="25">
        <f>IF(C97="","",C97+(D97*E97))</f>
        <v/>
      </c>
      <c r="G97" s="25" t="n"/>
      <c r="H97" s="29">
        <f>IF(G97=0,"",IF(G97="","",(G97-F97)/G97))</f>
        <v/>
      </c>
    </row>
    <row r="98">
      <c r="A98" s="14" t="n"/>
      <c r="B98" s="14" t="n"/>
      <c r="C98" s="27" t="n"/>
      <c r="D98" s="14" t="n"/>
      <c r="E98" s="27" t="n"/>
      <c r="F98" s="27">
        <f>IF(C98="","",C98+(D98*E98))</f>
        <v/>
      </c>
      <c r="G98" s="27" t="n"/>
      <c r="H98" s="30">
        <f>IF(G98=0,"",IF(G98="","",(G98-F98)/G98))</f>
        <v/>
      </c>
    </row>
    <row r="99">
      <c r="A99" s="15" t="n"/>
      <c r="B99" s="15" t="n"/>
      <c r="C99" s="25" t="n"/>
      <c r="D99" s="15" t="n"/>
      <c r="E99" s="25" t="n"/>
      <c r="F99" s="25">
        <f>IF(C99="","",C99+(D99*E99))</f>
        <v/>
      </c>
      <c r="G99" s="25" t="n"/>
      <c r="H99" s="29">
        <f>IF(G99=0,"",IF(G99="","",(G99-F99)/G99))</f>
        <v/>
      </c>
    </row>
    <row r="100">
      <c r="A100" s="14" t="n"/>
      <c r="B100" s="14" t="n"/>
      <c r="C100" s="27" t="n"/>
      <c r="D100" s="14" t="n"/>
      <c r="E100" s="27" t="n"/>
      <c r="F100" s="27">
        <f>IF(C100="","",C100+(D100*E100))</f>
        <v/>
      </c>
      <c r="G100" s="27" t="n"/>
      <c r="H100" s="30">
        <f>IF(G100=0,"",IF(G100="","",(G100-F100)/G100))</f>
        <v/>
      </c>
    </row>
    <row r="101">
      <c r="A101" s="15" t="n"/>
      <c r="B101" s="15" t="n"/>
      <c r="C101" s="25" t="n"/>
      <c r="D101" s="15" t="n"/>
      <c r="E101" s="25" t="n"/>
      <c r="F101" s="25">
        <f>IF(C101="","",C101+(D101*E101))</f>
        <v/>
      </c>
      <c r="G101" s="25" t="n"/>
      <c r="H101" s="29">
        <f>IF(G101=0,"",IF(G101="","",(G101-F101)/G101))</f>
        <v/>
      </c>
    </row>
    <row r="102">
      <c r="A102" s="14" t="n"/>
      <c r="B102" s="14" t="n"/>
      <c r="C102" s="27" t="n"/>
      <c r="D102" s="14" t="n"/>
      <c r="E102" s="27" t="n"/>
      <c r="F102" s="27">
        <f>IF(C102="","",C102+(D102*E102))</f>
        <v/>
      </c>
      <c r="G102" s="27" t="n"/>
      <c r="H102" s="30">
        <f>IF(G102=0,"",IF(G102="","",(G102-F102)/G102))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84C"/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16" customWidth="1" min="5" max="5"/>
    <col width="16" customWidth="1" min="6" max="6"/>
    <col width="18" customWidth="1" min="7" max="7"/>
  </cols>
  <sheetData>
    <row r="1" ht="42" customHeight="1">
      <c r="A1" s="17" t="inlineStr">
        <is>
          <t>QUARTERLY TAX ESTIMATOR</t>
        </is>
      </c>
    </row>
    <row r="2" ht="30" customHeight="1">
      <c r="A2" s="31" t="inlineStr">
        <is>
          <t>⚠  This is an ESTIMATE. Consult a tax professional. Based on US self-employment tax rules (SE tax = 15.3%).</t>
        </is>
      </c>
    </row>
    <row r="4">
      <c r="A4" s="18" t="inlineStr">
        <is>
          <t>YOUR FEDERAL INCOME TAX BRACKET (enter as decimal, e.g. 0.22):</t>
        </is>
      </c>
      <c r="D4" s="32" t="n">
        <v>0.22</v>
      </c>
    </row>
    <row r="6" ht="30" customHeight="1">
      <c r="A6" s="12" t="inlineStr">
        <is>
          <t>Quarter</t>
        </is>
      </c>
      <c r="B6" s="12" t="inlineStr">
        <is>
          <t>Months</t>
        </is>
      </c>
      <c r="C6" s="12" t="inlineStr">
        <is>
          <t>Due Date</t>
        </is>
      </c>
      <c r="D6" s="12" t="inlineStr">
        <is>
          <t>Net Profit</t>
        </is>
      </c>
      <c r="E6" s="12" t="inlineStr">
        <is>
          <t>SE Tax (15.3%)</t>
        </is>
      </c>
      <c r="F6" s="12" t="inlineStr">
        <is>
          <t>Income Tax Est.</t>
        </is>
      </c>
      <c r="G6" s="12" t="inlineStr">
        <is>
          <t>TOTAL SET ASIDE</t>
        </is>
      </c>
    </row>
    <row r="7" ht="38" customHeight="1">
      <c r="A7" s="33" t="inlineStr">
        <is>
          <t>Q1</t>
        </is>
      </c>
      <c r="B7" s="34" t="inlineStr">
        <is>
          <t>Jan–Mar</t>
        </is>
      </c>
      <c r="C7" s="35" t="inlineStr">
        <is>
          <t>Due April 15</t>
        </is>
      </c>
      <c r="D7" s="27" t="inlineStr">
        <is>
          <t>← enter from Monthly Log totals</t>
        </is>
      </c>
      <c r="E7" s="36">
        <f>IF(D7="","",D7*0.153)</f>
        <v/>
      </c>
      <c r="F7" s="36">
        <f>IF(D7="","",D7*$D$4)</f>
        <v/>
      </c>
      <c r="G7" s="37">
        <f>IF(D7="","",E7+F7)</f>
        <v/>
      </c>
    </row>
    <row r="8" ht="38" customHeight="1">
      <c r="A8" s="33" t="inlineStr">
        <is>
          <t>Q2</t>
        </is>
      </c>
      <c r="B8" s="34" t="inlineStr">
        <is>
          <t>Apr–Jun</t>
        </is>
      </c>
      <c r="C8" s="35" t="inlineStr">
        <is>
          <t>Due June 17</t>
        </is>
      </c>
      <c r="D8" s="27" t="inlineStr">
        <is>
          <t>← enter from Monthly Log totals</t>
        </is>
      </c>
      <c r="E8" s="36">
        <f>IF(D8="","",D8*0.153)</f>
        <v/>
      </c>
      <c r="F8" s="36">
        <f>IF(D8="","",D8*$D$4)</f>
        <v/>
      </c>
      <c r="G8" s="37">
        <f>IF(D8="","",E8+F8)</f>
        <v/>
      </c>
    </row>
    <row r="9" ht="38" customHeight="1">
      <c r="A9" s="33" t="inlineStr">
        <is>
          <t>Q3</t>
        </is>
      </c>
      <c r="B9" s="34" t="inlineStr">
        <is>
          <t>Jul–Sep</t>
        </is>
      </c>
      <c r="C9" s="35" t="inlineStr">
        <is>
          <t>Due Sept 16</t>
        </is>
      </c>
      <c r="D9" s="27" t="inlineStr">
        <is>
          <t>← enter from Monthly Log totals</t>
        </is>
      </c>
      <c r="E9" s="36">
        <f>IF(D9="","",D9*0.153)</f>
        <v/>
      </c>
      <c r="F9" s="36">
        <f>IF(D9="","",D9*$D$4)</f>
        <v/>
      </c>
      <c r="G9" s="37">
        <f>IF(D9="","",E9+F9)</f>
        <v/>
      </c>
    </row>
    <row r="10" ht="38" customHeight="1">
      <c r="A10" s="33" t="inlineStr">
        <is>
          <t>Q4</t>
        </is>
      </c>
      <c r="B10" s="34" t="inlineStr">
        <is>
          <t>Oct–Dec</t>
        </is>
      </c>
      <c r="C10" s="35" t="inlineStr">
        <is>
          <t>Due Jan 15</t>
        </is>
      </c>
      <c r="D10" s="27" t="inlineStr">
        <is>
          <t>← enter from Monthly Log totals</t>
        </is>
      </c>
      <c r="E10" s="36">
        <f>IF(D10="","",D10*0.153)</f>
        <v/>
      </c>
      <c r="F10" s="36">
        <f>IF(D10="","",D10*$D$4)</f>
        <v/>
      </c>
      <c r="G10" s="37">
        <f>IF(D10="","",E10+F10)</f>
        <v/>
      </c>
    </row>
    <row r="12">
      <c r="A12" s="38" t="inlineStr">
        <is>
          <t>QUARTERLY PAYMENT DATES (2026):
Q1 → April 15, 2026   |   Q2 → June 17, 2026   |   Q3 → September 16, 2026   |   Q4 → January 15, 2027
Pay at: IRS.gov/DirectPay — select 'Estimated Tax'</t>
        </is>
      </c>
    </row>
    <row r="13"/>
    <row r="14"/>
  </sheetData>
  <mergeCells count="4">
    <mergeCell ref="A2:F2"/>
    <mergeCell ref="A4:C4"/>
    <mergeCell ref="A1:F1"/>
    <mergeCell ref="A12:G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D5C41"/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3" customWidth="1" min="3" max="3"/>
    <col width="18" customWidth="1" min="4" max="4"/>
    <col width="3" customWidth="1" min="5" max="5"/>
  </cols>
  <sheetData>
    <row r="1" ht="42" customHeight="1">
      <c r="A1" s="17" t="inlineStr">
        <is>
          <t>ANNUAL SUMMARY &amp; SCHEDULE C PREP</t>
        </is>
      </c>
    </row>
    <row r="3">
      <c r="A3" s="39" t="inlineStr">
        <is>
          <t>SCHEDULE C LINE ITEMS</t>
        </is>
      </c>
    </row>
    <row r="4" ht="30" customHeight="1">
      <c r="B4" s="40" t="inlineStr">
        <is>
          <t>Line 1 — Gross Receipts</t>
        </is>
      </c>
      <c r="D4" s="37">
        <f>SUM('📅 Monthly Log'!E4:E1003)</f>
        <v/>
      </c>
    </row>
    <row r="5" ht="30" customHeight="1">
      <c r="B5" s="41" t="inlineStr">
        <is>
          <t>Line 17 — Taxes &amp; Licenses (SE tax paid)</t>
        </is>
      </c>
      <c r="D5" s="37">
        <f>'🧾 Quarterly Taxes'!G7+'🧾 Quarterly Taxes'!G8+'🧾 Quarterly Taxes'!G9+'🧾 Quarterly Taxes'!G10</f>
        <v/>
      </c>
    </row>
    <row r="6" ht="30" customHeight="1">
      <c r="B6" s="40" t="inlineStr">
        <is>
          <t>Line 22 — Supplies / COGS</t>
        </is>
      </c>
      <c r="D6" s="37">
        <f>SUM('📅 Monthly Log'!J4:J1003)</f>
        <v/>
      </c>
    </row>
    <row r="7" ht="30" customHeight="1">
      <c r="B7" s="41" t="inlineStr">
        <is>
          <t>Line 27a — Other Expenses (Etsy fees)</t>
        </is>
      </c>
      <c r="D7" s="37">
        <f>SUM('📅 Monthly Log'!F4:F1003)+SUM('📅 Monthly Log'!G4:G1003)+SUM('📅 Monthly Log'!H4:H1003)</f>
        <v/>
      </c>
    </row>
    <row r="8" ht="30" customHeight="1">
      <c r="B8" s="40" t="inlineStr">
        <is>
          <t>Line 41 — Net Profit (Est.)</t>
        </is>
      </c>
      <c r="D8" s="37">
        <f>'📅 Monthly Log'!Q2</f>
        <v/>
      </c>
    </row>
  </sheetData>
  <mergeCells count="2">
    <mergeCell ref="A3:G3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0E0A8"/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50" customHeight="1">
      <c r="A1" s="42" t="inlineStr">
        <is>
          <t>SETUP GUIDE — READ FIRST</t>
        </is>
      </c>
    </row>
    <row r="3" ht="30" customHeight="1">
      <c r="B3" s="43" t="inlineStr">
        <is>
          <t>STEP 1: Make a Copy (Google Sheets)</t>
        </is>
      </c>
    </row>
    <row r="4" ht="80" customHeight="1">
      <c r="B4" s="44" t="inlineStr">
        <is>
          <t>Upload this file to Google Drive → right-click → Open With → Google Sheets.
Then File → Make a Copy. Work in YOUR copy — never in the original.</t>
        </is>
      </c>
    </row>
    <row r="5"/>
    <row r="6"/>
    <row r="8" ht="30" customHeight="1">
      <c r="B8" s="43" t="inlineStr">
        <is>
          <t>STEP 2: Enter Your Tax Bracket</t>
        </is>
      </c>
    </row>
    <row r="9" ht="80" customHeight="1">
      <c r="B9" s="45" t="inlineStr">
        <is>
          <t>Go to '🧾 Quarterly Taxes' tab → Cell D4 → enter your federal income tax rate as a decimal.
Not sure? Use 0.22 (22%) — it's the most common bracket for self-employed sellers earning $40K–$89K.</t>
        </is>
      </c>
    </row>
    <row r="10"/>
    <row r="11"/>
    <row r="13" ht="30" customHeight="1">
      <c r="B13" s="43" t="inlineStr">
        <is>
          <t>STEP 3: Log Your Sales</t>
        </is>
      </c>
    </row>
    <row r="14" ht="80" customHeight="1">
      <c r="B14" s="44" t="inlineStr">
        <is>
          <t>Go to '📅 Monthly Log' tab. For each Etsy sale, enter:
• Date (Column A)
• Order # from Etsy (Column B)
• Product name (Column C)
• Sale price (Column E)
• Shipping cost if you paid it (Column I)
• COGS — your material/supply costs (Column J)
Etsy fees (Columns F, G, H) calculate AUTOMATICALLY. You don't touch those.</t>
        </is>
      </c>
    </row>
    <row r="15"/>
    <row r="16"/>
    <row r="18" ht="30" customHeight="1">
      <c r="B18" s="43" t="inlineStr">
        <is>
          <t>STEP 4: Track COGS</t>
        </is>
      </c>
    </row>
    <row r="19" ht="80" customHeight="1">
      <c r="B19" s="45" t="inlineStr">
        <is>
          <t>Go to '🧮 COGS Tracker' tab. For each product you sell, enter:
• Materials cost per unit
• Hours to make it (0 for digital products)
• Your hourly rate
The Gross Margin % column tells you which products are most profitable.</t>
        </is>
      </c>
    </row>
    <row r="20"/>
    <row r="21"/>
    <row r="23" ht="30" customHeight="1">
      <c r="B23" s="43" t="inlineStr">
        <is>
          <t>STEP 5: Check Your Dashboard</t>
        </is>
      </c>
    </row>
    <row r="24" ht="80" customHeight="1">
      <c r="B24" s="44" t="inlineStr">
        <is>
          <t>The '📊 Dashboard' tab updates automatically as you enter data.
Check it weekly to see your real profit numbers.</t>
        </is>
      </c>
    </row>
    <row r="25"/>
    <row r="26"/>
    <row r="28" ht="30" customHeight="1">
      <c r="B28" s="43" t="inlineStr">
        <is>
          <t>STEP 6: Pay Quarterly Taxes</t>
        </is>
      </c>
    </row>
    <row r="29" ht="80" customHeight="1">
      <c r="B29" s="45" t="inlineStr">
        <is>
          <t>Every quarter, go to '🧾 Quarterly Taxes' and enter your net profit for that quarter.
The 'TOTAL SET ASIDE' column tells you exactly how much to pay the IRS.
Pay at IRS.gov/DirectPay before the due date.</t>
        </is>
      </c>
    </row>
    <row r="30"/>
    <row r="31"/>
    <row r="33" ht="30" customHeight="1">
      <c r="B33" s="43" t="inlineStr">
        <is>
          <t>NEED HELP?</t>
        </is>
      </c>
    </row>
    <row r="34" ht="80" customHeight="1">
      <c r="B34" s="44" t="inlineStr">
        <is>
          <t>Questions? Email: [your contact] or leave a review on Etsy — we read every one.
Remember: this tracker saves you hours at tax time and helps you find your
most profitable products. It pays for itself after your first tax season.</t>
        </is>
      </c>
    </row>
    <row r="35"/>
    <row r="36"/>
  </sheetData>
  <mergeCells count="15">
    <mergeCell ref="B34:F36"/>
    <mergeCell ref="B29:F31"/>
    <mergeCell ref="B33:F33"/>
    <mergeCell ref="A1:F1"/>
    <mergeCell ref="B24:F26"/>
    <mergeCell ref="B3:F3"/>
    <mergeCell ref="B14:F16"/>
    <mergeCell ref="B9:F11"/>
    <mergeCell ref="B28:F28"/>
    <mergeCell ref="B19:F21"/>
    <mergeCell ref="B23:F23"/>
    <mergeCell ref="B8:F8"/>
    <mergeCell ref="B18:F18"/>
    <mergeCell ref="B13:F13"/>
    <mergeCell ref="B4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2026-03-16T04:50:28Z</dcterms:created>
  <dcterms:modified xsi:type="dcterms:W3CDTF">2026-03-16T04:50:29Z</dcterms:modified>
</cp:coreProperties>
</file>