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🏘 Deal Analyzer" sheetId="1" state="visible" r:id="rId1"/>
    <sheet name="🔍 Deal Comparison" sheetId="2" state="visible" r:id="rId2"/>
    <sheet name="🔨 Rehab Estimator" sheetId="3" state="visible" r:id="rId3"/>
    <sheet name="📈 Rental Projections" sheetId="4" state="visible" r:id="rId4"/>
    <sheet name="📖 Setup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 &quot;sqft&quot;"/>
    <numFmt numFmtId="165" formatCode="&quot;$&quot;#,##0"/>
    <numFmt numFmtId="166" formatCode="0.000%"/>
    <numFmt numFmtId="167" formatCode="0.0"/>
    <numFmt numFmtId="168" formatCode="&quot;$&quot;#,##0.00"/>
    <numFmt numFmtId="169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B8860B"/>
      <sz val="10"/>
    </font>
    <font>
      <name val="Calibri"/>
      <b val="1"/>
      <color rgb="00FFFFFF"/>
      <sz val="12"/>
    </font>
    <font>
      <name val="Calibri"/>
      <color rgb="00212529"/>
      <sz val="10"/>
    </font>
    <font>
      <name val="Calibri"/>
      <b val="1"/>
      <color rgb="00B8860B"/>
      <sz val="12"/>
    </font>
    <font>
      <name val="Calibri"/>
      <i val="1"/>
      <color rgb="00888888"/>
      <sz val="9"/>
    </font>
    <font>
      <name val="Calibri"/>
      <b val="1"/>
      <color rgb="001A4731"/>
      <sz val="12"/>
    </font>
    <font>
      <name val="Calibri"/>
      <b val="1"/>
      <color rgb="001A4731"/>
      <sz val="13"/>
    </font>
    <font>
      <name val="Calibri"/>
      <b val="1"/>
      <color rgb="00B8860B"/>
      <sz val="14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B8860B"/>
      <sz val="11"/>
    </font>
    <font>
      <name val="Calibri"/>
      <b val="1"/>
      <color rgb="00212529"/>
      <sz val="9"/>
    </font>
    <font>
      <name val="Calibri"/>
      <i val="1"/>
      <color rgb="001A4731"/>
      <sz val="10"/>
    </font>
    <font>
      <name val="Calibri"/>
      <b val="1"/>
      <color rgb="001A4731"/>
      <sz val="9"/>
    </font>
    <font>
      <name val="Calibri"/>
      <b val="1"/>
      <color rgb="001A4731"/>
      <sz val="11"/>
    </font>
    <font>
      <name val="Calibri"/>
      <color rgb="00212529"/>
      <sz val="11"/>
    </font>
  </fonts>
  <fills count="7">
    <fill>
      <patternFill/>
    </fill>
    <fill>
      <patternFill patternType="gray125"/>
    </fill>
    <fill>
      <patternFill patternType="solid">
        <fgColor rgb="001A4731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D1E7D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0" fontId="8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6" fillId="5" borderId="0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4731"/>
    <outlinePr summaryBelow="1" summaryRight="1"/>
    <pageSetUpPr/>
  </sheetPr>
  <dimension ref="A1:H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3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50" customHeight="1">
      <c r="A1" s="1" t="inlineStr">
        <is>
          <t>REAL ESTATE DEAL ANALYZER</t>
        </is>
      </c>
    </row>
    <row r="2" ht="24" customHeight="1">
      <c r="A2" s="2" t="inlineStr">
        <is>
          <t>Enter yellow cells. All results calculate automatically.</t>
        </is>
      </c>
    </row>
    <row r="4" ht="28" customHeight="1">
      <c r="A4" s="3" t="inlineStr">
        <is>
          <t xml:space="preserve">  📍 PROPERTY INFORMATION</t>
        </is>
      </c>
    </row>
    <row r="5" ht="26" customHeight="1">
      <c r="B5" s="4" t="inlineStr">
        <is>
          <t>Property Address</t>
        </is>
      </c>
      <c r="C5" s="5" t="inlineStr">
        <is>
          <t>123 Main St, City, ST</t>
        </is>
      </c>
      <c r="D5" s="6" t="inlineStr">
        <is>
          <t>Enter full address</t>
        </is>
      </c>
    </row>
    <row r="6" ht="26" customHeight="1">
      <c r="B6" s="4" t="inlineStr">
        <is>
          <t>Property Type</t>
        </is>
      </c>
      <c r="C6" s="5" t="inlineStr">
        <is>
          <t>Single Family</t>
        </is>
      </c>
      <c r="D6" s="6" t="inlineStr">
        <is>
          <t>SFR / Duplex / Multi / Commercial</t>
        </is>
      </c>
    </row>
    <row r="7" ht="26" customHeight="1">
      <c r="B7" s="4" t="inlineStr">
        <is>
          <t>Square Footage</t>
        </is>
      </c>
      <c r="C7" s="7" t="n">
        <v>1500</v>
      </c>
    </row>
    <row r="8" ht="26" customHeight="1">
      <c r="B8" s="4" t="inlineStr">
        <is>
          <t>Year Built</t>
        </is>
      </c>
      <c r="C8" s="8" t="n">
        <v>1995</v>
      </c>
    </row>
    <row r="9" ht="26" customHeight="1">
      <c r="B9" s="4" t="inlineStr">
        <is>
          <t>Bedrooms / Baths</t>
        </is>
      </c>
      <c r="C9" s="5" t="inlineStr">
        <is>
          <t>3 / 2</t>
        </is>
      </c>
    </row>
    <row r="10" ht="26" customHeight="1">
      <c r="B10" s="4" t="inlineStr">
        <is>
          <t>Deal Type</t>
        </is>
      </c>
      <c r="C10" s="5" t="inlineStr">
        <is>
          <t>Buy &amp; Hold</t>
        </is>
      </c>
      <c r="D10" s="6" t="inlineStr">
        <is>
          <t>Buy &amp; Hold / Fix &amp; Flip / BRRRR</t>
        </is>
      </c>
    </row>
    <row r="11" ht="26" customHeight="1"/>
    <row r="12" ht="26" customHeight="1">
      <c r="A12" s="3" t="inlineStr">
        <is>
          <t xml:space="preserve">  💰 PURCHASE &amp; ACQUISITION COSTS</t>
        </is>
      </c>
    </row>
    <row r="13" ht="26" customHeight="1">
      <c r="B13" s="4" t="inlineStr">
        <is>
          <t>Purchase Price</t>
        </is>
      </c>
      <c r="C13" s="9" t="n">
        <v>250000</v>
      </c>
    </row>
    <row r="14" ht="26" customHeight="1">
      <c r="B14" s="4" t="inlineStr">
        <is>
          <t>Down Payment %</t>
        </is>
      </c>
      <c r="C14" s="10" t="n">
        <v>0.2</v>
      </c>
      <c r="D14" s="6" t="inlineStr">
        <is>
          <t>typical: 20-25%</t>
        </is>
      </c>
    </row>
    <row r="15" ht="26" customHeight="1">
      <c r="B15" s="4" t="inlineStr">
        <is>
          <t>Closing Costs</t>
        </is>
      </c>
      <c r="C15" s="9" t="n">
        <v>4000</v>
      </c>
      <c r="D15" s="6" t="inlineStr">
        <is>
          <t>est. 1.5-2%</t>
        </is>
      </c>
    </row>
    <row r="16" ht="26" customHeight="1">
      <c r="B16" s="4" t="inlineStr">
        <is>
          <t>Rehab / Repair Costs</t>
        </is>
      </c>
      <c r="C16" s="9" t="n">
        <v>15000</v>
      </c>
    </row>
    <row r="17" ht="26" customHeight="1">
      <c r="B17" s="4" t="inlineStr">
        <is>
          <t>Other Acquisition Costs</t>
        </is>
      </c>
      <c r="C17" s="9" t="n">
        <v>500</v>
      </c>
      <c r="D17" s="6" t="inlineStr">
        <is>
          <t>inspection, etc.</t>
        </is>
      </c>
    </row>
    <row r="18" ht="26" customHeight="1">
      <c r="B18" s="4" t="inlineStr">
        <is>
          <t>Down Payment $</t>
        </is>
      </c>
      <c r="C18" s="11">
        <f>C13*C14</f>
        <v/>
      </c>
    </row>
    <row r="19" ht="26" customHeight="1">
      <c r="B19" s="4" t="inlineStr">
        <is>
          <t>TOTAL CASH NEEDED</t>
        </is>
      </c>
      <c r="C19" s="12">
        <f>C18+C15+C16+C17</f>
        <v/>
      </c>
    </row>
    <row r="20" ht="26" customHeight="1">
      <c r="B20" s="4" t="inlineStr">
        <is>
          <t>Loan Amount</t>
        </is>
      </c>
      <c r="C20" s="11">
        <f>C13-C18</f>
        <v/>
      </c>
    </row>
    <row r="21" ht="26" customHeight="1">
      <c r="B21" s="4" t="inlineStr">
        <is>
          <t>After Repair Value (ARV)</t>
        </is>
      </c>
      <c r="C21" s="11" t="n">
        <v>295000</v>
      </c>
    </row>
    <row r="22" ht="26" customHeight="1"/>
    <row r="23" ht="26" customHeight="1">
      <c r="A23" s="3" t="inlineStr">
        <is>
          <t xml:space="preserve">  🏦 FINANCING</t>
        </is>
      </c>
    </row>
    <row r="24" ht="26" customHeight="1">
      <c r="B24" s="4" t="inlineStr">
        <is>
          <t>Loan Type</t>
        </is>
      </c>
      <c r="C24" s="5" t="inlineStr">
        <is>
          <t>Conventional</t>
        </is>
      </c>
    </row>
    <row r="25" ht="26" customHeight="1">
      <c r="B25" s="4" t="inlineStr">
        <is>
          <t>Interest Rate</t>
        </is>
      </c>
      <c r="C25" s="13" t="n">
        <v>0.075</v>
      </c>
      <c r="D25" s="6" t="inlineStr">
        <is>
          <t>e.g. 0.075 = 7.5%</t>
        </is>
      </c>
    </row>
    <row r="26" ht="26" customHeight="1">
      <c r="B26" s="4" t="inlineStr">
        <is>
          <t>Loan Term (years)</t>
        </is>
      </c>
      <c r="C26" s="8" t="n">
        <v>30</v>
      </c>
    </row>
    <row r="27" ht="26" customHeight="1">
      <c r="B27" s="4" t="inlineStr">
        <is>
          <t>Points Paid</t>
        </is>
      </c>
      <c r="C27" s="14" t="n">
        <v>0</v>
      </c>
      <c r="D27" s="6" t="inlineStr">
        <is>
          <t>1 point = 1% of loan</t>
        </is>
      </c>
    </row>
    <row r="28" ht="26" customHeight="1">
      <c r="B28" s="4" t="inlineStr">
        <is>
          <t>Monthly P&amp;I Payment</t>
        </is>
      </c>
      <c r="C28" s="15">
        <f>IFERROR(PMT(C25/12,C26*12,-C20),0)</f>
        <v/>
      </c>
    </row>
    <row r="29" ht="26" customHeight="1"/>
    <row r="30" ht="26" customHeight="1">
      <c r="A30" s="3" t="inlineStr">
        <is>
          <t xml:space="preserve">  🏠 RENTAL INCOME (Buy &amp; Hold)</t>
        </is>
      </c>
    </row>
    <row r="31" ht="26" customHeight="1">
      <c r="B31" s="4" t="inlineStr">
        <is>
          <t>Monthly Rent (Market)</t>
        </is>
      </c>
      <c r="C31" s="9" t="n">
        <v>2000</v>
      </c>
    </row>
    <row r="32" ht="26" customHeight="1">
      <c r="B32" s="4" t="inlineStr">
        <is>
          <t>Vacancy Rate %</t>
        </is>
      </c>
      <c r="C32" s="10" t="n">
        <v>0.05</v>
      </c>
      <c r="D32" s="6" t="inlineStr">
        <is>
          <t>typical: 5-8%</t>
        </is>
      </c>
    </row>
    <row r="33" ht="26" customHeight="1">
      <c r="B33" s="4" t="inlineStr">
        <is>
          <t>Other Monthly Income</t>
        </is>
      </c>
      <c r="C33" s="9" t="n">
        <v>0</v>
      </c>
      <c r="D33" s="6" t="inlineStr">
        <is>
          <t>laundry, storage, etc.</t>
        </is>
      </c>
    </row>
    <row r="34" ht="26" customHeight="1">
      <c r="B34" s="4" t="inlineStr">
        <is>
          <t>Effective Gross Income (mo.)</t>
        </is>
      </c>
      <c r="C34" s="11">
        <f>C31*(1-C32)+C33</f>
        <v/>
      </c>
    </row>
    <row r="35" ht="26" customHeight="1">
      <c r="B35" s="4" t="inlineStr">
        <is>
          <t>Annual Gross Income</t>
        </is>
      </c>
      <c r="C35" s="11">
        <f>C34*12</f>
        <v/>
      </c>
    </row>
    <row r="36" ht="26" customHeight="1"/>
    <row r="37" ht="26" customHeight="1">
      <c r="A37" s="3" t="inlineStr">
        <is>
          <t xml:space="preserve">  📋 MONTHLY OPERATING EXPENSES</t>
        </is>
      </c>
    </row>
    <row r="38" ht="26" customHeight="1">
      <c r="B38" s="4" t="inlineStr">
        <is>
          <t>Property Tax (mo.)</t>
        </is>
      </c>
      <c r="C38" s="9" t="n">
        <v>250</v>
      </c>
    </row>
    <row r="39" ht="26" customHeight="1">
      <c r="B39" s="4" t="inlineStr">
        <is>
          <t>Insurance (mo.)</t>
        </is>
      </c>
      <c r="C39" s="9" t="n">
        <v>120</v>
      </c>
    </row>
    <row r="40" ht="26" customHeight="1">
      <c r="B40" s="4" t="inlineStr">
        <is>
          <t>Property Mgmt (mo.)</t>
        </is>
      </c>
      <c r="C40" s="9" t="n">
        <v>0</v>
      </c>
      <c r="D40" s="6" t="inlineStr">
        <is>
          <t>8-10% of rent if managed</t>
        </is>
      </c>
    </row>
    <row r="41" ht="26" customHeight="1">
      <c r="B41" s="4" t="inlineStr">
        <is>
          <t>Repairs Reserve (mo.)</t>
        </is>
      </c>
      <c r="C41" s="9" t="n">
        <v>100</v>
      </c>
      <c r="D41" s="6" t="inlineStr">
        <is>
          <t>1% of value/yr ÷ 12</t>
        </is>
      </c>
    </row>
    <row r="42" ht="26" customHeight="1">
      <c r="B42" s="4" t="inlineStr">
        <is>
          <t>CapEx Reserve (mo.)</t>
        </is>
      </c>
      <c r="C42" s="9" t="n">
        <v>100</v>
      </c>
      <c r="D42" s="6" t="inlineStr">
        <is>
          <t>roof, HVAC, appliances</t>
        </is>
      </c>
    </row>
    <row r="43" ht="26" customHeight="1">
      <c r="B43" s="4" t="inlineStr">
        <is>
          <t>Utilities (mo.)</t>
        </is>
      </c>
      <c r="C43" s="9" t="n">
        <v>0</v>
      </c>
      <c r="D43" s="6" t="inlineStr">
        <is>
          <t>if landlord pays any</t>
        </is>
      </c>
    </row>
    <row r="44" ht="26" customHeight="1">
      <c r="B44" s="4" t="inlineStr">
        <is>
          <t>HOA (mo.)</t>
        </is>
      </c>
      <c r="C44" s="9" t="n">
        <v>0</v>
      </c>
    </row>
    <row r="45" ht="26" customHeight="1">
      <c r="B45" s="4" t="inlineStr">
        <is>
          <t>Other Expenses (mo.)</t>
        </is>
      </c>
      <c r="C45" s="9" t="n">
        <v>50</v>
      </c>
    </row>
    <row r="46" ht="26" customHeight="1">
      <c r="B46" s="4" t="inlineStr">
        <is>
          <t>Total Operating Expenses (mo.)</t>
        </is>
      </c>
      <c r="C46" s="12">
        <f>SUM(C38:C45)</f>
        <v/>
      </c>
    </row>
    <row r="47" ht="26" customHeight="1">
      <c r="B47" s="4" t="inlineStr">
        <is>
          <t>Total Operating Expenses (yr)</t>
        </is>
      </c>
      <c r="C47" s="11">
        <f>C46*12</f>
        <v/>
      </c>
    </row>
    <row r="48" ht="26" customHeight="1"/>
    <row r="49" ht="26" customHeight="1">
      <c r="A49" s="3" t="inlineStr">
        <is>
          <t xml:space="preserve">  📈 RETURNS &amp; METRICS</t>
        </is>
      </c>
    </row>
    <row r="50" ht="26" customHeight="1">
      <c r="B50" s="4" t="inlineStr">
        <is>
          <t>Monthly NOI</t>
        </is>
      </c>
      <c r="C50" s="16">
        <f>C34-C46</f>
        <v/>
      </c>
      <c r="D50" s="6" t="inlineStr">
        <is>
          <t>Net Operating Income</t>
        </is>
      </c>
    </row>
    <row r="51" ht="26" customHeight="1">
      <c r="B51" s="17" t="inlineStr">
        <is>
          <t>Annual NOI</t>
        </is>
      </c>
      <c r="C51" s="16">
        <f>C50*12</f>
        <v/>
      </c>
    </row>
    <row r="52" ht="26" customHeight="1">
      <c r="B52" s="4" t="inlineStr">
        <is>
          <t>Monthly Cash Flow</t>
        </is>
      </c>
      <c r="C52" s="16">
        <f>C50-C28</f>
        <v/>
      </c>
      <c r="D52" s="6" t="inlineStr">
        <is>
          <t>NOI minus mortgage</t>
        </is>
      </c>
    </row>
    <row r="53" ht="26" customHeight="1">
      <c r="B53" s="17" t="inlineStr">
        <is>
          <t>Annual Cash Flow</t>
        </is>
      </c>
      <c r="C53" s="16">
        <f>C52*12</f>
        <v/>
      </c>
    </row>
    <row r="54" ht="26" customHeight="1">
      <c r="B54" s="4" t="inlineStr">
        <is>
          <t>Cash-on-Cash Return</t>
        </is>
      </c>
      <c r="C54" s="18">
        <f>IF(C19=0,0,C53/C19)</f>
        <v/>
      </c>
      <c r="D54" s="6" t="inlineStr">
        <is>
          <t>annual CF / cash invested</t>
        </is>
      </c>
    </row>
    <row r="55" ht="26" customHeight="1">
      <c r="B55" s="17" t="inlineStr">
        <is>
          <t>Cap Rate</t>
        </is>
      </c>
      <c r="C55" s="18">
        <f>IF(C13=0,0,C51/C13)</f>
        <v/>
      </c>
      <c r="D55" s="6" t="inlineStr">
        <is>
          <t>NOI / purchase price</t>
        </is>
      </c>
    </row>
    <row r="56" ht="26" customHeight="1">
      <c r="B56" s="4" t="inlineStr">
        <is>
          <t>Gross Rent Multiplier</t>
        </is>
      </c>
      <c r="C56" s="19">
        <f>IF(C35=0,0,C13/C35)</f>
        <v/>
      </c>
      <c r="D56" s="6" t="inlineStr">
        <is>
          <t>purchase price / annual rent</t>
        </is>
      </c>
    </row>
    <row r="57" ht="26" customHeight="1">
      <c r="B57" s="17" t="inlineStr">
        <is>
          <t>Price per Sq Ft</t>
        </is>
      </c>
      <c r="C57" s="20">
        <f>IF(C7=0,0,C13/C7)</f>
        <v/>
      </c>
    </row>
    <row r="58" ht="26" customHeight="1">
      <c r="B58" s="4" t="inlineStr">
        <is>
          <t>Equity at Purchase</t>
        </is>
      </c>
      <c r="C58" s="16">
        <f>C13-C20</f>
        <v/>
      </c>
    </row>
    <row r="59" ht="26" customHeight="1">
      <c r="B59" s="17" t="inlineStr">
        <is>
          <t>ARV Equity</t>
        </is>
      </c>
      <c r="C59" s="16">
        <f>C21-C20+C16</f>
        <v/>
      </c>
      <c r="D59" s="6" t="inlineStr">
        <is>
          <t>after rehab equity</t>
        </is>
      </c>
    </row>
    <row r="60" ht="26" customHeight="1">
      <c r="B60" s="4" t="inlineStr">
        <is>
          <t>70% ARV Rule</t>
        </is>
      </c>
      <c r="C60" s="16">
        <f>C21*0.70-C16</f>
        <v/>
      </c>
      <c r="D60" s="6" t="inlineStr">
        <is>
          <t>max offer for flip</t>
        </is>
      </c>
    </row>
    <row r="61" ht="26" customHeight="1">
      <c r="B61" s="21" t="inlineStr">
        <is>
          <t>DEAL SCORE</t>
        </is>
      </c>
    </row>
    <row r="62" ht="26" customHeight="1">
      <c r="B62" s="22">
        <f>IF(C54&gt;=0.08, "🟢 STRONG DEAL — CoC return ≥ 8%", IF(C54&gt;=0.05, "🟡 MARGINAL — CoC 5-8%, negotiate harder", "🔴 PASS — CoC below 5%, numbers don't work"))</f>
        <v/>
      </c>
    </row>
    <row r="63" ht="26" customHeight="1"/>
    <row r="64" ht="26" customHeight="1"/>
  </sheetData>
  <mergeCells count="10">
    <mergeCell ref="A12:H12"/>
    <mergeCell ref="A4:H4"/>
    <mergeCell ref="A30:H30"/>
    <mergeCell ref="B61:D61"/>
    <mergeCell ref="A2:H2"/>
    <mergeCell ref="A49:H49"/>
    <mergeCell ref="B62:D64"/>
    <mergeCell ref="A37:H37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4731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4" customHeight="1">
      <c r="A1" s="23" t="inlineStr">
        <is>
          <t>DEAL COMPARISON — Compare Up to 5 Properties</t>
        </is>
      </c>
    </row>
    <row r="3">
      <c r="A3" s="24" t="inlineStr">
        <is>
          <t>METRIC</t>
        </is>
      </c>
      <c r="B3" s="25" t="inlineStr">
        <is>
          <t>Deal A</t>
        </is>
      </c>
      <c r="C3" s="25" t="inlineStr">
        <is>
          <t>Deal B</t>
        </is>
      </c>
      <c r="D3" s="25" t="inlineStr">
        <is>
          <t>Deal C</t>
        </is>
      </c>
      <c r="E3" s="25" t="inlineStr">
        <is>
          <t>Deal D</t>
        </is>
      </c>
      <c r="F3" s="25" t="inlineStr">
        <is>
          <t>Deal E</t>
        </is>
      </c>
    </row>
    <row r="4">
      <c r="A4" s="26" t="inlineStr">
        <is>
          <t>Property Address</t>
        </is>
      </c>
      <c r="B4" s="27" t="n"/>
      <c r="C4" s="27" t="n"/>
      <c r="D4" s="27" t="n"/>
      <c r="E4" s="27" t="n"/>
      <c r="F4" s="27" t="n"/>
    </row>
    <row r="5">
      <c r="A5" s="28" t="inlineStr">
        <is>
          <t>Purchase Price</t>
        </is>
      </c>
      <c r="B5" s="29" t="n"/>
      <c r="C5" s="29" t="n"/>
      <c r="D5" s="29" t="n"/>
      <c r="E5" s="29" t="n"/>
      <c r="F5" s="29" t="n"/>
    </row>
    <row r="6">
      <c r="A6" s="26" t="inlineStr">
        <is>
          <t>Total Cash Needed</t>
        </is>
      </c>
      <c r="B6" s="29" t="n"/>
      <c r="C6" s="29" t="n"/>
      <c r="D6" s="29" t="n"/>
      <c r="E6" s="29" t="n"/>
      <c r="F6" s="29" t="n"/>
    </row>
    <row r="7">
      <c r="A7" s="28" t="inlineStr">
        <is>
          <t>Monthly Cash Flow</t>
        </is>
      </c>
      <c r="B7" s="29" t="n"/>
      <c r="C7" s="29" t="n"/>
      <c r="D7" s="29" t="n"/>
      <c r="E7" s="29" t="n"/>
      <c r="F7" s="29" t="n"/>
    </row>
    <row r="8">
      <c r="A8" s="26" t="inlineStr">
        <is>
          <t>Annual Cash Flow</t>
        </is>
      </c>
      <c r="B8" s="29" t="n"/>
      <c r="C8" s="29" t="n"/>
      <c r="D8" s="29" t="n"/>
      <c r="E8" s="29" t="n"/>
      <c r="F8" s="29" t="n"/>
    </row>
    <row r="9">
      <c r="A9" s="28" t="inlineStr">
        <is>
          <t>Cash-on-Cash Return</t>
        </is>
      </c>
      <c r="B9" s="30" t="n"/>
      <c r="C9" s="30" t="n"/>
      <c r="D9" s="30" t="n"/>
      <c r="E9" s="30" t="n"/>
      <c r="F9" s="30" t="n"/>
    </row>
    <row r="10">
      <c r="A10" s="26" t="inlineStr">
        <is>
          <t>Cap Rate</t>
        </is>
      </c>
      <c r="B10" s="30" t="n"/>
      <c r="C10" s="30" t="n"/>
      <c r="D10" s="30" t="n"/>
      <c r="E10" s="30" t="n"/>
      <c r="F10" s="30" t="n"/>
    </row>
    <row r="11">
      <c r="A11" s="28" t="inlineStr">
        <is>
          <t>GRM</t>
        </is>
      </c>
      <c r="B11" s="27" t="n"/>
      <c r="C11" s="27" t="n"/>
      <c r="D11" s="27" t="n"/>
      <c r="E11" s="27" t="n"/>
      <c r="F11" s="27" t="n"/>
    </row>
    <row r="12">
      <c r="A12" s="26" t="inlineStr">
        <is>
          <t>Monthly NOI</t>
        </is>
      </c>
      <c r="B12" s="29" t="n"/>
      <c r="C12" s="29" t="n"/>
      <c r="D12" s="29" t="n"/>
      <c r="E12" s="29" t="n"/>
      <c r="F12" s="29" t="n"/>
    </row>
    <row r="13">
      <c r="A13" s="28" t="inlineStr">
        <is>
          <t>ARV</t>
        </is>
      </c>
      <c r="B13" s="29" t="n"/>
      <c r="C13" s="29" t="n"/>
      <c r="D13" s="29" t="n"/>
      <c r="E13" s="29" t="n"/>
      <c r="F13" s="29" t="n"/>
    </row>
    <row r="14">
      <c r="A14" s="26" t="inlineStr">
        <is>
          <t>70% ARV Max Offer</t>
        </is>
      </c>
      <c r="B14" s="29" t="n"/>
      <c r="C14" s="29" t="n"/>
      <c r="D14" s="29" t="n"/>
      <c r="E14" s="29" t="n"/>
      <c r="F14" s="29" t="n"/>
    </row>
    <row r="15">
      <c r="A15" s="28" t="inlineStr">
        <is>
          <t>Notes</t>
        </is>
      </c>
      <c r="B15" s="27" t="n"/>
      <c r="C15" s="27" t="n"/>
      <c r="D15" s="27" t="n"/>
      <c r="E15" s="27" t="n"/>
      <c r="F15" s="27" t="n"/>
    </row>
    <row r="19">
      <c r="A19" s="31" t="inlineStr">
        <is>
          <t>TIP: Highlight the column with the best Cash-on-Cash Return in green. That's usually your best deal — unless it requires too much cash upfront.</t>
        </is>
      </c>
    </row>
    <row r="20"/>
  </sheetData>
  <mergeCells count="2">
    <mergeCell ref="A1:F1"/>
    <mergeCell ref="A19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8860B"/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 ht="44" customHeight="1">
      <c r="A1" s="23" t="inlineStr">
        <is>
          <t>REHAB COST ESTIMATOR</t>
        </is>
      </c>
    </row>
    <row r="3" ht="32" customHeight="1">
      <c r="A3" s="32" t="inlineStr">
        <is>
          <t>Category</t>
        </is>
      </c>
      <c r="B3" s="32" t="inlineStr">
        <is>
          <t>Item</t>
        </is>
      </c>
      <c r="C3" s="32" t="inlineStr">
        <is>
          <t>Low Estimate</t>
        </is>
      </c>
      <c r="D3" s="32" t="inlineStr">
        <is>
          <t>High Estimate</t>
        </is>
      </c>
      <c r="E3" s="32" t="inlineStr">
        <is>
          <t>Your Estimate</t>
        </is>
      </c>
      <c r="F3" s="32" t="inlineStr">
        <is>
          <t>Notes</t>
        </is>
      </c>
    </row>
    <row r="4">
      <c r="A4" s="33" t="inlineStr">
        <is>
          <t>Kitchen</t>
        </is>
      </c>
      <c r="B4" s="34" t="inlineStr">
        <is>
          <t>Full Kitchen Remodel</t>
        </is>
      </c>
      <c r="C4" s="35" t="n">
        <v>15000</v>
      </c>
      <c r="D4" s="35" t="n">
        <v>45000</v>
      </c>
      <c r="E4" s="29" t="n"/>
      <c r="F4" s="36" t="n"/>
    </row>
    <row r="5">
      <c r="A5" s="37" t="inlineStr">
        <is>
          <t>Kitchen</t>
        </is>
      </c>
      <c r="B5" s="38" t="inlineStr">
        <is>
          <t>Cabinet Refacing</t>
        </is>
      </c>
      <c r="C5" s="39" t="n">
        <v>3000</v>
      </c>
      <c r="D5" s="39" t="n">
        <v>8000</v>
      </c>
      <c r="E5" s="29" t="n"/>
      <c r="F5" s="40" t="n"/>
    </row>
    <row r="6">
      <c r="A6" s="33" t="inlineStr">
        <is>
          <t>Kitchen</t>
        </is>
      </c>
      <c r="B6" s="34" t="inlineStr">
        <is>
          <t>Countertops (granite)</t>
        </is>
      </c>
      <c r="C6" s="35" t="n">
        <v>2000</v>
      </c>
      <c r="D6" s="35" t="n">
        <v>5000</v>
      </c>
      <c r="E6" s="29" t="n"/>
      <c r="F6" s="36" t="n"/>
    </row>
    <row r="7">
      <c r="A7" s="37" t="inlineStr">
        <is>
          <t>Kitchen</t>
        </is>
      </c>
      <c r="B7" s="38" t="inlineStr">
        <is>
          <t>Appliances</t>
        </is>
      </c>
      <c r="C7" s="39" t="n">
        <v>2000</v>
      </c>
      <c r="D7" s="39" t="n">
        <v>6000</v>
      </c>
      <c r="E7" s="29" t="n"/>
      <c r="F7" s="40" t="n"/>
    </row>
    <row r="8">
      <c r="A8" s="33" t="inlineStr">
        <is>
          <t>Bathroom</t>
        </is>
      </c>
      <c r="B8" s="34" t="inlineStr">
        <is>
          <t>Full Bath Remodel</t>
        </is>
      </c>
      <c r="C8" s="35" t="n">
        <v>6000</v>
      </c>
      <c r="D8" s="35" t="n">
        <v>20000</v>
      </c>
      <c r="E8" s="29" t="n"/>
      <c r="F8" s="36" t="n"/>
    </row>
    <row r="9">
      <c r="A9" s="37" t="inlineStr">
        <is>
          <t>Bathroom</t>
        </is>
      </c>
      <c r="B9" s="38" t="inlineStr">
        <is>
          <t>Vanity + Fixtures</t>
        </is>
      </c>
      <c r="C9" s="39" t="n">
        <v>500</v>
      </c>
      <c r="D9" s="39" t="n">
        <v>2000</v>
      </c>
      <c r="E9" s="29" t="n"/>
      <c r="F9" s="40" t="n"/>
    </row>
    <row r="10">
      <c r="A10" s="33" t="inlineStr">
        <is>
          <t>Bathroom</t>
        </is>
      </c>
      <c r="B10" s="34" t="inlineStr">
        <is>
          <t>Tile Work</t>
        </is>
      </c>
      <c r="C10" s="35" t="n">
        <v>1500</v>
      </c>
      <c r="D10" s="35" t="n">
        <v>5000</v>
      </c>
      <c r="E10" s="29" t="n"/>
      <c r="F10" s="36" t="n"/>
    </row>
    <row r="11">
      <c r="A11" s="37" t="inlineStr">
        <is>
          <t>Flooring</t>
        </is>
      </c>
      <c r="B11" s="38" t="inlineStr">
        <is>
          <t>Hardwood (per sqft x sqft)</t>
        </is>
      </c>
      <c r="C11" s="39" t="n">
        <v>3</v>
      </c>
      <c r="D11" s="39" t="n">
        <v>8</v>
      </c>
      <c r="E11" s="29" t="n"/>
      <c r="F11" s="40" t="n"/>
    </row>
    <row r="12">
      <c r="A12" s="33" t="inlineStr">
        <is>
          <t>Flooring</t>
        </is>
      </c>
      <c r="B12" s="34" t="inlineStr">
        <is>
          <t>LVP / Laminate</t>
        </is>
      </c>
      <c r="C12" s="35" t="n">
        <v>1500</v>
      </c>
      <c r="D12" s="35" t="n">
        <v>5000</v>
      </c>
      <c r="E12" s="29" t="n"/>
      <c r="F12" s="36" t="n"/>
    </row>
    <row r="13">
      <c r="A13" s="37" t="inlineStr">
        <is>
          <t>Flooring</t>
        </is>
      </c>
      <c r="B13" s="38" t="inlineStr">
        <is>
          <t>Carpet</t>
        </is>
      </c>
      <c r="C13" s="39" t="n">
        <v>1000</v>
      </c>
      <c r="D13" s="39" t="n">
        <v>3500</v>
      </c>
      <c r="E13" s="29" t="n"/>
      <c r="F13" s="40" t="n"/>
    </row>
    <row r="14">
      <c r="A14" s="33" t="inlineStr">
        <is>
          <t>Exterior</t>
        </is>
      </c>
      <c r="B14" s="34" t="inlineStr">
        <is>
          <t>Roof Replacement</t>
        </is>
      </c>
      <c r="C14" s="35" t="n">
        <v>8000</v>
      </c>
      <c r="D14" s="35" t="n">
        <v>18000</v>
      </c>
      <c r="E14" s="29" t="n"/>
      <c r="F14" s="36" t="n"/>
    </row>
    <row r="15">
      <c r="A15" s="37" t="inlineStr">
        <is>
          <t>Exterior</t>
        </is>
      </c>
      <c r="B15" s="38" t="inlineStr">
        <is>
          <t>Siding</t>
        </is>
      </c>
      <c r="C15" s="39" t="n">
        <v>6000</v>
      </c>
      <c r="D15" s="39" t="n">
        <v>15000</v>
      </c>
      <c r="E15" s="29" t="n"/>
      <c r="F15" s="40" t="n"/>
    </row>
    <row r="16">
      <c r="A16" s="33" t="inlineStr">
        <is>
          <t>Exterior</t>
        </is>
      </c>
      <c r="B16" s="34" t="inlineStr">
        <is>
          <t>Landscaping / Curb Appeal</t>
        </is>
      </c>
      <c r="C16" s="35" t="n">
        <v>500</v>
      </c>
      <c r="D16" s="35" t="n">
        <v>3000</v>
      </c>
      <c r="E16" s="29" t="n"/>
      <c r="F16" s="36" t="n"/>
    </row>
    <row r="17">
      <c r="A17" s="37" t="inlineStr">
        <is>
          <t>HVAC</t>
        </is>
      </c>
      <c r="B17" s="38" t="inlineStr">
        <is>
          <t>Full HVAC Replacement</t>
        </is>
      </c>
      <c r="C17" s="39" t="n">
        <v>5000</v>
      </c>
      <c r="D17" s="39" t="n">
        <v>12000</v>
      </c>
      <c r="E17" s="29" t="n"/>
      <c r="F17" s="40" t="n"/>
    </row>
    <row r="18">
      <c r="A18" s="33" t="inlineStr">
        <is>
          <t>HVAC</t>
        </is>
      </c>
      <c r="B18" s="34" t="inlineStr">
        <is>
          <t>Water Heater</t>
        </is>
      </c>
      <c r="C18" s="35" t="n">
        <v>800</v>
      </c>
      <c r="D18" s="35" t="n">
        <v>1800</v>
      </c>
      <c r="E18" s="29" t="n"/>
      <c r="F18" s="36" t="n"/>
    </row>
    <row r="19">
      <c r="A19" s="37" t="inlineStr">
        <is>
          <t>Electrical</t>
        </is>
      </c>
      <c r="B19" s="38" t="inlineStr">
        <is>
          <t>Panel Upgrade</t>
        </is>
      </c>
      <c r="C19" s="39" t="n">
        <v>2000</v>
      </c>
      <c r="D19" s="39" t="n">
        <v>5000</v>
      </c>
      <c r="E19" s="29" t="n"/>
      <c r="F19" s="40" t="n"/>
    </row>
    <row r="20">
      <c r="A20" s="33" t="inlineStr">
        <is>
          <t>Plumbing</t>
        </is>
      </c>
      <c r="B20" s="34" t="inlineStr">
        <is>
          <t>Re-pipe</t>
        </is>
      </c>
      <c r="C20" s="35" t="n">
        <v>4000</v>
      </c>
      <c r="D20" s="35" t="n">
        <v>12000</v>
      </c>
      <c r="E20" s="29" t="n"/>
      <c r="F20" s="36" t="n"/>
    </row>
    <row r="21">
      <c r="A21" s="37" t="inlineStr">
        <is>
          <t>Interior</t>
        </is>
      </c>
      <c r="B21" s="38" t="inlineStr">
        <is>
          <t>Paint (interior)</t>
        </is>
      </c>
      <c r="C21" s="39" t="n">
        <v>1500</v>
      </c>
      <c r="D21" s="39" t="n">
        <v>4000</v>
      </c>
      <c r="E21" s="29" t="n"/>
      <c r="F21" s="40" t="n"/>
    </row>
    <row r="22">
      <c r="A22" s="33" t="inlineStr">
        <is>
          <t>Interior</t>
        </is>
      </c>
      <c r="B22" s="34" t="inlineStr">
        <is>
          <t>Paint (exterior)</t>
        </is>
      </c>
      <c r="C22" s="35" t="n">
        <v>2000</v>
      </c>
      <c r="D22" s="35" t="n">
        <v>6000</v>
      </c>
      <c r="E22" s="29" t="n"/>
      <c r="F22" s="36" t="n"/>
    </row>
    <row r="23">
      <c r="A23" s="37" t="inlineStr">
        <is>
          <t>Interior</t>
        </is>
      </c>
      <c r="B23" s="38" t="inlineStr">
        <is>
          <t>Doors (interior set)</t>
        </is>
      </c>
      <c r="C23" s="39" t="n">
        <v>1000</v>
      </c>
      <c r="D23" s="39" t="n">
        <v>3000</v>
      </c>
      <c r="E23" s="29" t="n"/>
      <c r="F23" s="40" t="n"/>
    </row>
    <row r="24">
      <c r="A24" s="33" t="inlineStr">
        <is>
          <t>Windows</t>
        </is>
      </c>
      <c r="B24" s="34" t="inlineStr">
        <is>
          <t>Window Replacement (ea.)</t>
        </is>
      </c>
      <c r="C24" s="35" t="n">
        <v>300</v>
      </c>
      <c r="D24" s="35" t="n">
        <v>700</v>
      </c>
      <c r="E24" s="29" t="n"/>
      <c r="F24" s="36" t="n"/>
    </row>
    <row r="25">
      <c r="A25" s="37" t="inlineStr">
        <is>
          <t>Foundation</t>
        </is>
      </c>
      <c r="B25" s="38" t="inlineStr">
        <is>
          <t>Foundation Repair</t>
        </is>
      </c>
      <c r="C25" s="39" t="n">
        <v>3000</v>
      </c>
      <c r="D25" s="39" t="n">
        <v>20000</v>
      </c>
      <c r="E25" s="29" t="n"/>
      <c r="F25" s="40" t="n"/>
    </row>
    <row r="26">
      <c r="A26" s="33" t="inlineStr">
        <is>
          <t>Other</t>
        </is>
      </c>
      <c r="B26" s="34" t="inlineStr">
        <is>
          <t>Permits</t>
        </is>
      </c>
      <c r="C26" s="35" t="n">
        <v>500</v>
      </c>
      <c r="D26" s="35" t="n">
        <v>2000</v>
      </c>
      <c r="E26" s="29" t="n"/>
      <c r="F26" s="36" t="n"/>
    </row>
    <row r="27">
      <c r="A27" s="37" t="inlineStr">
        <is>
          <t>Other</t>
        </is>
      </c>
      <c r="B27" s="38" t="inlineStr">
        <is>
          <t>Dumpster</t>
        </is>
      </c>
      <c r="C27" s="39" t="n">
        <v>400</v>
      </c>
      <c r="D27" s="39" t="n">
        <v>800</v>
      </c>
      <c r="E27" s="29" t="n"/>
      <c r="F27" s="40" t="n"/>
    </row>
    <row r="28">
      <c r="A28" s="33" t="inlineStr">
        <is>
          <t>Other</t>
        </is>
      </c>
      <c r="B28" s="34" t="inlineStr">
        <is>
          <t>Contingency (10-15%)</t>
        </is>
      </c>
      <c r="C28" s="35" t="n">
        <v>0</v>
      </c>
      <c r="D28" s="35" t="n">
        <v>0</v>
      </c>
      <c r="E28" s="29" t="n"/>
      <c r="F28" s="36" t="n"/>
    </row>
    <row r="29">
      <c r="B29" s="41" t="inlineStr">
        <is>
          <t>TOTAL REHAB ESTIMATE →</t>
        </is>
      </c>
      <c r="C29" s="42">
        <f>SUM(C4:C28)</f>
        <v/>
      </c>
      <c r="D29" s="42">
        <f>SUM(D4:D28)</f>
        <v/>
      </c>
      <c r="E29" s="42">
        <f>SUM(E4:E28)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60B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16" customWidth="1" min="5" max="5"/>
    <col width="14" customWidth="1" min="6" max="6"/>
    <col width="14" customWidth="1" min="7" max="7"/>
    <col width="18" customWidth="1" min="8" max="8"/>
  </cols>
  <sheetData>
    <row r="1" ht="44" customHeight="1">
      <c r="A1" s="23" t="inlineStr">
        <is>
          <t>10-YEAR RENTAL INCOME PROJECTION</t>
        </is>
      </c>
    </row>
    <row r="3">
      <c r="B3" s="4" t="inlineStr">
        <is>
          <t>Starting Monthly Rent</t>
        </is>
      </c>
      <c r="C3" s="9" t="n">
        <v>2000</v>
      </c>
    </row>
    <row r="4">
      <c r="B4" s="4" t="inlineStr">
        <is>
          <t>Annual Rent Increase %</t>
        </is>
      </c>
      <c r="C4" s="43" t="n">
        <v>0.03</v>
      </c>
    </row>
    <row r="5">
      <c r="B5" s="4" t="inlineStr">
        <is>
          <t>Starting Mortgage Payment</t>
        </is>
      </c>
      <c r="C5" s="9" t="n">
        <v>1350</v>
      </c>
    </row>
    <row r="6">
      <c r="B6" s="4" t="inlineStr">
        <is>
          <t>Annual Expense Increase %</t>
        </is>
      </c>
      <c r="C6" s="43" t="n">
        <v>0.02</v>
      </c>
    </row>
    <row r="7">
      <c r="B7" s="4" t="inlineStr">
        <is>
          <t>Starting Operating Expenses</t>
        </is>
      </c>
      <c r="C7" s="9" t="n">
        <v>570</v>
      </c>
    </row>
    <row r="10" ht="32" customHeight="1">
      <c r="A10" s="32" t="inlineStr">
        <is>
          <t>Year</t>
        </is>
      </c>
      <c r="B10" s="32" t="inlineStr">
        <is>
          <t>Monthly Rent</t>
        </is>
      </c>
      <c r="C10" s="32" t="inlineStr">
        <is>
          <t>Annual Rent</t>
        </is>
      </c>
      <c r="D10" s="32" t="inlineStr">
        <is>
          <t>Operating Exp (yr)</t>
        </is>
      </c>
      <c r="E10" s="32" t="inlineStr">
        <is>
          <t>Mortgage (yr)</t>
        </is>
      </c>
      <c r="F10" s="32" t="inlineStr">
        <is>
          <t>NOI</t>
        </is>
      </c>
      <c r="G10" s="32" t="inlineStr">
        <is>
          <t>Cash Flow</t>
        </is>
      </c>
      <c r="H10" s="32" t="inlineStr">
        <is>
          <t>Cumulative CF</t>
        </is>
      </c>
    </row>
    <row r="11">
      <c r="A11" s="44" t="inlineStr">
        <is>
          <t>Year 1</t>
        </is>
      </c>
      <c r="B11" s="39">
        <f>$C$3</f>
        <v/>
      </c>
      <c r="C11" s="39">
        <f>B11*12</f>
        <v/>
      </c>
      <c r="D11" s="39">
        <f>$C$7*12</f>
        <v/>
      </c>
      <c r="E11" s="39">
        <f>$C$5*12</f>
        <v/>
      </c>
      <c r="F11" s="39">
        <f>C11-D11</f>
        <v/>
      </c>
      <c r="G11" s="39">
        <f>F11-E11</f>
        <v/>
      </c>
      <c r="H11" s="42">
        <f>G11</f>
        <v/>
      </c>
    </row>
    <row r="12">
      <c r="A12" s="45" t="inlineStr">
        <is>
          <t>Year 2</t>
        </is>
      </c>
      <c r="B12" s="35">
        <f>B11*(1+$C$4)</f>
        <v/>
      </c>
      <c r="C12" s="35">
        <f>B12*12</f>
        <v/>
      </c>
      <c r="D12" s="35">
        <f>D11*(1+$C$6)</f>
        <v/>
      </c>
      <c r="E12" s="35">
        <f>$C$5*12</f>
        <v/>
      </c>
      <c r="F12" s="35">
        <f>C12-D12</f>
        <v/>
      </c>
      <c r="G12" s="35">
        <f>F12-E12</f>
        <v/>
      </c>
      <c r="H12" s="42">
        <f>IF(11=10,G12,H11+G12)</f>
        <v/>
      </c>
    </row>
    <row r="13">
      <c r="A13" s="44" t="inlineStr">
        <is>
          <t>Year 3</t>
        </is>
      </c>
      <c r="B13" s="39">
        <f>B12*(1+$C$4)</f>
        <v/>
      </c>
      <c r="C13" s="39">
        <f>B13*12</f>
        <v/>
      </c>
      <c r="D13" s="39">
        <f>D12*(1+$C$6)</f>
        <v/>
      </c>
      <c r="E13" s="39">
        <f>$C$5*12</f>
        <v/>
      </c>
      <c r="F13" s="39">
        <f>C13-D13</f>
        <v/>
      </c>
      <c r="G13" s="39">
        <f>F13-E13</f>
        <v/>
      </c>
      <c r="H13" s="42">
        <f>IF(12=10,G13,H12+G13)</f>
        <v/>
      </c>
    </row>
    <row r="14">
      <c r="A14" s="45" t="inlineStr">
        <is>
          <t>Year 4</t>
        </is>
      </c>
      <c r="B14" s="35">
        <f>B13*(1+$C$4)</f>
        <v/>
      </c>
      <c r="C14" s="35">
        <f>B14*12</f>
        <v/>
      </c>
      <c r="D14" s="35">
        <f>D13*(1+$C$6)</f>
        <v/>
      </c>
      <c r="E14" s="35">
        <f>$C$5*12</f>
        <v/>
      </c>
      <c r="F14" s="35">
        <f>C14-D14</f>
        <v/>
      </c>
      <c r="G14" s="35">
        <f>F14-E14</f>
        <v/>
      </c>
      <c r="H14" s="42">
        <f>IF(13=10,G14,H13+G14)</f>
        <v/>
      </c>
    </row>
    <row r="15">
      <c r="A15" s="44" t="inlineStr">
        <is>
          <t>Year 5</t>
        </is>
      </c>
      <c r="B15" s="39">
        <f>B14*(1+$C$4)</f>
        <v/>
      </c>
      <c r="C15" s="39">
        <f>B15*12</f>
        <v/>
      </c>
      <c r="D15" s="39">
        <f>D14*(1+$C$6)</f>
        <v/>
      </c>
      <c r="E15" s="39">
        <f>$C$5*12</f>
        <v/>
      </c>
      <c r="F15" s="39">
        <f>C15-D15</f>
        <v/>
      </c>
      <c r="G15" s="39">
        <f>F15-E15</f>
        <v/>
      </c>
      <c r="H15" s="42">
        <f>IF(14=10,G15,H14+G15)</f>
        <v/>
      </c>
    </row>
    <row r="16">
      <c r="A16" s="45" t="inlineStr">
        <is>
          <t>Year 6</t>
        </is>
      </c>
      <c r="B16" s="35">
        <f>B15*(1+$C$4)</f>
        <v/>
      </c>
      <c r="C16" s="35">
        <f>B16*12</f>
        <v/>
      </c>
      <c r="D16" s="35">
        <f>D15*(1+$C$6)</f>
        <v/>
      </c>
      <c r="E16" s="35">
        <f>$C$5*12</f>
        <v/>
      </c>
      <c r="F16" s="35">
        <f>C16-D16</f>
        <v/>
      </c>
      <c r="G16" s="35">
        <f>F16-E16</f>
        <v/>
      </c>
      <c r="H16" s="42">
        <f>IF(15=10,G16,H15+G16)</f>
        <v/>
      </c>
    </row>
    <row r="17">
      <c r="A17" s="44" t="inlineStr">
        <is>
          <t>Year 7</t>
        </is>
      </c>
      <c r="B17" s="39">
        <f>B16*(1+$C$4)</f>
        <v/>
      </c>
      <c r="C17" s="39">
        <f>B17*12</f>
        <v/>
      </c>
      <c r="D17" s="39">
        <f>D16*(1+$C$6)</f>
        <v/>
      </c>
      <c r="E17" s="39">
        <f>$C$5*12</f>
        <v/>
      </c>
      <c r="F17" s="39">
        <f>C17-D17</f>
        <v/>
      </c>
      <c r="G17" s="39">
        <f>F17-E17</f>
        <v/>
      </c>
      <c r="H17" s="42">
        <f>IF(16=10,G17,H16+G17)</f>
        <v/>
      </c>
    </row>
    <row r="18">
      <c r="A18" s="45" t="inlineStr">
        <is>
          <t>Year 8</t>
        </is>
      </c>
      <c r="B18" s="35">
        <f>B17*(1+$C$4)</f>
        <v/>
      </c>
      <c r="C18" s="35">
        <f>B18*12</f>
        <v/>
      </c>
      <c r="D18" s="35">
        <f>D17*(1+$C$6)</f>
        <v/>
      </c>
      <c r="E18" s="35">
        <f>$C$5*12</f>
        <v/>
      </c>
      <c r="F18" s="35">
        <f>C18-D18</f>
        <v/>
      </c>
      <c r="G18" s="35">
        <f>F18-E18</f>
        <v/>
      </c>
      <c r="H18" s="42">
        <f>IF(17=10,G18,H17+G18)</f>
        <v/>
      </c>
    </row>
    <row r="19">
      <c r="A19" s="44" t="inlineStr">
        <is>
          <t>Year 9</t>
        </is>
      </c>
      <c r="B19" s="39">
        <f>B18*(1+$C$4)</f>
        <v/>
      </c>
      <c r="C19" s="39">
        <f>B19*12</f>
        <v/>
      </c>
      <c r="D19" s="39">
        <f>D18*(1+$C$6)</f>
        <v/>
      </c>
      <c r="E19" s="39">
        <f>$C$5*12</f>
        <v/>
      </c>
      <c r="F19" s="39">
        <f>C19-D19</f>
        <v/>
      </c>
      <c r="G19" s="39">
        <f>F19-E19</f>
        <v/>
      </c>
      <c r="H19" s="42">
        <f>IF(18=10,G19,H18+G19)</f>
        <v/>
      </c>
    </row>
    <row r="20">
      <c r="A20" s="45" t="inlineStr">
        <is>
          <t>Year 10</t>
        </is>
      </c>
      <c r="B20" s="35">
        <f>B19*(1+$C$4)</f>
        <v/>
      </c>
      <c r="C20" s="35">
        <f>B20*12</f>
        <v/>
      </c>
      <c r="D20" s="35">
        <f>D19*(1+$C$6)</f>
        <v/>
      </c>
      <c r="E20" s="35">
        <f>$C$5*12</f>
        <v/>
      </c>
      <c r="F20" s="35">
        <f>C20-D20</f>
        <v/>
      </c>
      <c r="G20" s="35">
        <f>F20-E20</f>
        <v/>
      </c>
      <c r="H20" s="42">
        <f>IF(19=10,G20,H19+G20)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AAAAA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5" customWidth="1" min="2" max="2"/>
  </cols>
  <sheetData>
    <row r="1" ht="44" customHeight="1">
      <c r="A1" s="23" t="inlineStr">
        <is>
          <t>SETUP GUIDE — HOW TO ANALYZE YOUR FIRST DEAL</t>
        </is>
      </c>
    </row>
    <row r="3">
      <c r="B3" s="3" t="inlineStr">
        <is>
          <t>STEP 1 — Enter the Property Info</t>
        </is>
      </c>
    </row>
    <row r="4" ht="80" customHeight="1">
      <c r="B4" s="46" t="inlineStr">
        <is>
          <t>Go to '🏘 Deal Analyzer'. Fill in all YELLOW cells.
Start with: Purchase Price, Down Payment %, Rehab Costs, Monthly Rent, and operating expenses.
All metrics (Cash-on-Cash Return, Cap Rate, NOI) calculate automatically.</t>
        </is>
      </c>
    </row>
    <row r="5"/>
    <row r="6"/>
    <row r="7">
      <c r="B7" s="3" t="inlineStr">
        <is>
          <t>STEP 2 — Check the Deal Score</t>
        </is>
      </c>
    </row>
    <row r="8" ht="80" customHeight="1">
      <c r="B8" s="47" t="inlineStr">
        <is>
          <t>Scroll to the bottom of '🏘 Deal Analyzer'.
🟢 Green = strong deal (CoC ≥ 8%)   🟡 Yellow = marginal   🔴 Red = pass.
The 70% ARV Rule shows the maximum you should pay for a fix-and-flip.</t>
        </is>
      </c>
    </row>
    <row r="9"/>
    <row r="10"/>
    <row r="11">
      <c r="B11" s="3" t="inlineStr">
        <is>
          <t>STEP 3 — Estimate Rehab Costs</t>
        </is>
      </c>
    </row>
    <row r="12" ht="80" customHeight="1">
      <c r="B12" s="46" t="inlineStr">
        <is>
          <t>Go to '🔨 Rehab Estimator'. Enter your estimate for each repair category.
Low/High ranges are pre-filled as guides. Enter YOUR number in the yellow 'Your Estimate' column.</t>
        </is>
      </c>
    </row>
    <row r="13"/>
    <row r="14"/>
    <row r="15">
      <c r="B15" s="3" t="inlineStr">
        <is>
          <t>STEP 4 — Compare Multiple Deals</t>
        </is>
      </c>
    </row>
    <row r="16" ht="80" customHeight="1">
      <c r="B16" s="47" t="inlineStr">
        <is>
          <t>Use '🔍 Deal Comparison' to compare up to 5 properties side-by-side.
Copy key metrics from each deal analysis into the comparison table.</t>
        </is>
      </c>
    </row>
    <row r="17"/>
    <row r="18"/>
    <row r="19">
      <c r="B19" s="3" t="inlineStr">
        <is>
          <t>STEP 5 — Project Long-Term Returns</t>
        </is>
      </c>
    </row>
    <row r="20" ht="80" customHeight="1">
      <c r="B20" s="46" t="inlineStr">
        <is>
          <t>Go to '📈 Rental Projections'. Set your starting rent, annual increase %, and expenses.
The table projects 10 years of cash flow and cumulative returns.</t>
        </is>
      </c>
    </row>
    <row r="21"/>
    <row r="22"/>
    <row r="23">
      <c r="B23" s="3" t="inlineStr">
        <is>
          <t>KEY METRICS EXPLAINED</t>
        </is>
      </c>
    </row>
    <row r="24" ht="80" customHeight="1">
      <c r="B24" s="47" t="inlineStr">
        <is>
          <t>Cash-on-Cash Return: Annual cash flow ÷ total cash invested. Target: 8%+
Cap Rate: NOI ÷ purchase price. Good markets: 5-8%+
GRM (Gross Rent Multiplier): Purchase price ÷ annual rent. Lower = better.
70% ARV Rule: For flips — never pay more than 70% of ARV minus repair costs.</t>
        </is>
      </c>
    </row>
    <row r="25"/>
    <row r="26"/>
  </sheetData>
  <mergeCells count="13">
    <mergeCell ref="B23:E23"/>
    <mergeCell ref="B4:E6"/>
    <mergeCell ref="B20:E22"/>
    <mergeCell ref="B12:E14"/>
    <mergeCell ref="B15:E15"/>
    <mergeCell ref="B8:E10"/>
    <mergeCell ref="B7:E7"/>
    <mergeCell ref="A1:E1"/>
    <mergeCell ref="B3:E3"/>
    <mergeCell ref="B11:E11"/>
    <mergeCell ref="B16:E18"/>
    <mergeCell ref="B19:E19"/>
    <mergeCell ref="B24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2026-03-16T04:52:01Z</dcterms:created>
  <dcterms:modified xsi:type="dcterms:W3CDTF">2026-03-16T04:52:01Z</dcterms:modified>
</cp:coreProperties>
</file>